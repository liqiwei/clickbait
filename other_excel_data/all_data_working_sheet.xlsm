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2"/>
  <workbookPr defaultThemeVersion="166925"/>
  <mc:AlternateContent xmlns:mc="http://schemas.openxmlformats.org/markup-compatibility/2006">
    <mc:Choice Requires="x15">
      <x15ac:absPath xmlns:x15ac="http://schemas.microsoft.com/office/spreadsheetml/2010/11/ac" url="/Users/qiweili/Desktop/other_clickbait/other_excel_data/"/>
    </mc:Choice>
  </mc:AlternateContent>
  <xr:revisionPtr revIDLastSave="0" documentId="13_ncr:1_{BCDD7283-F83F-7242-8E18-3EB266CEAB94}" xr6:coauthVersionLast="36" xr6:coauthVersionMax="36" xr10:uidLastSave="{00000000-0000-0000-0000-000000000000}"/>
  <bookViews>
    <workbookView xWindow="0" yWindow="460" windowWidth="25600" windowHeight="15440" activeTab="5" xr2:uid="{00000000-000D-0000-FFFF-FFFF00000000}"/>
  </bookViews>
  <sheets>
    <sheet name="all_data" sheetId="1" r:id="rId1"/>
    <sheet name="unique_sourcec_all_datal" sheetId="6" r:id="rId2"/>
    <sheet name="top_occuances" sheetId="5" r:id="rId3"/>
    <sheet name="small_source" sheetId="4" r:id="rId4"/>
    <sheet name="plan" sheetId="2" r:id="rId5"/>
    <sheet name="Sheet1" sheetId="7" r:id="rId6"/>
  </sheets>
  <definedNames>
    <definedName name="_xlnm._FilterDatabase" localSheetId="0" hidden="1">all_data!$H$1:$H$2699</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7" i="4" l="1"/>
  <c r="F27" i="4"/>
  <c r="C2" i="4"/>
  <c r="D2" i="4" s="1"/>
  <c r="B2" i="4"/>
  <c r="B268" i="4"/>
  <c r="B269" i="4"/>
  <c r="B64" i="4"/>
  <c r="B175" i="4"/>
  <c r="B3" i="4"/>
  <c r="B270" i="4"/>
  <c r="B14" i="4"/>
  <c r="B6" i="4"/>
  <c r="B42" i="4"/>
  <c r="B271" i="4"/>
  <c r="B15" i="4"/>
  <c r="B11" i="4"/>
  <c r="B61" i="4"/>
  <c r="B105" i="4"/>
  <c r="B30" i="4"/>
  <c r="B86" i="4"/>
  <c r="B24" i="4"/>
  <c r="B87" i="4"/>
  <c r="B272" i="4"/>
  <c r="B10" i="4"/>
  <c r="B9" i="4"/>
  <c r="B26" i="4"/>
  <c r="B5" i="4"/>
  <c r="B8" i="4"/>
  <c r="B48" i="4"/>
  <c r="B76" i="4"/>
  <c r="B12" i="4"/>
  <c r="B13" i="4"/>
  <c r="B38" i="4"/>
  <c r="B49" i="4"/>
  <c r="B132" i="4"/>
  <c r="B27" i="4"/>
  <c r="B31" i="4"/>
  <c r="B273" i="4"/>
  <c r="B4" i="4"/>
  <c r="B43" i="4"/>
  <c r="B44" i="4"/>
  <c r="B88" i="4"/>
  <c r="B16" i="4"/>
  <c r="B32" i="4"/>
  <c r="B45" i="4"/>
  <c r="B68" i="4"/>
  <c r="B89" i="4"/>
  <c r="B176" i="4"/>
  <c r="B18" i="4"/>
  <c r="B106" i="4"/>
  <c r="B133" i="4"/>
  <c r="B274" i="4"/>
  <c r="B39" i="4"/>
  <c r="B52" i="4"/>
  <c r="B134" i="4"/>
  <c r="B275" i="4"/>
  <c r="B25" i="4"/>
  <c r="B107" i="4"/>
  <c r="B135" i="4"/>
  <c r="B276" i="4"/>
  <c r="B28" i="4"/>
  <c r="B65" i="4"/>
  <c r="B277" i="4"/>
  <c r="B278" i="4"/>
  <c r="B77" i="4"/>
  <c r="B177" i="4"/>
  <c r="B178" i="4"/>
  <c r="B69" i="4"/>
  <c r="B108" i="4"/>
  <c r="B136" i="4"/>
  <c r="B137" i="4"/>
  <c r="B179" i="4"/>
  <c r="B180" i="4"/>
  <c r="B181" i="4"/>
  <c r="B279" i="4"/>
  <c r="B280" i="4"/>
  <c r="B50" i="4"/>
  <c r="B90" i="4"/>
  <c r="B138" i="4"/>
  <c r="B139" i="4"/>
  <c r="B182" i="4"/>
  <c r="B281" i="4"/>
  <c r="B183" i="4"/>
  <c r="B22" i="4"/>
  <c r="B66" i="4"/>
  <c r="B78" i="4"/>
  <c r="B91" i="4"/>
  <c r="B140" i="4"/>
  <c r="B141" i="4"/>
  <c r="B184" i="4"/>
  <c r="B185" i="4"/>
  <c r="B186" i="4"/>
  <c r="B142" i="4"/>
  <c r="B282" i="4"/>
  <c r="B283" i="4"/>
  <c r="B284" i="4"/>
  <c r="B285" i="4"/>
  <c r="B286" i="4"/>
  <c r="B287" i="4"/>
  <c r="B288" i="4"/>
  <c r="B187" i="4"/>
  <c r="B289" i="4"/>
  <c r="B290" i="4"/>
  <c r="B291" i="4"/>
  <c r="B29" i="4"/>
  <c r="B33" i="4"/>
  <c r="B53" i="4"/>
  <c r="B54" i="4"/>
  <c r="B55" i="4"/>
  <c r="B70" i="4"/>
  <c r="B71" i="4"/>
  <c r="B79" i="4"/>
  <c r="B92" i="4"/>
  <c r="B93" i="4"/>
  <c r="B109" i="4"/>
  <c r="B143" i="4"/>
  <c r="B188" i="4"/>
  <c r="B292" i="4"/>
  <c r="B293" i="4"/>
  <c r="B294" i="4"/>
  <c r="B295" i="4"/>
  <c r="B296" i="4"/>
  <c r="B297" i="4"/>
  <c r="B7" i="4"/>
  <c r="B17" i="4"/>
  <c r="B19" i="4"/>
  <c r="B21" i="4"/>
  <c r="B23" i="4"/>
  <c r="B34" i="4"/>
  <c r="B40" i="4"/>
  <c r="B56" i="4"/>
  <c r="B72" i="4"/>
  <c r="B67" i="4"/>
  <c r="B80" i="4"/>
  <c r="B94" i="4"/>
  <c r="B81" i="4"/>
  <c r="B95" i="4"/>
  <c r="B110" i="4"/>
  <c r="B144" i="4"/>
  <c r="B145" i="4"/>
  <c r="B146" i="4"/>
  <c r="B189" i="4"/>
  <c r="B190" i="4"/>
  <c r="B191" i="4"/>
  <c r="B298" i="4"/>
  <c r="B192" i="4"/>
  <c r="B193" i="4"/>
  <c r="B194" i="4"/>
  <c r="B299" i="4"/>
  <c r="B300" i="4"/>
  <c r="B301" i="4"/>
  <c r="B302" i="4"/>
  <c r="B303" i="4"/>
  <c r="B304" i="4"/>
  <c r="B305" i="4"/>
  <c r="B306" i="4"/>
  <c r="B307" i="4"/>
  <c r="B308" i="4"/>
  <c r="B309" i="4"/>
  <c r="B310" i="4"/>
  <c r="B311" i="4"/>
  <c r="B312" i="4"/>
  <c r="B313" i="4"/>
  <c r="B314" i="4"/>
  <c r="B315" i="4"/>
  <c r="B316" i="4"/>
  <c r="B317" i="4"/>
  <c r="B318" i="4"/>
  <c r="B41" i="4"/>
  <c r="B51" i="4"/>
  <c r="B62" i="4"/>
  <c r="B63" i="4"/>
  <c r="B82" i="4"/>
  <c r="B96" i="4"/>
  <c r="B97" i="4"/>
  <c r="B98" i="4"/>
  <c r="B111" i="4"/>
  <c r="B112" i="4"/>
  <c r="B113" i="4"/>
  <c r="B114" i="4"/>
  <c r="B115" i="4"/>
  <c r="B116" i="4"/>
  <c r="B147" i="4"/>
  <c r="B148" i="4"/>
  <c r="B149" i="4"/>
  <c r="B150" i="4"/>
  <c r="B117" i="4"/>
  <c r="B118" i="4"/>
  <c r="B119" i="4"/>
  <c r="B151" i="4"/>
  <c r="B152" i="4"/>
  <c r="B153" i="4"/>
  <c r="B120" i="4"/>
  <c r="B195" i="4"/>
  <c r="B196" i="4"/>
  <c r="B197" i="4"/>
  <c r="B198" i="4"/>
  <c r="B199" i="4"/>
  <c r="B200" i="4"/>
  <c r="B201" i="4"/>
  <c r="B202" i="4"/>
  <c r="B203" i="4"/>
  <c r="B319" i="4"/>
  <c r="B320" i="4"/>
  <c r="B321" i="4"/>
  <c r="B322" i="4"/>
  <c r="B323" i="4"/>
  <c r="B324" i="4"/>
  <c r="B325" i="4"/>
  <c r="B204" i="4"/>
  <c r="B326" i="4"/>
  <c r="B327" i="4"/>
  <c r="B328" i="4"/>
  <c r="B329" i="4"/>
  <c r="B330" i="4"/>
  <c r="B331" i="4"/>
  <c r="B332" i="4"/>
  <c r="B333" i="4"/>
  <c r="B334" i="4"/>
  <c r="B335" i="4"/>
  <c r="B336" i="4"/>
  <c r="B337" i="4"/>
  <c r="B338" i="4"/>
  <c r="B339" i="4"/>
  <c r="B340" i="4"/>
  <c r="B341" i="4"/>
  <c r="B342" i="4"/>
  <c r="B35" i="4"/>
  <c r="B36" i="4"/>
  <c r="B37" i="4"/>
  <c r="B46" i="4"/>
  <c r="B47" i="4"/>
  <c r="B57" i="4"/>
  <c r="B58" i="4"/>
  <c r="B59" i="4"/>
  <c r="B73" i="4"/>
  <c r="B74" i="4"/>
  <c r="B75" i="4"/>
  <c r="B99" i="4"/>
  <c r="B83" i="4"/>
  <c r="B100" i="4"/>
  <c r="B84" i="4"/>
  <c r="B101" i="4"/>
  <c r="B121" i="4"/>
  <c r="B122" i="4"/>
  <c r="B123" i="4"/>
  <c r="B102" i="4"/>
  <c r="B124" i="4"/>
  <c r="B103" i="4"/>
  <c r="B104" i="4"/>
  <c r="B154" i="4"/>
  <c r="B155" i="4"/>
  <c r="B156" i="4"/>
  <c r="B125" i="4"/>
  <c r="B157" i="4"/>
  <c r="B158" i="4"/>
  <c r="B159" i="4"/>
  <c r="B126" i="4"/>
  <c r="B160" i="4"/>
  <c r="B161" i="4"/>
  <c r="B127" i="4"/>
  <c r="B162" i="4"/>
  <c r="B163" i="4"/>
  <c r="B128" i="4"/>
  <c r="B129" i="4"/>
  <c r="B164" i="4"/>
  <c r="B205" i="4"/>
  <c r="B206" i="4"/>
  <c r="B207" i="4"/>
  <c r="B208" i="4"/>
  <c r="B209" i="4"/>
  <c r="B210" i="4"/>
  <c r="B211" i="4"/>
  <c r="B212" i="4"/>
  <c r="B213" i="4"/>
  <c r="B214" i="4"/>
  <c r="B215" i="4"/>
  <c r="B216" i="4"/>
  <c r="B165" i="4"/>
  <c r="B166" i="4"/>
  <c r="B217" i="4"/>
  <c r="B167" i="4"/>
  <c r="B168" i="4"/>
  <c r="B218" i="4"/>
  <c r="B219" i="4"/>
  <c r="B343" i="4"/>
  <c r="B344" i="4"/>
  <c r="B345" i="4"/>
  <c r="B346" i="4"/>
  <c r="B347" i="4"/>
  <c r="B220" i="4"/>
  <c r="B348" i="4"/>
  <c r="B221" i="4"/>
  <c r="B222" i="4"/>
  <c r="B349" i="4"/>
  <c r="B223" i="4"/>
  <c r="B350" i="4"/>
  <c r="B351" i="4"/>
  <c r="B352" i="4"/>
  <c r="B353" i="4"/>
  <c r="B354" i="4"/>
  <c r="B355" i="4"/>
  <c r="B356" i="4"/>
  <c r="B224" i="4"/>
  <c r="B357" i="4"/>
  <c r="B358" i="4"/>
  <c r="B359" i="4"/>
  <c r="B360" i="4"/>
  <c r="B361" i="4"/>
  <c r="B362" i="4"/>
  <c r="B363" i="4"/>
  <c r="B364" i="4"/>
  <c r="B225" i="4"/>
  <c r="B365" i="4"/>
  <c r="B366" i="4"/>
  <c r="B367" i="4"/>
  <c r="B226" i="4"/>
  <c r="B227" i="4"/>
  <c r="B368" i="4"/>
  <c r="B369" i="4"/>
  <c r="B370" i="4"/>
  <c r="B371" i="4"/>
  <c r="B228" i="4"/>
  <c r="B372" i="4"/>
  <c r="B373" i="4"/>
  <c r="B229" i="4"/>
  <c r="B374" i="4"/>
  <c r="B230" i="4"/>
  <c r="B231" i="4"/>
  <c r="B375" i="4"/>
  <c r="B232" i="4"/>
  <c r="B376" i="4"/>
  <c r="B377" i="4"/>
  <c r="B378" i="4"/>
  <c r="B233" i="4"/>
  <c r="B379" i="4"/>
  <c r="B380" i="4"/>
  <c r="B381" i="4"/>
  <c r="B234" i="4"/>
  <c r="B382" i="4"/>
  <c r="B235" i="4"/>
  <c r="B236" i="4"/>
  <c r="B383" i="4"/>
  <c r="B384" i="4"/>
  <c r="B385" i="4"/>
  <c r="B386" i="4"/>
  <c r="B387" i="4"/>
  <c r="B237" i="4"/>
  <c r="B388" i="4"/>
  <c r="B389" i="4"/>
  <c r="B390" i="4"/>
  <c r="B391" i="4"/>
  <c r="B392" i="4"/>
  <c r="B238"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60" i="4"/>
  <c r="B85" i="4"/>
  <c r="B169" i="4"/>
  <c r="B130" i="4"/>
  <c r="B131" i="4"/>
  <c r="B170" i="4"/>
  <c r="B171" i="4"/>
  <c r="B239" i="4"/>
  <c r="B240" i="4"/>
  <c r="B241" i="4"/>
  <c r="B242" i="4"/>
  <c r="B243" i="4"/>
  <c r="B172" i="4"/>
  <c r="B244" i="4"/>
  <c r="B245" i="4"/>
  <c r="B173" i="4"/>
  <c r="B246" i="4"/>
  <c r="B247" i="4"/>
  <c r="B248" i="4"/>
  <c r="B174" i="4"/>
  <c r="B460" i="4"/>
  <c r="B461" i="4"/>
  <c r="B462" i="4"/>
  <c r="B463" i="4"/>
  <c r="B464" i="4"/>
  <c r="B465" i="4"/>
  <c r="B466" i="4"/>
  <c r="B249" i="4"/>
  <c r="B467" i="4"/>
  <c r="B468" i="4"/>
  <c r="B469" i="4"/>
  <c r="B470" i="4"/>
  <c r="B471" i="4"/>
  <c r="B472" i="4"/>
  <c r="B473" i="4"/>
  <c r="B474" i="4"/>
  <c r="B475" i="4"/>
  <c r="B250" i="4"/>
  <c r="B476" i="4"/>
  <c r="B477" i="4"/>
  <c r="B478" i="4"/>
  <c r="B479" i="4"/>
  <c r="B480" i="4"/>
  <c r="B481" i="4"/>
  <c r="B482" i="4"/>
  <c r="B251" i="4"/>
  <c r="B483" i="4"/>
  <c r="B252" i="4"/>
  <c r="B484" i="4"/>
  <c r="B485" i="4"/>
  <c r="B253" i="4"/>
  <c r="B254" i="4"/>
  <c r="B486" i="4"/>
  <c r="B487" i="4"/>
  <c r="B255" i="4"/>
  <c r="B488" i="4"/>
  <c r="B489" i="4"/>
  <c r="B490" i="4"/>
  <c r="B491" i="4"/>
  <c r="B256" i="4"/>
  <c r="B492" i="4"/>
  <c r="B493" i="4"/>
  <c r="B494" i="4"/>
  <c r="B495" i="4"/>
  <c r="B257" i="4"/>
  <c r="B258" i="4"/>
  <c r="B496" i="4"/>
  <c r="B497" i="4"/>
  <c r="B498" i="4"/>
  <c r="B499" i="4"/>
  <c r="B500" i="4"/>
  <c r="B501" i="4"/>
  <c r="B502" i="4"/>
  <c r="B503" i="4"/>
  <c r="B504" i="4"/>
  <c r="B505" i="4"/>
  <c r="B259" i="4"/>
  <c r="B506" i="4"/>
  <c r="B260" i="4"/>
  <c r="B261" i="4"/>
  <c r="B262" i="4"/>
  <c r="B507" i="4"/>
  <c r="B508" i="4"/>
  <c r="B509" i="4"/>
  <c r="B263" i="4"/>
  <c r="B264" i="4"/>
  <c r="B265" i="4"/>
  <c r="B266" i="4"/>
  <c r="B510" i="4"/>
  <c r="B267"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723"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724"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20" i="4"/>
  <c r="P1515" i="6"/>
  <c r="M725" i="6"/>
  <c r="M724" i="6"/>
  <c r="M723" i="6"/>
  <c r="M722" i="6"/>
  <c r="M721" i="6"/>
  <c r="M720" i="6"/>
  <c r="M719" i="6"/>
  <c r="M718" i="6"/>
  <c r="M717" i="6"/>
  <c r="M716" i="6"/>
  <c r="M715" i="6"/>
  <c r="M714" i="6"/>
  <c r="M713" i="6"/>
  <c r="M712" i="6"/>
  <c r="M711" i="6"/>
  <c r="M710" i="6"/>
  <c r="M709" i="6"/>
  <c r="M708" i="6"/>
  <c r="M707" i="6"/>
  <c r="M706" i="6"/>
  <c r="M705" i="6"/>
  <c r="M704" i="6"/>
  <c r="M703" i="6"/>
  <c r="M702" i="6"/>
  <c r="M701" i="6"/>
  <c r="M700" i="6"/>
  <c r="M699" i="6"/>
  <c r="M698" i="6"/>
  <c r="M697" i="6"/>
  <c r="M696" i="6"/>
  <c r="M695" i="6"/>
  <c r="M694" i="6"/>
  <c r="M693" i="6"/>
  <c r="M692" i="6"/>
  <c r="M691" i="6"/>
  <c r="M690" i="6"/>
  <c r="M689" i="6"/>
  <c r="M688" i="6"/>
  <c r="M687" i="6"/>
  <c r="M686" i="6"/>
  <c r="M685" i="6"/>
  <c r="M684" i="6"/>
  <c r="M683" i="6"/>
  <c r="M682" i="6"/>
  <c r="M681" i="6"/>
  <c r="M680" i="6"/>
  <c r="M679" i="6"/>
  <c r="M678" i="6"/>
  <c r="M677" i="6"/>
  <c r="M676" i="6"/>
  <c r="M675" i="6"/>
  <c r="M674" i="6"/>
  <c r="M673" i="6"/>
  <c r="M672" i="6"/>
  <c r="M671" i="6"/>
  <c r="M670" i="6"/>
  <c r="M669" i="6"/>
  <c r="M668" i="6"/>
  <c r="M667" i="6"/>
  <c r="M666" i="6"/>
  <c r="M665" i="6"/>
  <c r="M664" i="6"/>
  <c r="M663" i="6"/>
  <c r="M662" i="6"/>
  <c r="M661" i="6"/>
  <c r="M660" i="6"/>
  <c r="M659" i="6"/>
  <c r="M658" i="6"/>
  <c r="M657" i="6"/>
  <c r="M656" i="6"/>
  <c r="M655" i="6"/>
  <c r="M654" i="6"/>
  <c r="M653" i="6"/>
  <c r="M652" i="6"/>
  <c r="M651" i="6"/>
  <c r="M650" i="6"/>
  <c r="M649" i="6"/>
  <c r="M648" i="6"/>
  <c r="M647" i="6"/>
  <c r="M646" i="6"/>
  <c r="M645" i="6"/>
  <c r="M644" i="6"/>
  <c r="M643" i="6"/>
  <c r="M642" i="6"/>
  <c r="M641" i="6"/>
  <c r="M640" i="6"/>
  <c r="M639" i="6"/>
  <c r="M638" i="6"/>
  <c r="M637" i="6"/>
  <c r="M636" i="6"/>
  <c r="M635" i="6"/>
  <c r="M634" i="6"/>
  <c r="M633" i="6"/>
  <c r="M632" i="6"/>
  <c r="M631" i="6"/>
  <c r="M630" i="6"/>
  <c r="M629" i="6"/>
  <c r="M628" i="6"/>
  <c r="M627" i="6"/>
  <c r="M626" i="6"/>
  <c r="M625" i="6"/>
  <c r="M624" i="6"/>
  <c r="M623" i="6"/>
  <c r="M622" i="6"/>
  <c r="M621" i="6"/>
  <c r="M620" i="6"/>
  <c r="M619" i="6"/>
  <c r="M618" i="6"/>
  <c r="M617" i="6"/>
  <c r="M616" i="6"/>
  <c r="M615" i="6"/>
  <c r="M614" i="6"/>
  <c r="M613" i="6"/>
  <c r="M612" i="6"/>
  <c r="M611" i="6"/>
  <c r="M610" i="6"/>
  <c r="M609" i="6"/>
  <c r="M608" i="6"/>
  <c r="M607" i="6"/>
  <c r="M606" i="6"/>
  <c r="M605" i="6"/>
  <c r="M604" i="6"/>
  <c r="M603" i="6"/>
  <c r="M602" i="6"/>
  <c r="M601" i="6"/>
  <c r="M600" i="6"/>
  <c r="M599" i="6"/>
  <c r="M598" i="6"/>
  <c r="M597" i="6"/>
  <c r="M596" i="6"/>
  <c r="M595" i="6"/>
  <c r="M594" i="6"/>
  <c r="M593" i="6"/>
  <c r="M592" i="6"/>
  <c r="M591" i="6"/>
  <c r="M590" i="6"/>
  <c r="M589" i="6"/>
  <c r="M588" i="6"/>
  <c r="M587" i="6"/>
  <c r="M586" i="6"/>
  <c r="M585" i="6"/>
  <c r="M584" i="6"/>
  <c r="M583" i="6"/>
  <c r="M582" i="6"/>
  <c r="M581" i="6"/>
  <c r="M580" i="6"/>
  <c r="M579" i="6"/>
  <c r="M578" i="6"/>
  <c r="M577" i="6"/>
  <c r="M576" i="6"/>
  <c r="M575" i="6"/>
  <c r="M574" i="6"/>
  <c r="M573" i="6"/>
  <c r="M572" i="6"/>
  <c r="M571" i="6"/>
  <c r="M570" i="6"/>
  <c r="M569" i="6"/>
  <c r="M568" i="6"/>
  <c r="M567" i="6"/>
  <c r="M566" i="6"/>
  <c r="M565" i="6"/>
  <c r="M564" i="6"/>
  <c r="M563" i="6"/>
  <c r="M562" i="6"/>
  <c r="M561" i="6"/>
  <c r="M560" i="6"/>
  <c r="M559" i="6"/>
  <c r="M558" i="6"/>
  <c r="M557" i="6"/>
  <c r="M556" i="6"/>
  <c r="M555" i="6"/>
  <c r="M554" i="6"/>
  <c r="M553" i="6"/>
  <c r="M552" i="6"/>
  <c r="M551" i="6"/>
  <c r="M550" i="6"/>
  <c r="M549" i="6"/>
  <c r="M548" i="6"/>
  <c r="M547" i="6"/>
  <c r="M546" i="6"/>
  <c r="M545" i="6"/>
  <c r="M544" i="6"/>
  <c r="M543" i="6"/>
  <c r="M542" i="6"/>
  <c r="M541" i="6"/>
  <c r="M540" i="6"/>
  <c r="M539" i="6"/>
  <c r="M538" i="6"/>
  <c r="M537" i="6"/>
  <c r="M536" i="6"/>
  <c r="M535" i="6"/>
  <c r="M534" i="6"/>
  <c r="M533" i="6"/>
  <c r="M532" i="6"/>
  <c r="M531" i="6"/>
  <c r="M530" i="6"/>
  <c r="M529" i="6"/>
  <c r="M528" i="6"/>
  <c r="M527" i="6"/>
  <c r="M526" i="6"/>
  <c r="M525" i="6"/>
  <c r="M524" i="6"/>
  <c r="M523" i="6"/>
  <c r="M522" i="6"/>
  <c r="M521" i="6"/>
  <c r="M520" i="6"/>
  <c r="M519" i="6"/>
  <c r="M518" i="6"/>
  <c r="M517" i="6"/>
  <c r="M516" i="6"/>
  <c r="M515" i="6"/>
  <c r="M514" i="6"/>
  <c r="M513" i="6"/>
  <c r="M512" i="6"/>
  <c r="M511" i="6"/>
  <c r="M510" i="6"/>
  <c r="M509" i="6"/>
  <c r="M508" i="6"/>
  <c r="M507" i="6"/>
  <c r="M506" i="6"/>
  <c r="M505" i="6"/>
  <c r="M504" i="6"/>
  <c r="M503" i="6"/>
  <c r="M502" i="6"/>
  <c r="M501" i="6"/>
  <c r="M500" i="6"/>
  <c r="M499" i="6"/>
  <c r="M498" i="6"/>
  <c r="M497" i="6"/>
  <c r="M496" i="6"/>
  <c r="M495" i="6"/>
  <c r="M494" i="6"/>
  <c r="M493" i="6"/>
  <c r="M492" i="6"/>
  <c r="M491" i="6"/>
  <c r="M490" i="6"/>
  <c r="M489" i="6"/>
  <c r="M488" i="6"/>
  <c r="M487" i="6"/>
  <c r="M486" i="6"/>
  <c r="M485" i="6"/>
  <c r="M484" i="6"/>
  <c r="M483" i="6"/>
  <c r="M482" i="6"/>
  <c r="M481" i="6"/>
  <c r="M480" i="6"/>
  <c r="M479" i="6"/>
  <c r="M478" i="6"/>
  <c r="M477" i="6"/>
  <c r="M476" i="6"/>
  <c r="M475" i="6"/>
  <c r="M474" i="6"/>
  <c r="M473" i="6"/>
  <c r="M472" i="6"/>
  <c r="M471" i="6"/>
  <c r="M470" i="6"/>
  <c r="M469" i="6"/>
  <c r="M468" i="6"/>
  <c r="M467" i="6"/>
  <c r="M466" i="6"/>
  <c r="M465" i="6"/>
  <c r="M464" i="6"/>
  <c r="M463" i="6"/>
  <c r="M462" i="6"/>
  <c r="M461" i="6"/>
  <c r="M460" i="6"/>
  <c r="M459" i="6"/>
  <c r="M458" i="6"/>
  <c r="M457" i="6"/>
  <c r="M456" i="6"/>
  <c r="M455" i="6"/>
  <c r="M454" i="6"/>
  <c r="M453" i="6"/>
  <c r="M452" i="6"/>
  <c r="M451" i="6"/>
  <c r="M450" i="6"/>
  <c r="M449" i="6"/>
  <c r="M448" i="6"/>
  <c r="M447" i="6"/>
  <c r="M446" i="6"/>
  <c r="M445" i="6"/>
  <c r="M444" i="6"/>
  <c r="M443" i="6"/>
  <c r="M442" i="6"/>
  <c r="M441" i="6"/>
  <c r="M440" i="6"/>
  <c r="M439" i="6"/>
  <c r="M438" i="6"/>
  <c r="M437" i="6"/>
  <c r="M436" i="6"/>
  <c r="M435" i="6"/>
  <c r="M434" i="6"/>
  <c r="M433" i="6"/>
  <c r="M432" i="6"/>
  <c r="M431" i="6"/>
  <c r="M430" i="6"/>
  <c r="M429" i="6"/>
  <c r="M428" i="6"/>
  <c r="M427" i="6"/>
  <c r="M426" i="6"/>
  <c r="M425" i="6"/>
  <c r="M424" i="6"/>
  <c r="M423" i="6"/>
  <c r="M422" i="6"/>
  <c r="M421" i="6"/>
  <c r="M420" i="6"/>
  <c r="M419" i="6"/>
  <c r="M418" i="6"/>
  <c r="M417" i="6"/>
  <c r="M416" i="6"/>
  <c r="M415" i="6"/>
  <c r="M414" i="6"/>
  <c r="M413" i="6"/>
  <c r="M412" i="6"/>
  <c r="M411" i="6"/>
  <c r="M410" i="6"/>
  <c r="M409" i="6"/>
  <c r="M408" i="6"/>
  <c r="M407" i="6"/>
  <c r="M406" i="6"/>
  <c r="M405" i="6"/>
  <c r="M404" i="6"/>
  <c r="M403" i="6"/>
  <c r="M402" i="6"/>
  <c r="M401" i="6"/>
  <c r="M400" i="6"/>
  <c r="M399" i="6"/>
  <c r="M398" i="6"/>
  <c r="M397" i="6"/>
  <c r="M396" i="6"/>
  <c r="M395" i="6"/>
  <c r="M394" i="6"/>
  <c r="M393" i="6"/>
  <c r="M392" i="6"/>
  <c r="M391" i="6"/>
  <c r="M390" i="6"/>
  <c r="M389" i="6"/>
  <c r="M388" i="6"/>
  <c r="M387" i="6"/>
  <c r="M386" i="6"/>
  <c r="M385" i="6"/>
  <c r="M384" i="6"/>
  <c r="M383" i="6"/>
  <c r="M382" i="6"/>
  <c r="M381" i="6"/>
  <c r="M380" i="6"/>
  <c r="M379" i="6"/>
  <c r="M378" i="6"/>
  <c r="M377" i="6"/>
  <c r="M376" i="6"/>
  <c r="M375" i="6"/>
  <c r="M374" i="6"/>
  <c r="M373" i="6"/>
  <c r="M372" i="6"/>
  <c r="M371" i="6"/>
  <c r="M370" i="6"/>
  <c r="M369" i="6"/>
  <c r="M368" i="6"/>
  <c r="M367" i="6"/>
  <c r="M366" i="6"/>
  <c r="M365" i="6"/>
  <c r="M364" i="6"/>
  <c r="M363" i="6"/>
  <c r="M362" i="6"/>
  <c r="M361" i="6"/>
  <c r="M360" i="6"/>
  <c r="M359" i="6"/>
  <c r="M358" i="6"/>
  <c r="M357" i="6"/>
  <c r="M356" i="6"/>
  <c r="M355" i="6"/>
  <c r="M354" i="6"/>
  <c r="M353" i="6"/>
  <c r="M352" i="6"/>
  <c r="M351" i="6"/>
  <c r="M350" i="6"/>
  <c r="M349" i="6"/>
  <c r="M348" i="6"/>
  <c r="M347" i="6"/>
  <c r="M346" i="6"/>
  <c r="M345" i="6"/>
  <c r="M344" i="6"/>
  <c r="M343" i="6"/>
  <c r="M342" i="6"/>
  <c r="M341" i="6"/>
  <c r="M340" i="6"/>
  <c r="M339" i="6"/>
  <c r="M338" i="6"/>
  <c r="M337" i="6"/>
  <c r="M336" i="6"/>
  <c r="M335" i="6"/>
  <c r="M334" i="6"/>
  <c r="M333" i="6"/>
  <c r="M332" i="6"/>
  <c r="M331" i="6"/>
  <c r="M330" i="6"/>
  <c r="M329" i="6"/>
  <c r="M328" i="6"/>
  <c r="M327" i="6"/>
  <c r="M326" i="6"/>
  <c r="M325" i="6"/>
  <c r="M324" i="6"/>
  <c r="M323" i="6"/>
  <c r="M322" i="6"/>
  <c r="M321" i="6"/>
  <c r="M320" i="6"/>
  <c r="M319" i="6"/>
  <c r="M318" i="6"/>
  <c r="M317" i="6"/>
  <c r="M316" i="6"/>
  <c r="M315" i="6"/>
  <c r="M314" i="6"/>
  <c r="M313" i="6"/>
  <c r="M312" i="6"/>
  <c r="M311" i="6"/>
  <c r="M310" i="6"/>
  <c r="M309" i="6"/>
  <c r="M308" i="6"/>
  <c r="M307" i="6"/>
  <c r="M306" i="6"/>
  <c r="M305" i="6"/>
  <c r="M304" i="6"/>
  <c r="M303" i="6"/>
  <c r="M302" i="6"/>
  <c r="M301" i="6"/>
  <c r="M300" i="6"/>
  <c r="M299" i="6"/>
  <c r="M298" i="6"/>
  <c r="M297" i="6"/>
  <c r="M296" i="6"/>
  <c r="M295" i="6"/>
  <c r="M294" i="6"/>
  <c r="M293" i="6"/>
  <c r="M292" i="6"/>
  <c r="M291" i="6"/>
  <c r="M290" i="6"/>
  <c r="M289" i="6"/>
  <c r="M288" i="6"/>
  <c r="M287" i="6"/>
  <c r="M286" i="6"/>
  <c r="M285" i="6"/>
  <c r="M284" i="6"/>
  <c r="M283" i="6"/>
  <c r="M282" i="6"/>
  <c r="M281" i="6"/>
  <c r="M280" i="6"/>
  <c r="M279" i="6"/>
  <c r="M278" i="6"/>
  <c r="M277" i="6"/>
  <c r="M276" i="6"/>
  <c r="M275" i="6"/>
  <c r="M274" i="6"/>
  <c r="M273" i="6"/>
  <c r="M272" i="6"/>
  <c r="M271" i="6"/>
  <c r="M270" i="6"/>
  <c r="M269" i="6"/>
  <c r="M268" i="6"/>
  <c r="M267" i="6"/>
  <c r="M266" i="6"/>
  <c r="M265" i="6"/>
  <c r="M264" i="6"/>
  <c r="M263" i="6"/>
  <c r="M262" i="6"/>
  <c r="M261" i="6"/>
  <c r="M260" i="6"/>
  <c r="M259" i="6"/>
  <c r="M258" i="6"/>
  <c r="M257" i="6"/>
  <c r="M256" i="6"/>
  <c r="M255" i="6"/>
  <c r="M254" i="6"/>
  <c r="M253" i="6"/>
  <c r="M252" i="6"/>
  <c r="M251" i="6"/>
  <c r="M250" i="6"/>
  <c r="M249" i="6"/>
  <c r="M248" i="6"/>
  <c r="M247" i="6"/>
  <c r="M246" i="6"/>
  <c r="M245" i="6"/>
  <c r="M244" i="6"/>
  <c r="M243" i="6"/>
  <c r="M242" i="6"/>
  <c r="M241" i="6"/>
  <c r="M240" i="6"/>
  <c r="M239" i="6"/>
  <c r="M238" i="6"/>
  <c r="M237" i="6"/>
  <c r="M236" i="6"/>
  <c r="M235" i="6"/>
  <c r="M234" i="6"/>
  <c r="M233" i="6"/>
  <c r="M232" i="6"/>
  <c r="M231" i="6"/>
  <c r="M230" i="6"/>
  <c r="M229" i="6"/>
  <c r="M228" i="6"/>
  <c r="M227" i="6"/>
  <c r="M226" i="6"/>
  <c r="M225" i="6"/>
  <c r="M224" i="6"/>
  <c r="M223" i="6"/>
  <c r="M222" i="6"/>
  <c r="M221" i="6"/>
  <c r="M220" i="6"/>
  <c r="M219" i="6"/>
  <c r="M218" i="6"/>
  <c r="M217" i="6"/>
  <c r="M216" i="6"/>
  <c r="M215" i="6"/>
  <c r="M214" i="6"/>
  <c r="M213" i="6"/>
  <c r="M212" i="6"/>
  <c r="M211" i="6"/>
  <c r="M210" i="6"/>
  <c r="M209" i="6"/>
  <c r="M208" i="6"/>
  <c r="M207" i="6"/>
  <c r="M206" i="6"/>
  <c r="M205" i="6"/>
  <c r="M204" i="6"/>
  <c r="M203" i="6"/>
  <c r="M202" i="6"/>
  <c r="M201" i="6"/>
  <c r="M200" i="6"/>
  <c r="M199" i="6"/>
  <c r="M198" i="6"/>
  <c r="M197" i="6"/>
  <c r="M196" i="6"/>
  <c r="M195" i="6"/>
  <c r="M194" i="6"/>
  <c r="M193" i="6"/>
  <c r="M192" i="6"/>
  <c r="M191" i="6"/>
  <c r="M190" i="6"/>
  <c r="M189" i="6"/>
  <c r="M188" i="6"/>
  <c r="M187" i="6"/>
  <c r="M186" i="6"/>
  <c r="M185" i="6"/>
  <c r="M184" i="6"/>
  <c r="M183" i="6"/>
  <c r="M182" i="6"/>
  <c r="M181" i="6"/>
  <c r="M180" i="6"/>
  <c r="M179" i="6"/>
  <c r="M178" i="6"/>
  <c r="M177" i="6"/>
  <c r="M176" i="6"/>
  <c r="M175" i="6"/>
  <c r="M174" i="6"/>
  <c r="M173" i="6"/>
  <c r="M172" i="6"/>
  <c r="M171" i="6"/>
  <c r="M170" i="6"/>
  <c r="M169" i="6"/>
  <c r="M168" i="6"/>
  <c r="M167" i="6"/>
  <c r="M166" i="6"/>
  <c r="M165" i="6"/>
  <c r="M164" i="6"/>
  <c r="M163" i="6"/>
  <c r="M162" i="6"/>
  <c r="M161" i="6"/>
  <c r="M160" i="6"/>
  <c r="M159" i="6"/>
  <c r="M158" i="6"/>
  <c r="M157" i="6"/>
  <c r="M156" i="6"/>
  <c r="M155" i="6"/>
  <c r="M154" i="6"/>
  <c r="M153" i="6"/>
  <c r="M152" i="6"/>
  <c r="M151" i="6"/>
  <c r="M150" i="6"/>
  <c r="M149" i="6"/>
  <c r="M148" i="6"/>
  <c r="M147" i="6"/>
  <c r="M146" i="6"/>
  <c r="M145" i="6"/>
  <c r="M144" i="6"/>
  <c r="M143" i="6"/>
  <c r="M142" i="6"/>
  <c r="M141" i="6"/>
  <c r="M140" i="6"/>
  <c r="M139" i="6"/>
  <c r="M138" i="6"/>
  <c r="M137" i="6"/>
  <c r="M136" i="6"/>
  <c r="M135" i="6"/>
  <c r="M134" i="6"/>
  <c r="M133" i="6"/>
  <c r="M132" i="6"/>
  <c r="M131" i="6"/>
  <c r="M130" i="6"/>
  <c r="M129" i="6"/>
  <c r="M128" i="6"/>
  <c r="M127" i="6"/>
  <c r="M126" i="6"/>
  <c r="M125"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M2" i="6"/>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C29" i="5" l="1"/>
  <c r="B29" i="5" l="1"/>
  <c r="P1515" i="1"/>
  <c r="M2385" i="1"/>
  <c r="M822" i="1"/>
  <c r="M1158" i="1"/>
  <c r="M1781" i="1"/>
  <c r="M680" i="1"/>
  <c r="M1256" i="1"/>
  <c r="M1383" i="1"/>
  <c r="M1542" i="1"/>
  <c r="M812" i="1"/>
  <c r="M935" i="1"/>
  <c r="M1784" i="1"/>
  <c r="M2389" i="1"/>
  <c r="M2390" i="1"/>
  <c r="M1000" i="1"/>
  <c r="M2391" i="1"/>
  <c r="M1785" i="1"/>
  <c r="M2392" i="1"/>
  <c r="M2393" i="1"/>
  <c r="M2394" i="1"/>
  <c r="M1071" i="1"/>
  <c r="M1543" i="1"/>
  <c r="M1507" i="1"/>
  <c r="M868" i="1"/>
  <c r="M1152" i="1"/>
  <c r="M1786" i="1"/>
  <c r="M2395" i="1"/>
  <c r="M2396" i="1"/>
  <c r="M1732" i="1"/>
  <c r="M930" i="1"/>
  <c r="M1249" i="1"/>
  <c r="M573" i="1"/>
  <c r="M2238" i="1"/>
  <c r="M102" i="1"/>
  <c r="M2266" i="1"/>
  <c r="M995" i="1"/>
  <c r="M1373" i="1"/>
  <c r="M607" i="1"/>
  <c r="M1527" i="1"/>
  <c r="M643" i="1"/>
  <c r="M681" i="1"/>
  <c r="M724" i="1"/>
  <c r="M772" i="1"/>
  <c r="M1756" i="1"/>
  <c r="M823" i="1"/>
  <c r="M879" i="1"/>
  <c r="M941" i="1"/>
  <c r="M2318" i="1"/>
  <c r="M1006" i="1"/>
  <c r="M1077" i="1"/>
  <c r="M1159" i="1"/>
  <c r="M1257" i="1"/>
  <c r="M1757" i="1"/>
  <c r="M1384" i="1"/>
  <c r="M1544" i="1"/>
  <c r="M2319" i="1"/>
  <c r="M1787" i="1"/>
  <c r="M2397" i="1"/>
  <c r="M2398" i="1"/>
  <c r="M1788" i="1"/>
  <c r="M2267" i="1"/>
  <c r="M1066" i="1"/>
  <c r="M1758" i="1"/>
  <c r="M2399" i="1"/>
  <c r="M1052" i="1"/>
  <c r="M1712" i="1"/>
  <c r="M2" i="1"/>
  <c r="M106" i="1"/>
  <c r="M2268" i="1"/>
  <c r="M1147" i="1"/>
  <c r="M2320" i="1"/>
  <c r="M2400" i="1"/>
  <c r="M2401" i="1"/>
  <c r="M305" i="1"/>
  <c r="M325" i="1"/>
  <c r="M346" i="1"/>
  <c r="M367" i="1"/>
  <c r="M1244" i="1"/>
  <c r="M2321" i="1"/>
  <c r="M388" i="1"/>
  <c r="M410" i="1"/>
  <c r="M2322" i="1"/>
  <c r="M433" i="1"/>
  <c r="M457" i="1"/>
  <c r="M485" i="1"/>
  <c r="M513" i="1"/>
  <c r="M121" i="1"/>
  <c r="M541" i="1"/>
  <c r="M574" i="1"/>
  <c r="M992" i="1"/>
  <c r="M1367" i="1"/>
  <c r="M127" i="1"/>
  <c r="M608" i="1"/>
  <c r="M644" i="1"/>
  <c r="M1521" i="1"/>
  <c r="M134" i="1"/>
  <c r="M682" i="1"/>
  <c r="M725" i="1"/>
  <c r="M773" i="1"/>
  <c r="M378" i="1"/>
  <c r="M1132" i="1"/>
  <c r="M2219" i="1"/>
  <c r="M3" i="1"/>
  <c r="M110" i="1"/>
  <c r="M1062" i="1"/>
  <c r="M1748" i="1"/>
  <c r="M141" i="1"/>
  <c r="M824" i="1"/>
  <c r="M880" i="1"/>
  <c r="M942" i="1"/>
  <c r="M1007" i="1"/>
  <c r="M1078" i="1"/>
  <c r="M148" i="1"/>
  <c r="M1160" i="1"/>
  <c r="M2306" i="1"/>
  <c r="M156" i="1"/>
  <c r="M1258" i="1"/>
  <c r="M154" i="1"/>
  <c r="M164" i="1"/>
  <c r="M1385" i="1"/>
  <c r="M1545" i="1"/>
  <c r="M172" i="1"/>
  <c r="M1789" i="1"/>
  <c r="M2402" i="1"/>
  <c r="M180" i="1"/>
  <c r="M2403" i="1"/>
  <c r="M2404" i="1"/>
  <c r="M2405" i="1"/>
  <c r="M2406" i="1"/>
  <c r="M1790" i="1"/>
  <c r="M2407" i="1"/>
  <c r="M1259" i="1"/>
  <c r="M1142" i="1"/>
  <c r="M162" i="1"/>
  <c r="M189" i="1"/>
  <c r="M1386" i="1"/>
  <c r="M1546" i="1"/>
  <c r="M198" i="1"/>
  <c r="M1791" i="1"/>
  <c r="M2408" i="1"/>
  <c r="M170" i="1"/>
  <c r="M208" i="1"/>
  <c r="M2409" i="1"/>
  <c r="M1966" i="1"/>
  <c r="M1978" i="1"/>
  <c r="M1991" i="1"/>
  <c r="M2001" i="1"/>
  <c r="M396" i="1"/>
  <c r="M2017" i="1"/>
  <c r="M313" i="1"/>
  <c r="M1454" i="1"/>
  <c r="M1205" i="1"/>
  <c r="M850" i="1"/>
  <c r="M2061" i="1"/>
  <c r="M2064" i="1"/>
  <c r="M1327" i="1"/>
  <c r="M1670" i="1"/>
  <c r="M979" i="1"/>
  <c r="M1684" i="1"/>
  <c r="M2163" i="1"/>
  <c r="M1049" i="1"/>
  <c r="M399" i="1"/>
  <c r="M1226" i="1"/>
  <c r="M1056" i="1"/>
  <c r="M4" i="1"/>
  <c r="M114" i="1"/>
  <c r="M1237" i="1"/>
  <c r="M178" i="1"/>
  <c r="M220" i="1"/>
  <c r="M2410" i="1"/>
  <c r="M2411" i="1"/>
  <c r="M1359" i="1"/>
  <c r="M187" i="1"/>
  <c r="M232" i="1"/>
  <c r="M2412" i="1"/>
  <c r="M1046" i="1"/>
  <c r="M2132" i="1"/>
  <c r="M2164" i="1"/>
  <c r="M1129" i="1"/>
  <c r="M422" i="1"/>
  <c r="M1345" i="1"/>
  <c r="M1136" i="1"/>
  <c r="M5" i="1"/>
  <c r="M119" i="1"/>
  <c r="M1508" i="1"/>
  <c r="M196" i="1"/>
  <c r="M244" i="1"/>
  <c r="M2413" i="1"/>
  <c r="M1733" i="1"/>
  <c r="M206" i="1"/>
  <c r="M256" i="1"/>
  <c r="M825" i="1"/>
  <c r="M881" i="1"/>
  <c r="M943" i="1"/>
  <c r="M1008" i="1"/>
  <c r="M1079" i="1"/>
  <c r="M1161" i="1"/>
  <c r="M1260" i="1"/>
  <c r="M1387" i="1"/>
  <c r="M1547" i="1"/>
  <c r="M125" i="1"/>
  <c r="M2269" i="1"/>
  <c r="M218" i="1"/>
  <c r="M269" i="1"/>
  <c r="M1792" i="1"/>
  <c r="M2414" i="1"/>
  <c r="M285" i="1"/>
  <c r="M2415" i="1"/>
  <c r="M2416" i="1"/>
  <c r="M200" i="1"/>
  <c r="M210" i="1"/>
  <c r="M230" i="1"/>
  <c r="M302" i="1"/>
  <c r="M222" i="1"/>
  <c r="M234" i="1"/>
  <c r="M246" i="1"/>
  <c r="M258" i="1"/>
  <c r="M322" i="1"/>
  <c r="M272" i="1"/>
  <c r="M288" i="1"/>
  <c r="M6" i="1"/>
  <c r="M132" i="1"/>
  <c r="M562" i="1"/>
  <c r="M242" i="1"/>
  <c r="M343" i="1"/>
  <c r="M306" i="1"/>
  <c r="M326" i="1"/>
  <c r="M347" i="1"/>
  <c r="M368" i="1"/>
  <c r="M389" i="1"/>
  <c r="M596" i="1"/>
  <c r="M254" i="1"/>
  <c r="M364" i="1"/>
  <c r="M411" i="1"/>
  <c r="M434" i="1"/>
  <c r="M458" i="1"/>
  <c r="M1490" i="1"/>
  <c r="M1231" i="1"/>
  <c r="M7" i="1"/>
  <c r="M139" i="1"/>
  <c r="M632" i="1"/>
  <c r="M267" i="1"/>
  <c r="M385" i="1"/>
  <c r="M486" i="1"/>
  <c r="M514" i="1"/>
  <c r="M407" i="1"/>
  <c r="M542" i="1"/>
  <c r="M575" i="1"/>
  <c r="M609" i="1"/>
  <c r="M645" i="1"/>
  <c r="M683" i="1"/>
  <c r="M726" i="1"/>
  <c r="M774" i="1"/>
  <c r="M826" i="1"/>
  <c r="M882" i="1"/>
  <c r="M944" i="1"/>
  <c r="M1009" i="1"/>
  <c r="M1080" i="1"/>
  <c r="M1162" i="1"/>
  <c r="M1261" i="1"/>
  <c r="M1388" i="1"/>
  <c r="M1548" i="1"/>
  <c r="M1793" i="1"/>
  <c r="M282" i="1"/>
  <c r="M430" i="1"/>
  <c r="M2417" i="1"/>
  <c r="M1794" i="1"/>
  <c r="M1979" i="1"/>
  <c r="M1992" i="1"/>
  <c r="M2002" i="1"/>
  <c r="M418" i="1"/>
  <c r="M2018" i="1"/>
  <c r="M334" i="1"/>
  <c r="M1645" i="1"/>
  <c r="M1318" i="1"/>
  <c r="M911" i="1"/>
  <c r="M278" i="1"/>
  <c r="M2065" i="1"/>
  <c r="M1467" i="1"/>
  <c r="M2097" i="1"/>
  <c r="M1125" i="1"/>
  <c r="M1336" i="1"/>
  <c r="M2165" i="1"/>
  <c r="M1223" i="1"/>
  <c r="M446" i="1"/>
  <c r="M1707" i="1"/>
  <c r="M1350" i="1"/>
  <c r="M8" i="1"/>
  <c r="M146" i="1"/>
  <c r="M670" i="1"/>
  <c r="M298" i="1"/>
  <c r="M454" i="1"/>
  <c r="M2418" i="1"/>
  <c r="M727" i="1"/>
  <c r="M775" i="1"/>
  <c r="M827" i="1"/>
  <c r="M883" i="1"/>
  <c r="M790" i="1"/>
  <c r="M1193" i="1"/>
  <c r="M1603" i="1"/>
  <c r="M1890" i="1"/>
  <c r="M1896" i="1"/>
  <c r="M1899" i="1"/>
  <c r="M1301" i="1"/>
  <c r="M1906" i="1"/>
  <c r="M1912" i="1"/>
  <c r="M1918" i="1"/>
  <c r="M1195" i="1"/>
  <c r="M1435" i="1"/>
  <c r="M1304" i="1"/>
  <c r="M1034" i="1"/>
  <c r="M1945" i="1"/>
  <c r="M1951" i="1"/>
  <c r="M1960" i="1"/>
  <c r="M521" i="1"/>
  <c r="M1631" i="1"/>
  <c r="M1310" i="1"/>
  <c r="M1980" i="1"/>
  <c r="M1313" i="1"/>
  <c r="M2003" i="1"/>
  <c r="M442" i="1"/>
  <c r="M2019" i="1"/>
  <c r="M355" i="1"/>
  <c r="M2022" i="1"/>
  <c r="M1456" i="1"/>
  <c r="M975" i="1"/>
  <c r="M294" i="1"/>
  <c r="M2066" i="1"/>
  <c r="M1665" i="1"/>
  <c r="M2098" i="1"/>
  <c r="M1216" i="1"/>
  <c r="M1478" i="1"/>
  <c r="M2166" i="1"/>
  <c r="M1342" i="1"/>
  <c r="M470" i="1"/>
  <c r="M2201" i="1"/>
  <c r="M1495" i="1"/>
  <c r="M9" i="1"/>
  <c r="M153" i="1"/>
  <c r="M712" i="1"/>
  <c r="M318" i="1"/>
  <c r="M481" i="1"/>
  <c r="M945" i="1"/>
  <c r="M161" i="1"/>
  <c r="M759" i="1"/>
  <c r="M339" i="1"/>
  <c r="M509" i="1"/>
  <c r="M1010" i="1"/>
  <c r="M1081" i="1"/>
  <c r="M1163" i="1"/>
  <c r="M1262" i="1"/>
  <c r="M1389" i="1"/>
  <c r="M1549" i="1"/>
  <c r="M1795" i="1"/>
  <c r="M537" i="1"/>
  <c r="M2419" i="1"/>
  <c r="M2420" i="1"/>
  <c r="M2421" i="1"/>
  <c r="M2422" i="1"/>
  <c r="M2423" i="1"/>
  <c r="M884" i="1"/>
  <c r="M569" i="1"/>
  <c r="M946" i="1"/>
  <c r="M1011" i="1"/>
  <c r="M1082" i="1"/>
  <c r="M1164" i="1"/>
  <c r="M1263" i="1"/>
  <c r="M1390" i="1"/>
  <c r="M169" i="1"/>
  <c r="M810" i="1"/>
  <c r="M360" i="1"/>
  <c r="M603" i="1"/>
  <c r="M1550" i="1"/>
  <c r="M1796" i="1"/>
  <c r="M2424" i="1"/>
  <c r="M2425" i="1"/>
  <c r="M2426" i="1"/>
  <c r="M2427" i="1"/>
  <c r="M1551" i="1"/>
  <c r="M1797" i="1"/>
  <c r="M2428" i="1"/>
  <c r="M498" i="1"/>
  <c r="M2202" i="1"/>
  <c r="M1713" i="1"/>
  <c r="M10" i="1"/>
  <c r="M177" i="1"/>
  <c r="M866" i="1"/>
  <c r="M381" i="1"/>
  <c r="M639" i="1"/>
  <c r="M1798" i="1"/>
  <c r="M403" i="1"/>
  <c r="M677" i="1"/>
  <c r="M2429" i="1"/>
  <c r="M720" i="1"/>
  <c r="M1264" i="1"/>
  <c r="M1391" i="1"/>
  <c r="M1486" i="1"/>
  <c r="M526" i="1"/>
  <c r="M2203" i="1"/>
  <c r="M2220" i="1"/>
  <c r="M11" i="1"/>
  <c r="M186" i="1"/>
  <c r="M928" i="1"/>
  <c r="M426" i="1"/>
  <c r="M767" i="1"/>
  <c r="M1552" i="1"/>
  <c r="M1799" i="1"/>
  <c r="M2430" i="1"/>
  <c r="M2431" i="1"/>
  <c r="M1800" i="1"/>
  <c r="M818" i="1"/>
  <c r="M2432" i="1"/>
  <c r="M1671" i="1"/>
  <c r="M1332" i="1"/>
  <c r="M1685" i="1"/>
  <c r="M2167" i="1"/>
  <c r="M1700" i="1"/>
  <c r="M556" i="1"/>
  <c r="M2204" i="1"/>
  <c r="M472" i="1"/>
  <c r="M12" i="1"/>
  <c r="M195" i="1"/>
  <c r="M993" i="1"/>
  <c r="M450" i="1"/>
  <c r="M874" i="1"/>
  <c r="M1801" i="1"/>
  <c r="M550" i="1"/>
  <c r="M1963" i="1"/>
  <c r="M1446" i="1"/>
  <c r="M1981" i="1"/>
  <c r="M1450" i="1"/>
  <c r="M2004" i="1"/>
  <c r="M466" i="1"/>
  <c r="M2020" i="1"/>
  <c r="M376" i="1"/>
  <c r="M1204" i="1"/>
  <c r="M1649" i="1"/>
  <c r="M1041" i="1"/>
  <c r="M314" i="1"/>
  <c r="M2067" i="1"/>
  <c r="M2078" i="1"/>
  <c r="M2099" i="1"/>
  <c r="M1473" i="1"/>
  <c r="M2133" i="1"/>
  <c r="M1339" i="1"/>
  <c r="M2186" i="1"/>
  <c r="M590" i="1"/>
  <c r="M2205" i="1"/>
  <c r="M500" i="1"/>
  <c r="M13" i="1"/>
  <c r="M205" i="1"/>
  <c r="M1063" i="1"/>
  <c r="M477" i="1"/>
  <c r="M936" i="1"/>
  <c r="M2433" i="1"/>
  <c r="M2434" i="1"/>
  <c r="M1143" i="1"/>
  <c r="M505" i="1"/>
  <c r="M1001" i="1"/>
  <c r="M2435" i="1"/>
  <c r="M2436" i="1"/>
  <c r="M1265" i="1"/>
  <c r="M1392" i="1"/>
  <c r="M626" i="1"/>
  <c r="M2206" i="1"/>
  <c r="M528" i="1"/>
  <c r="M14" i="1"/>
  <c r="M217" i="1"/>
  <c r="M1238" i="1"/>
  <c r="M533" i="1"/>
  <c r="M1072" i="1"/>
  <c r="M1553" i="1"/>
  <c r="M1802" i="1"/>
  <c r="M229" i="1"/>
  <c r="M1360" i="1"/>
  <c r="M565" i="1"/>
  <c r="M1153" i="1"/>
  <c r="M2437" i="1"/>
  <c r="M599" i="1"/>
  <c r="M1250" i="1"/>
  <c r="M2438" i="1"/>
  <c r="M241" i="1"/>
  <c r="M1509" i="1"/>
  <c r="M635" i="1"/>
  <c r="M1374" i="1"/>
  <c r="M1554" i="1"/>
  <c r="M1528" i="1"/>
  <c r="M1803" i="1"/>
  <c r="M1759" i="1"/>
  <c r="M2439" i="1"/>
  <c r="M2440" i="1"/>
  <c r="M2323" i="1"/>
  <c r="M2441" i="1"/>
  <c r="M2442" i="1"/>
  <c r="M1734" i="1"/>
  <c r="M673" i="1"/>
  <c r="M1760" i="1"/>
  <c r="M2443" i="1"/>
  <c r="M2444" i="1"/>
  <c r="M15" i="1"/>
  <c r="M253" i="1"/>
  <c r="M2270" i="1"/>
  <c r="M715" i="1"/>
  <c r="M2324" i="1"/>
  <c r="M2445" i="1"/>
  <c r="M2446" i="1"/>
  <c r="M2447" i="1"/>
  <c r="M2325" i="1"/>
  <c r="M610" i="1"/>
  <c r="M646" i="1"/>
  <c r="M559" i="1"/>
  <c r="M16" i="1"/>
  <c r="M266" i="1"/>
  <c r="M2271" i="1"/>
  <c r="M762" i="1"/>
  <c r="M2326" i="1"/>
  <c r="M684" i="1"/>
  <c r="M728" i="1"/>
  <c r="M776" i="1"/>
  <c r="M828" i="1"/>
  <c r="M885" i="1"/>
  <c r="M947" i="1"/>
  <c r="M1012" i="1"/>
  <c r="M813" i="1"/>
  <c r="M1761" i="1"/>
  <c r="M1083" i="1"/>
  <c r="M1165" i="1"/>
  <c r="M1266" i="1"/>
  <c r="M1393" i="1"/>
  <c r="M1555" i="1"/>
  <c r="M2327" i="1"/>
  <c r="M1804" i="1"/>
  <c r="M2448" i="1"/>
  <c r="M2328" i="1"/>
  <c r="M1805" i="1"/>
  <c r="M1529" i="1"/>
  <c r="M2449" i="1"/>
  <c r="M2450" i="1"/>
  <c r="M2272" i="1"/>
  <c r="M869" i="1"/>
  <c r="M1762" i="1"/>
  <c r="M2451" i="1"/>
  <c r="M2452" i="1"/>
  <c r="M2453" i="1"/>
  <c r="M2329" i="1"/>
  <c r="M2454" i="1"/>
  <c r="M2455" i="1"/>
  <c r="M2456" i="1"/>
  <c r="M2457" i="1"/>
  <c r="M829" i="1"/>
  <c r="M886" i="1"/>
  <c r="M1763" i="1"/>
  <c r="M948" i="1"/>
  <c r="M1013" i="1"/>
  <c r="M1084" i="1"/>
  <c r="M1166" i="1"/>
  <c r="M281" i="1"/>
  <c r="M1510" i="1"/>
  <c r="M931" i="1"/>
  <c r="M2330" i="1"/>
  <c r="M1267" i="1"/>
  <c r="M335" i="1"/>
  <c r="M914" i="1"/>
  <c r="M2079" i="1"/>
  <c r="M1672" i="1"/>
  <c r="M1677" i="1"/>
  <c r="M1479" i="1"/>
  <c r="M1482" i="1"/>
  <c r="M2187" i="1"/>
  <c r="M663" i="1"/>
  <c r="M2207" i="1"/>
  <c r="M593" i="1"/>
  <c r="M17" i="1"/>
  <c r="M297" i="1"/>
  <c r="M1735" i="1"/>
  <c r="M996" i="1"/>
  <c r="M1764" i="1"/>
  <c r="M1394" i="1"/>
  <c r="M317" i="1"/>
  <c r="M2273" i="1"/>
  <c r="M1067" i="1"/>
  <c r="M2331" i="1"/>
  <c r="M1556" i="1"/>
  <c r="M1251" i="1"/>
  <c r="M1806" i="1"/>
  <c r="M2458" i="1"/>
  <c r="M887" i="1"/>
  <c r="M1148" i="1"/>
  <c r="M1375" i="1"/>
  <c r="M949" i="1"/>
  <c r="M1014" i="1"/>
  <c r="M338" i="1"/>
  <c r="M2274" i="1"/>
  <c r="M1245" i="1"/>
  <c r="M1530" i="1"/>
  <c r="M1085" i="1"/>
  <c r="M1167" i="1"/>
  <c r="M1268" i="1"/>
  <c r="M1395" i="1"/>
  <c r="M1557" i="1"/>
  <c r="M1686" i="1"/>
  <c r="M1695" i="1"/>
  <c r="M2188" i="1"/>
  <c r="M704" i="1"/>
  <c r="M558" i="1"/>
  <c r="M629" i="1"/>
  <c r="M18" i="1"/>
  <c r="M359" i="1"/>
  <c r="M1511" i="1"/>
  <c r="M1368" i="1"/>
  <c r="M1765" i="1"/>
  <c r="M1807" i="1"/>
  <c r="M2459" i="1"/>
  <c r="M777" i="1"/>
  <c r="M2332" i="1"/>
  <c r="M830" i="1"/>
  <c r="M2333" i="1"/>
  <c r="M888" i="1"/>
  <c r="M1736" i="1"/>
  <c r="M1522" i="1"/>
  <c r="M2334" i="1"/>
  <c r="M950" i="1"/>
  <c r="M1749" i="1"/>
  <c r="M2335" i="1"/>
  <c r="M1015" i="1"/>
  <c r="M1086" i="1"/>
  <c r="M1168" i="1"/>
  <c r="M1269" i="1"/>
  <c r="M2336" i="1"/>
  <c r="M1396" i="1"/>
  <c r="M1558" i="1"/>
  <c r="M1376" i="1"/>
  <c r="M1808" i="1"/>
  <c r="M2460" i="1"/>
  <c r="M2461" i="1"/>
  <c r="M1531" i="1"/>
  <c r="M831" i="1"/>
  <c r="M889" i="1"/>
  <c r="M951" i="1"/>
  <c r="M1016" i="1"/>
  <c r="M2275" i="1"/>
  <c r="M2307" i="1"/>
  <c r="M1766" i="1"/>
  <c r="M1087" i="1"/>
  <c r="M1169" i="1"/>
  <c r="M1270" i="1"/>
  <c r="M1397" i="1"/>
  <c r="M1559" i="1"/>
  <c r="M2337" i="1"/>
  <c r="M1809" i="1"/>
  <c r="M2462" i="1"/>
  <c r="M2463" i="1"/>
  <c r="M2464" i="1"/>
  <c r="M2465" i="1"/>
  <c r="M2466" i="1"/>
  <c r="M2467" i="1"/>
  <c r="M1560" i="1"/>
  <c r="M2338" i="1"/>
  <c r="M1810" i="1"/>
  <c r="M1767" i="1"/>
  <c r="M2468" i="1"/>
  <c r="M380" i="1"/>
  <c r="M1737" i="1"/>
  <c r="M2308" i="1"/>
  <c r="M2339" i="1"/>
  <c r="M2469" i="1"/>
  <c r="M2470" i="1"/>
  <c r="M2471" i="1"/>
  <c r="M2472" i="1"/>
  <c r="M2473" i="1"/>
  <c r="M1561" i="1"/>
  <c r="M2276" i="1"/>
  <c r="M2309" i="1"/>
  <c r="M2340" i="1"/>
  <c r="M1811" i="1"/>
  <c r="M2474" i="1"/>
  <c r="M1812" i="1"/>
  <c r="M2475" i="1"/>
  <c r="M1813" i="1"/>
  <c r="M2476" i="1"/>
  <c r="M2477" i="1"/>
  <c r="M2478" i="1"/>
  <c r="M2479" i="1"/>
  <c r="M2021" i="1"/>
  <c r="M397" i="1"/>
  <c r="M1317" i="1"/>
  <c r="M2042" i="1"/>
  <c r="M1119" i="1"/>
  <c r="M356" i="1"/>
  <c r="M978" i="1"/>
  <c r="M1123" i="1"/>
  <c r="M2100" i="1"/>
  <c r="M2116" i="1"/>
  <c r="M2134" i="1"/>
  <c r="M2168" i="1"/>
  <c r="M2189" i="1"/>
  <c r="M751" i="1"/>
  <c r="M592" i="1"/>
  <c r="M666" i="1"/>
  <c r="M19" i="1"/>
  <c r="M401" i="1"/>
  <c r="M402" i="1"/>
  <c r="M716" i="1"/>
  <c r="M2341" i="1"/>
  <c r="M1814" i="1"/>
  <c r="M2480" i="1"/>
  <c r="M2342" i="1"/>
  <c r="M685" i="1"/>
  <c r="M729" i="1"/>
  <c r="M763" i="1"/>
  <c r="M2343" i="1"/>
  <c r="M778" i="1"/>
  <c r="M832" i="1"/>
  <c r="M890" i="1"/>
  <c r="M20" i="1"/>
  <c r="M424" i="1"/>
  <c r="M425" i="1"/>
  <c r="M814" i="1"/>
  <c r="M1532" i="1"/>
  <c r="M952" i="1"/>
  <c r="M1017" i="1"/>
  <c r="M708" i="1"/>
  <c r="M21" i="1"/>
  <c r="M448" i="1"/>
  <c r="M449" i="1"/>
  <c r="M870" i="1"/>
  <c r="M1768" i="1"/>
  <c r="M1088" i="1"/>
  <c r="M1170" i="1"/>
  <c r="M1271" i="1"/>
  <c r="M1398" i="1"/>
  <c r="M1562" i="1"/>
  <c r="M1815" i="1"/>
  <c r="M1213" i="1"/>
  <c r="M2101" i="1"/>
  <c r="M1217" i="1"/>
  <c r="M2135" i="1"/>
  <c r="M2169" i="1"/>
  <c r="M2190" i="1"/>
  <c r="M801" i="1"/>
  <c r="M628" i="1"/>
  <c r="M755" i="1"/>
  <c r="M22" i="1"/>
  <c r="M474" i="1"/>
  <c r="M475" i="1"/>
  <c r="M932" i="1"/>
  <c r="M2344" i="1"/>
  <c r="M2481" i="1"/>
  <c r="M2345" i="1"/>
  <c r="M2482" i="1"/>
  <c r="M2483" i="1"/>
  <c r="M129" i="1"/>
  <c r="M1876" i="1"/>
  <c r="M1192" i="1"/>
  <c r="M1599" i="1"/>
  <c r="M1600" i="1"/>
  <c r="M1883" i="1"/>
  <c r="M618" i="1"/>
  <c r="M845" i="1"/>
  <c r="M1297" i="1"/>
  <c r="M1886" i="1"/>
  <c r="M1891" i="1"/>
  <c r="M1606" i="1"/>
  <c r="M1900" i="1"/>
  <c r="M1432" i="1"/>
  <c r="M1611" i="1"/>
  <c r="M1913" i="1"/>
  <c r="M1919" i="1"/>
  <c r="M1303" i="1"/>
  <c r="M1617" i="1"/>
  <c r="M1436" i="1"/>
  <c r="M1111" i="1"/>
  <c r="M1439" i="1"/>
  <c r="M1952" i="1"/>
  <c r="M1961" i="1"/>
  <c r="M584" i="1"/>
  <c r="M1964" i="1"/>
  <c r="M1634" i="1"/>
  <c r="M1448" i="1"/>
  <c r="M1640" i="1"/>
  <c r="M2005" i="1"/>
  <c r="M494" i="1"/>
  <c r="M117" i="1"/>
  <c r="M419" i="1"/>
  <c r="M1455" i="1"/>
  <c r="M2043" i="1"/>
  <c r="M1207" i="1"/>
  <c r="M377" i="1"/>
  <c r="M1044" i="1"/>
  <c r="M1328" i="1"/>
  <c r="M1330" i="1"/>
  <c r="M1333" i="1"/>
  <c r="M2136" i="1"/>
  <c r="M2170" i="1"/>
  <c r="M2191" i="1"/>
  <c r="M857" i="1"/>
  <c r="M665" i="1"/>
  <c r="M806" i="1"/>
  <c r="M23" i="1"/>
  <c r="M502" i="1"/>
  <c r="M503" i="1"/>
  <c r="M997" i="1"/>
  <c r="M2346" i="1"/>
  <c r="M136" i="1"/>
  <c r="M143" i="1"/>
  <c r="M2347" i="1"/>
  <c r="M150" i="1"/>
  <c r="M2348" i="1"/>
  <c r="M158" i="1"/>
  <c r="M1068" i="1"/>
  <c r="M2349" i="1"/>
  <c r="M166" i="1"/>
  <c r="M1302" i="1"/>
  <c r="M1434" i="1"/>
  <c r="M1927" i="1"/>
  <c r="M1620" i="1"/>
  <c r="M1196" i="1"/>
  <c r="M1624" i="1"/>
  <c r="M1953" i="1"/>
  <c r="M1442" i="1"/>
  <c r="M619" i="1"/>
  <c r="M1308" i="1"/>
  <c r="M1967" i="1"/>
  <c r="M1637" i="1"/>
  <c r="M1993" i="1"/>
  <c r="M2006" i="1"/>
  <c r="M522" i="1"/>
  <c r="M123" i="1"/>
  <c r="M443" i="1"/>
  <c r="M1646" i="1"/>
  <c r="M2044" i="1"/>
  <c r="M1320" i="1"/>
  <c r="M398" i="1"/>
  <c r="M1122" i="1"/>
  <c r="M1468" i="1"/>
  <c r="M1471" i="1"/>
  <c r="M1474" i="1"/>
  <c r="M2137" i="1"/>
  <c r="M2171" i="1"/>
  <c r="M625" i="1"/>
  <c r="M919" i="1"/>
  <c r="M706" i="1"/>
  <c r="M862" i="1"/>
  <c r="M24" i="1"/>
  <c r="M530" i="1"/>
  <c r="M531" i="1"/>
  <c r="M1149" i="1"/>
  <c r="M2350" i="1"/>
  <c r="M174" i="1"/>
  <c r="M182" i="1"/>
  <c r="M191" i="1"/>
  <c r="M201" i="1"/>
  <c r="M211" i="1"/>
  <c r="M223" i="1"/>
  <c r="M235" i="1"/>
  <c r="M420" i="1"/>
  <c r="M1210" i="1"/>
  <c r="M1666" i="1"/>
  <c r="M1673" i="1"/>
  <c r="M1678" i="1"/>
  <c r="M1687" i="1"/>
  <c r="M2172" i="1"/>
  <c r="M662" i="1"/>
  <c r="M983" i="1"/>
  <c r="M753" i="1"/>
  <c r="M924" i="1"/>
  <c r="M25" i="1"/>
  <c r="M561" i="1"/>
  <c r="M563" i="1"/>
  <c r="M1246" i="1"/>
  <c r="M2351" i="1"/>
  <c r="M247" i="1"/>
  <c r="M259" i="1"/>
  <c r="M2173" i="1"/>
  <c r="M703" i="1"/>
  <c r="M1051" i="1"/>
  <c r="M803" i="1"/>
  <c r="M988" i="1"/>
  <c r="M26" i="1"/>
  <c r="M595" i="1"/>
  <c r="M597" i="1"/>
  <c r="M1369" i="1"/>
  <c r="M2352" i="1"/>
  <c r="M273" i="1"/>
  <c r="M289" i="1"/>
  <c r="M307" i="1"/>
  <c r="M327" i="1"/>
  <c r="M348" i="1"/>
  <c r="M2353" i="1"/>
  <c r="M369" i="1"/>
  <c r="M631" i="1"/>
  <c r="M633" i="1"/>
  <c r="M1523" i="1"/>
  <c r="M2354" i="1"/>
  <c r="M390" i="1"/>
  <c r="M412" i="1"/>
  <c r="M435" i="1"/>
  <c r="M2117" i="1"/>
  <c r="M2138" i="1"/>
  <c r="M2174" i="1"/>
  <c r="M750" i="1"/>
  <c r="M1131" i="1"/>
  <c r="M859" i="1"/>
  <c r="M1057" i="1"/>
  <c r="M27" i="1"/>
  <c r="M668" i="1"/>
  <c r="M671" i="1"/>
  <c r="M1750" i="1"/>
  <c r="M768" i="1"/>
  <c r="M459" i="1"/>
  <c r="M1137" i="1"/>
  <c r="M28" i="1"/>
  <c r="M710" i="1"/>
  <c r="M713" i="1"/>
  <c r="M2310" i="1"/>
  <c r="M819" i="1"/>
  <c r="M487" i="1"/>
  <c r="M2023" i="1"/>
  <c r="M2045" i="1"/>
  <c r="M1459" i="1"/>
  <c r="M444" i="1"/>
  <c r="M1324" i="1"/>
  <c r="M2080" i="1"/>
  <c r="M2102" i="1"/>
  <c r="M1679" i="1"/>
  <c r="M2139" i="1"/>
  <c r="M2175" i="1"/>
  <c r="M800" i="1"/>
  <c r="M1225" i="1"/>
  <c r="M921" i="1"/>
  <c r="M1232" i="1"/>
  <c r="M29" i="1"/>
  <c r="M757" i="1"/>
  <c r="M760" i="1"/>
  <c r="M283" i="1"/>
  <c r="M875" i="1"/>
  <c r="M515" i="1"/>
  <c r="M543" i="1"/>
  <c r="M576" i="1"/>
  <c r="M611" i="1"/>
  <c r="M647" i="1"/>
  <c r="M686" i="1"/>
  <c r="M730" i="1"/>
  <c r="M779" i="1"/>
  <c r="M937" i="1"/>
  <c r="M833" i="1"/>
  <c r="M811" i="1"/>
  <c r="M299" i="1"/>
  <c r="M1002" i="1"/>
  <c r="M891" i="1"/>
  <c r="M953" i="1"/>
  <c r="M319" i="1"/>
  <c r="M1073" i="1"/>
  <c r="M1018" i="1"/>
  <c r="M340" i="1"/>
  <c r="M1154" i="1"/>
  <c r="M1089" i="1"/>
  <c r="M1171" i="1"/>
  <c r="M867" i="1"/>
  <c r="M361" i="1"/>
  <c r="M1252" i="1"/>
  <c r="M1272" i="1"/>
  <c r="M2024" i="1"/>
  <c r="M2046" i="1"/>
  <c r="M1653" i="1"/>
  <c r="M468" i="1"/>
  <c r="M1463" i="1"/>
  <c r="M2081" i="1"/>
  <c r="M2103" i="1"/>
  <c r="M2118" i="1"/>
  <c r="M1688" i="1"/>
  <c r="M2176" i="1"/>
  <c r="M856" i="1"/>
  <c r="M1344" i="1"/>
  <c r="M985" i="1"/>
  <c r="M1351" i="1"/>
  <c r="M30" i="1"/>
  <c r="M808" i="1"/>
  <c r="M929" i="1"/>
  <c r="M382" i="1"/>
  <c r="M1377" i="1"/>
  <c r="M1399" i="1"/>
  <c r="M1533" i="1"/>
  <c r="M1563" i="1"/>
  <c r="M1816" i="1"/>
  <c r="M1859" i="1"/>
  <c r="M1860" i="1"/>
  <c r="M262" i="1"/>
  <c r="M276" i="1"/>
  <c r="M292" i="1"/>
  <c r="M310" i="1"/>
  <c r="M330" i="1"/>
  <c r="M351" i="1"/>
  <c r="M372" i="1"/>
  <c r="M393" i="1"/>
  <c r="M415" i="1"/>
  <c r="M439" i="1"/>
  <c r="M463" i="1"/>
  <c r="M491" i="1"/>
  <c r="M519" i="1"/>
  <c r="M547" i="1"/>
  <c r="M581" i="1"/>
  <c r="M616" i="1"/>
  <c r="M652" i="1"/>
  <c r="M692" i="1"/>
  <c r="M738" i="1"/>
  <c r="M788" i="1"/>
  <c r="M842" i="1"/>
  <c r="M901" i="1"/>
  <c r="M963" i="1"/>
  <c r="M1029" i="1"/>
  <c r="M1103" i="1"/>
  <c r="M1187" i="1"/>
  <c r="M1290" i="1"/>
  <c r="M1420" i="1"/>
  <c r="M1593" i="1"/>
  <c r="M1861" i="1"/>
  <c r="M1862" i="1"/>
  <c r="M1863" i="1"/>
  <c r="M843" i="1"/>
  <c r="M902" i="1"/>
  <c r="M964" i="1"/>
  <c r="M1030" i="1"/>
  <c r="M1104" i="1"/>
  <c r="M1188" i="1"/>
  <c r="M1291" i="1"/>
  <c r="M1421" i="1"/>
  <c r="M1594" i="1"/>
  <c r="M1864" i="1"/>
  <c r="M1865" i="1"/>
  <c r="M1866" i="1"/>
  <c r="M1867" i="1"/>
  <c r="M1868" i="1"/>
  <c r="M1869" i="1"/>
  <c r="M1870" i="1"/>
  <c r="M1871" i="1"/>
  <c r="M1189" i="1"/>
  <c r="M1292" i="1"/>
  <c r="M1422" i="1"/>
  <c r="M1595" i="1"/>
  <c r="M1872" i="1"/>
  <c r="M311" i="1"/>
  <c r="M331" i="1"/>
  <c r="M352" i="1"/>
  <c r="M373" i="1"/>
  <c r="M394" i="1"/>
  <c r="M416" i="1"/>
  <c r="M440" i="1"/>
  <c r="M464" i="1"/>
  <c r="M492" i="1"/>
  <c r="M520" i="1"/>
  <c r="M548" i="1"/>
  <c r="M582" i="1"/>
  <c r="M617" i="1"/>
  <c r="M653" i="1"/>
  <c r="M693" i="1"/>
  <c r="M739" i="1"/>
  <c r="M844" i="1"/>
  <c r="M965" i="1"/>
  <c r="M1105" i="1"/>
  <c r="M1293" i="1"/>
  <c r="M1596" i="1"/>
  <c r="M1294" i="1"/>
  <c r="M1597" i="1"/>
  <c r="M1875" i="1"/>
  <c r="M1191" i="1"/>
  <c r="M1425" i="1"/>
  <c r="M1877" i="1"/>
  <c r="M1296" i="1"/>
  <c r="M1878" i="1"/>
  <c r="M1881" i="1"/>
  <c r="M1884" i="1"/>
  <c r="M654" i="1"/>
  <c r="M904" i="1"/>
  <c r="M1427" i="1"/>
  <c r="M1887" i="1"/>
  <c r="M1605" i="1"/>
  <c r="M1897" i="1"/>
  <c r="M1300" i="1"/>
  <c r="M1609" i="1"/>
  <c r="M1907" i="1"/>
  <c r="M1613" i="1"/>
  <c r="M1433" i="1"/>
  <c r="M1616" i="1"/>
  <c r="M1928" i="1"/>
  <c r="M1935" i="1"/>
  <c r="M1305" i="1"/>
  <c r="M1946" i="1"/>
  <c r="M1954" i="1"/>
  <c r="M1630" i="1"/>
  <c r="M655" i="1"/>
  <c r="M1444" i="1"/>
  <c r="M1968" i="1"/>
  <c r="M1982" i="1"/>
  <c r="M1994" i="1"/>
  <c r="M2007" i="1"/>
  <c r="M551" i="1"/>
  <c r="M130" i="1"/>
  <c r="M467" i="1"/>
  <c r="M2025" i="1"/>
  <c r="M2047" i="1"/>
  <c r="M2055" i="1"/>
  <c r="M496" i="1"/>
  <c r="M1658" i="1"/>
  <c r="M2082" i="1"/>
  <c r="M2104" i="1"/>
  <c r="M2119" i="1"/>
  <c r="M2140" i="1"/>
  <c r="M421" i="1"/>
  <c r="M918" i="1"/>
  <c r="M1488" i="1"/>
  <c r="M1053" i="1"/>
  <c r="M1496" i="1"/>
  <c r="M31" i="1"/>
  <c r="M864" i="1"/>
  <c r="M994" i="1"/>
  <c r="M404" i="1"/>
  <c r="M1769" i="1"/>
  <c r="M2484" i="1"/>
  <c r="M2355" i="1"/>
  <c r="M2485" i="1"/>
  <c r="M427" i="1"/>
  <c r="M2356" i="1"/>
  <c r="M2486" i="1"/>
  <c r="M1674" i="1"/>
  <c r="M2120" i="1"/>
  <c r="M2141" i="1"/>
  <c r="M445" i="1"/>
  <c r="M982" i="1"/>
  <c r="M1703" i="1"/>
  <c r="M1133" i="1"/>
  <c r="M1714" i="1"/>
  <c r="M32" i="1"/>
  <c r="M926" i="1"/>
  <c r="M1064" i="1"/>
  <c r="M451" i="1"/>
  <c r="M1770" i="1"/>
  <c r="M2487" i="1"/>
  <c r="M2488" i="1"/>
  <c r="M1172" i="1"/>
  <c r="M1273" i="1"/>
  <c r="M1400" i="1"/>
  <c r="M1144" i="1"/>
  <c r="M478" i="1"/>
  <c r="M2357" i="1"/>
  <c r="M1564" i="1"/>
  <c r="M2358" i="1"/>
  <c r="M1817" i="1"/>
  <c r="M2489" i="1"/>
  <c r="M1818" i="1"/>
  <c r="M2359" i="1"/>
  <c r="M2490" i="1"/>
  <c r="M687" i="1"/>
  <c r="M731" i="1"/>
  <c r="M780" i="1"/>
  <c r="M1771" i="1"/>
  <c r="M834" i="1"/>
  <c r="M892" i="1"/>
  <c r="M2360" i="1"/>
  <c r="M954" i="1"/>
  <c r="M1019" i="1"/>
  <c r="M506" i="1"/>
  <c r="M2361" i="1"/>
  <c r="M1090" i="1"/>
  <c r="M1173" i="1"/>
  <c r="M1274" i="1"/>
  <c r="M1401" i="1"/>
  <c r="M1565" i="1"/>
  <c r="M1819" i="1"/>
  <c r="M2491" i="1"/>
  <c r="M2221" i="1"/>
  <c r="M33" i="1"/>
  <c r="M990" i="1"/>
  <c r="M1239" i="1"/>
  <c r="M534" i="1"/>
  <c r="M2362" i="1"/>
  <c r="M2492" i="1"/>
  <c r="M2493" i="1"/>
  <c r="M2494" i="1"/>
  <c r="M1227" i="1"/>
  <c r="M2222" i="1"/>
  <c r="M34" i="1"/>
  <c r="M1059" i="1"/>
  <c r="M1361" i="1"/>
  <c r="M566" i="1"/>
  <c r="M2363" i="1"/>
  <c r="M732" i="1"/>
  <c r="M524" i="1"/>
  <c r="M2068" i="1"/>
  <c r="M1667" i="1"/>
  <c r="M2105" i="1"/>
  <c r="M1475" i="1"/>
  <c r="M2142" i="1"/>
  <c r="M469" i="1"/>
  <c r="M1050" i="1"/>
  <c r="M2196" i="1"/>
  <c r="M1346" i="1"/>
  <c r="M2223" i="1"/>
  <c r="M35" i="1"/>
  <c r="M1139" i="1"/>
  <c r="M1512" i="1"/>
  <c r="M600" i="1"/>
  <c r="M2364" i="1"/>
  <c r="M781" i="1"/>
  <c r="M835" i="1"/>
  <c r="M893" i="1"/>
  <c r="M636" i="1"/>
  <c r="M1534" i="1"/>
  <c r="M955" i="1"/>
  <c r="M1020" i="1"/>
  <c r="M674" i="1"/>
  <c r="M1772" i="1"/>
  <c r="M1091" i="1"/>
  <c r="M2365" i="1"/>
  <c r="M1174" i="1"/>
  <c r="M585" i="1"/>
  <c r="M137" i="1"/>
  <c r="M495" i="1"/>
  <c r="M2026" i="1"/>
  <c r="M2048" i="1"/>
  <c r="M2056" i="1"/>
  <c r="M553" i="1"/>
  <c r="M2069" i="1"/>
  <c r="M2083" i="1"/>
  <c r="M2106" i="1"/>
  <c r="M1680" i="1"/>
  <c r="M1689" i="1"/>
  <c r="M497" i="1"/>
  <c r="M1130" i="1"/>
  <c r="M2197" i="1"/>
  <c r="M1491" i="1"/>
  <c r="M2224" i="1"/>
  <c r="M36" i="1"/>
  <c r="M1234" i="1"/>
  <c r="M1738" i="1"/>
  <c r="M717" i="1"/>
  <c r="M270" i="1"/>
  <c r="M1275" i="1"/>
  <c r="M1402" i="1"/>
  <c r="M1566" i="1"/>
  <c r="M764" i="1"/>
  <c r="M286" i="1"/>
  <c r="M1820" i="1"/>
  <c r="M2495" i="1"/>
  <c r="M815" i="1"/>
  <c r="M303" i="1"/>
  <c r="M1567" i="1"/>
  <c r="M1821" i="1"/>
  <c r="M2496" i="1"/>
  <c r="M2497" i="1"/>
  <c r="M2498" i="1"/>
  <c r="M577" i="1"/>
  <c r="M612" i="1"/>
  <c r="M648" i="1"/>
  <c r="M871" i="1"/>
  <c r="M323" i="1"/>
  <c r="M688" i="1"/>
  <c r="M733" i="1"/>
  <c r="M782" i="1"/>
  <c r="M1355" i="1"/>
  <c r="M2277" i="1"/>
  <c r="M933" i="1"/>
  <c r="M344" i="1"/>
  <c r="M836" i="1"/>
  <c r="M894" i="1"/>
  <c r="M956" i="1"/>
  <c r="M365" i="1"/>
  <c r="M1021" i="1"/>
  <c r="M37" i="1"/>
  <c r="M1502" i="1"/>
  <c r="M2278" i="1"/>
  <c r="M998" i="1"/>
  <c r="M386" i="1"/>
  <c r="M1092" i="1"/>
  <c r="M1175" i="1"/>
  <c r="M1276" i="1"/>
  <c r="M1403" i="1"/>
  <c r="M1568" i="1"/>
  <c r="M2279" i="1"/>
  <c r="M1069" i="1"/>
  <c r="M408" i="1"/>
  <c r="M1822" i="1"/>
  <c r="M2499" i="1"/>
  <c r="M2225" i="1"/>
  <c r="M38" i="1"/>
  <c r="M1722" i="1"/>
  <c r="M1513" i="1"/>
  <c r="M1150" i="1"/>
  <c r="M431" i="1"/>
  <c r="M2500" i="1"/>
  <c r="M2239" i="1"/>
  <c r="M1739" i="1"/>
  <c r="M1247" i="1"/>
  <c r="M455" i="1"/>
  <c r="M2501" i="1"/>
  <c r="M2027" i="1"/>
  <c r="M2049" i="1"/>
  <c r="M2057" i="1"/>
  <c r="M587" i="1"/>
  <c r="M1211" i="1"/>
  <c r="M2084" i="1"/>
  <c r="M2107" i="1"/>
  <c r="M2121" i="1"/>
  <c r="M2143" i="1"/>
  <c r="M525" i="1"/>
  <c r="M1224" i="1"/>
  <c r="M1704" i="1"/>
  <c r="M1708" i="1"/>
  <c r="M2226" i="1"/>
  <c r="M39" i="1"/>
  <c r="M1723" i="1"/>
  <c r="M2280" i="1"/>
  <c r="M1370" i="1"/>
  <c r="M482" i="1"/>
  <c r="M1176" i="1"/>
  <c r="M1431" i="1"/>
  <c r="M1902" i="1"/>
  <c r="M1908" i="1"/>
  <c r="M1914" i="1"/>
  <c r="M1615" i="1"/>
  <c r="M1921" i="1"/>
  <c r="M1618" i="1"/>
  <c r="M1936" i="1"/>
  <c r="M1438" i="1"/>
  <c r="M1440" i="1"/>
  <c r="M1955" i="1"/>
  <c r="M1962" i="1"/>
  <c r="M695" i="1"/>
  <c r="M1632" i="1"/>
  <c r="M1969" i="1"/>
  <c r="M1983" i="1"/>
  <c r="M1995" i="1"/>
  <c r="M2008" i="1"/>
  <c r="M620" i="1"/>
  <c r="M144" i="1"/>
  <c r="M523" i="1"/>
  <c r="M2028" i="1"/>
  <c r="M2050" i="1"/>
  <c r="M2058" i="1"/>
  <c r="M622" i="1"/>
  <c r="M1325" i="1"/>
  <c r="M1045" i="1"/>
  <c r="M2108" i="1"/>
  <c r="M2122" i="1"/>
  <c r="M2144" i="1"/>
  <c r="M555" i="1"/>
  <c r="M1343" i="1"/>
  <c r="M2198" i="1"/>
  <c r="M2208" i="1"/>
  <c r="M2227" i="1"/>
  <c r="M40" i="1"/>
  <c r="M2240" i="1"/>
  <c r="M2281" i="1"/>
  <c r="M1524" i="1"/>
  <c r="M510" i="1"/>
  <c r="M1277" i="1"/>
  <c r="M1404" i="1"/>
  <c r="M1569" i="1"/>
  <c r="M1218" i="1"/>
  <c r="M2145" i="1"/>
  <c r="M589" i="1"/>
  <c r="M1487" i="1"/>
  <c r="M1705" i="1"/>
  <c r="M2209" i="1"/>
  <c r="M2228" i="1"/>
  <c r="M41" i="1"/>
  <c r="M1503" i="1"/>
  <c r="M1514" i="1"/>
  <c r="M1751" i="1"/>
  <c r="M538" i="1"/>
  <c r="M1823" i="1"/>
  <c r="M741" i="1"/>
  <c r="M1965" i="1"/>
  <c r="M1970" i="1"/>
  <c r="M1984" i="1"/>
  <c r="M971" i="1"/>
  <c r="M2009" i="1"/>
  <c r="M656" i="1"/>
  <c r="M151" i="1"/>
  <c r="M552" i="1"/>
  <c r="M2029" i="1"/>
  <c r="M910" i="1"/>
  <c r="M2059" i="1"/>
  <c r="M659" i="1"/>
  <c r="M1464" i="1"/>
  <c r="M1124" i="1"/>
  <c r="M2109" i="1"/>
  <c r="M1334" i="1"/>
  <c r="M2146" i="1"/>
  <c r="M624" i="1"/>
  <c r="M1701" i="1"/>
  <c r="M2199" i="1"/>
  <c r="M804" i="1"/>
  <c r="M1715" i="1"/>
  <c r="M42" i="1"/>
  <c r="M1724" i="1"/>
  <c r="M1740" i="1"/>
  <c r="M2311" i="1"/>
  <c r="M570" i="1"/>
  <c r="M2502" i="1"/>
  <c r="M696" i="1"/>
  <c r="M1971" i="1"/>
  <c r="M1985" i="1"/>
  <c r="M1037" i="1"/>
  <c r="M2010" i="1"/>
  <c r="M697" i="1"/>
  <c r="M159" i="1"/>
  <c r="M586" i="1"/>
  <c r="M1647" i="1"/>
  <c r="M974" i="1"/>
  <c r="M1654" i="1"/>
  <c r="M700" i="1"/>
  <c r="M1659" i="1"/>
  <c r="M1214" i="1"/>
  <c r="M2110" i="1"/>
  <c r="M1476" i="1"/>
  <c r="M1337" i="1"/>
  <c r="M661" i="1"/>
  <c r="M2192" i="1"/>
  <c r="M1489" i="1"/>
  <c r="M860" i="1"/>
  <c r="M2229" i="1"/>
  <c r="M43" i="1"/>
  <c r="M2241" i="1"/>
  <c r="M2282" i="1"/>
  <c r="M300" i="1"/>
  <c r="M604" i="1"/>
  <c r="M783" i="1"/>
  <c r="M837" i="1"/>
  <c r="M640" i="1"/>
  <c r="M895" i="1"/>
  <c r="M2283" i="1"/>
  <c r="M320" i="1"/>
  <c r="M678" i="1"/>
  <c r="M957" i="1"/>
  <c r="M721" i="1"/>
  <c r="M1022" i="1"/>
  <c r="M1093" i="1"/>
  <c r="M1879" i="1"/>
  <c r="M1882" i="1"/>
  <c r="M549" i="1"/>
  <c r="M694" i="1"/>
  <c r="M966" i="1"/>
  <c r="M1602" i="1"/>
  <c r="M1888" i="1"/>
  <c r="M1892" i="1"/>
  <c r="M1299" i="1"/>
  <c r="M1608" i="1"/>
  <c r="M1610" i="1"/>
  <c r="M1909" i="1"/>
  <c r="M1915" i="1"/>
  <c r="M1920" i="1"/>
  <c r="M1922" i="1"/>
  <c r="M1929" i="1"/>
  <c r="M1437" i="1"/>
  <c r="M1622" i="1"/>
  <c r="M1625" i="1"/>
  <c r="M1956" i="1"/>
  <c r="M312" i="1"/>
  <c r="M791" i="1"/>
  <c r="M742" i="1"/>
  <c r="M1972" i="1"/>
  <c r="M1638" i="1"/>
  <c r="M1115" i="1"/>
  <c r="M2011" i="1"/>
  <c r="M743" i="1"/>
  <c r="M167" i="1"/>
  <c r="M621" i="1"/>
  <c r="M2030" i="1"/>
  <c r="M1040" i="1"/>
  <c r="M2060" i="1"/>
  <c r="M746" i="1"/>
  <c r="M2070" i="1"/>
  <c r="M1329" i="1"/>
  <c r="M1675" i="1"/>
  <c r="M1681" i="1"/>
  <c r="M1480" i="1"/>
  <c r="M702" i="1"/>
  <c r="M1702" i="1"/>
  <c r="M1706" i="1"/>
  <c r="M922" i="1"/>
  <c r="M1352" i="1"/>
  <c r="M44" i="1"/>
  <c r="M669" i="1"/>
  <c r="M2284" i="1"/>
  <c r="M341" i="1"/>
  <c r="M769" i="1"/>
  <c r="M1177" i="1"/>
  <c r="M820" i="1"/>
  <c r="M1278" i="1"/>
  <c r="M876" i="1"/>
  <c r="M1405" i="1"/>
  <c r="M1570" i="1"/>
  <c r="M1824" i="1"/>
  <c r="M1032" i="1"/>
  <c r="M1885" i="1"/>
  <c r="M1429" i="1"/>
  <c r="M1893" i="1"/>
  <c r="M1430" i="1"/>
  <c r="M1901" i="1"/>
  <c r="M1903" i="1"/>
  <c r="M1612" i="1"/>
  <c r="M1614" i="1"/>
  <c r="M967" i="1"/>
  <c r="M1923" i="1"/>
  <c r="M1930" i="1"/>
  <c r="M1621" i="1"/>
  <c r="M1940" i="1"/>
  <c r="M1947" i="1"/>
  <c r="M1957" i="1"/>
  <c r="M332" i="1"/>
  <c r="M846" i="1"/>
  <c r="M792" i="1"/>
  <c r="M1973" i="1"/>
  <c r="M1986" i="1"/>
  <c r="M1201" i="1"/>
  <c r="M2012" i="1"/>
  <c r="M793" i="1"/>
  <c r="M175" i="1"/>
  <c r="M657" i="1"/>
  <c r="M2031" i="1"/>
  <c r="M1118" i="1"/>
  <c r="M658" i="1"/>
  <c r="M796" i="1"/>
  <c r="M1465" i="1"/>
  <c r="M1469" i="1"/>
  <c r="M2111" i="1"/>
  <c r="M2123" i="1"/>
  <c r="M1690" i="1"/>
  <c r="M749" i="1"/>
  <c r="M2193" i="1"/>
  <c r="M2200" i="1"/>
  <c r="M986" i="1"/>
  <c r="M1497" i="1"/>
  <c r="M45" i="1"/>
  <c r="M711" i="1"/>
  <c r="M2285" i="1"/>
  <c r="M362" i="1"/>
  <c r="M938" i="1"/>
  <c r="M2503" i="1"/>
  <c r="M1003" i="1"/>
  <c r="M2504" i="1"/>
  <c r="M212" i="1"/>
  <c r="M224" i="1"/>
  <c r="M1074" i="1"/>
  <c r="M236" i="1"/>
  <c r="M248" i="1"/>
  <c r="M383" i="1"/>
  <c r="M1155" i="1"/>
  <c r="M260" i="1"/>
  <c r="M1253" i="1"/>
  <c r="M274" i="1"/>
  <c r="M1378" i="1"/>
  <c r="M290" i="1"/>
  <c r="M758" i="1"/>
  <c r="M2286" i="1"/>
  <c r="M405" i="1"/>
  <c r="M1535" i="1"/>
  <c r="M308" i="1"/>
  <c r="M328" i="1"/>
  <c r="M349" i="1"/>
  <c r="M370" i="1"/>
  <c r="M391" i="1"/>
  <c r="M2287" i="1"/>
  <c r="M428" i="1"/>
  <c r="M1773" i="1"/>
  <c r="M413" i="1"/>
  <c r="M436" i="1"/>
  <c r="M2366" i="1"/>
  <c r="M460" i="1"/>
  <c r="M488" i="1"/>
  <c r="M516" i="1"/>
  <c r="M544" i="1"/>
  <c r="M578" i="1"/>
  <c r="M452" i="1"/>
  <c r="M2367" i="1"/>
  <c r="M613" i="1"/>
  <c r="M649" i="1"/>
  <c r="M689" i="1"/>
  <c r="M734" i="1"/>
  <c r="M784" i="1"/>
  <c r="M838" i="1"/>
  <c r="M896" i="1"/>
  <c r="M958" i="1"/>
  <c r="M1023" i="1"/>
  <c r="M1094" i="1"/>
  <c r="M1178" i="1"/>
  <c r="M2147" i="1"/>
  <c r="M799" i="1"/>
  <c r="M2194" i="1"/>
  <c r="M185" i="1"/>
  <c r="M1054" i="1"/>
  <c r="M1716" i="1"/>
  <c r="M46" i="1"/>
  <c r="M809" i="1"/>
  <c r="M2288" i="1"/>
  <c r="M479" i="1"/>
  <c r="M2368" i="1"/>
  <c r="M1279" i="1"/>
  <c r="M1406" i="1"/>
  <c r="M1536" i="1"/>
  <c r="M1571" i="1"/>
  <c r="M1825" i="1"/>
  <c r="M2505" i="1"/>
  <c r="M1774" i="1"/>
  <c r="M2506" i="1"/>
  <c r="M1826" i="1"/>
  <c r="M2507" i="1"/>
  <c r="M1827" i="1"/>
  <c r="M2508" i="1"/>
  <c r="M507" i="1"/>
  <c r="M2369" i="1"/>
  <c r="M2509" i="1"/>
  <c r="M353" i="1"/>
  <c r="M906" i="1"/>
  <c r="M847" i="1"/>
  <c r="M1974" i="1"/>
  <c r="M1987" i="1"/>
  <c r="M1314" i="1"/>
  <c r="M2013" i="1"/>
  <c r="M848" i="1"/>
  <c r="M183" i="1"/>
  <c r="M698" i="1"/>
  <c r="M2032" i="1"/>
  <c r="M1206" i="1"/>
  <c r="M699" i="1"/>
  <c r="M852" i="1"/>
  <c r="M1660" i="1"/>
  <c r="M1668" i="1"/>
  <c r="M2112" i="1"/>
  <c r="M2124" i="1"/>
  <c r="M2148" i="1"/>
  <c r="M855" i="1"/>
  <c r="M2195" i="1"/>
  <c r="M194" i="1"/>
  <c r="M1134" i="1"/>
  <c r="M2230" i="1"/>
  <c r="M47" i="1"/>
  <c r="M865" i="1"/>
  <c r="M2289" i="1"/>
  <c r="M535" i="1"/>
  <c r="M2370" i="1"/>
  <c r="M2510" i="1"/>
  <c r="M2511" i="1"/>
  <c r="M2512" i="1"/>
  <c r="M567" i="1"/>
  <c r="M2371" i="1"/>
  <c r="M2513" i="1"/>
  <c r="M2514" i="1"/>
  <c r="M2515" i="1"/>
  <c r="M1775" i="1"/>
  <c r="M2516" i="1"/>
  <c r="M1515" i="1"/>
  <c r="M601" i="1"/>
  <c r="M2372" i="1"/>
  <c r="M1828" i="1"/>
  <c r="M2033" i="1"/>
  <c r="M1319" i="1"/>
  <c r="M745" i="1"/>
  <c r="M913" i="1"/>
  <c r="M2071" i="1"/>
  <c r="M2085" i="1"/>
  <c r="M2113" i="1"/>
  <c r="M2125" i="1"/>
  <c r="M2149" i="1"/>
  <c r="M917" i="1"/>
  <c r="M95" i="1"/>
  <c r="M204" i="1"/>
  <c r="M1228" i="1"/>
  <c r="M2231" i="1"/>
  <c r="M48" i="1"/>
  <c r="M927" i="1"/>
  <c r="M1741" i="1"/>
  <c r="M637" i="1"/>
  <c r="M1379" i="1"/>
  <c r="M2517" i="1"/>
  <c r="M1537" i="1"/>
  <c r="M1829" i="1"/>
  <c r="M2518" i="1"/>
  <c r="M2290" i="1"/>
  <c r="M675" i="1"/>
  <c r="M1776" i="1"/>
  <c r="M735" i="1"/>
  <c r="M785" i="1"/>
  <c r="M2373" i="1"/>
  <c r="M839" i="1"/>
  <c r="M897" i="1"/>
  <c r="M789" i="1"/>
  <c r="M903" i="1"/>
  <c r="M1031" i="1"/>
  <c r="M1190" i="1"/>
  <c r="M1423" i="1"/>
  <c r="M1873" i="1"/>
  <c r="M1424" i="1"/>
  <c r="M1874" i="1"/>
  <c r="M1106" i="1"/>
  <c r="M1295" i="1"/>
  <c r="M1598" i="1"/>
  <c r="M1107" i="1"/>
  <c r="M1426" i="1"/>
  <c r="M1880" i="1"/>
  <c r="M1601" i="1"/>
  <c r="M583" i="1"/>
  <c r="M740" i="1"/>
  <c r="M1108" i="1"/>
  <c r="M1298" i="1"/>
  <c r="M1604" i="1"/>
  <c r="M1894" i="1"/>
  <c r="M1607" i="1"/>
  <c r="M1109" i="1"/>
  <c r="M1904" i="1"/>
  <c r="M1910" i="1"/>
  <c r="M1916" i="1"/>
  <c r="M1033" i="1"/>
  <c r="M1924" i="1"/>
  <c r="M1931" i="1"/>
  <c r="M1937" i="1"/>
  <c r="M1941" i="1"/>
  <c r="M1948" i="1"/>
  <c r="M1306" i="1"/>
  <c r="M374" i="1"/>
  <c r="M969" i="1"/>
  <c r="M907" i="1"/>
  <c r="M1975" i="1"/>
  <c r="M1114" i="1"/>
  <c r="M1451" i="1"/>
  <c r="M2014" i="1"/>
  <c r="M908" i="1"/>
  <c r="M192" i="1"/>
  <c r="M744" i="1"/>
  <c r="M2034" i="1"/>
  <c r="M1457" i="1"/>
  <c r="M795" i="1"/>
  <c r="M977" i="1"/>
  <c r="M1212" i="1"/>
  <c r="M2086" i="1"/>
  <c r="M2114" i="1"/>
  <c r="M2126" i="1"/>
  <c r="M2150" i="1"/>
  <c r="M981" i="1"/>
  <c r="M98" i="1"/>
  <c r="M216" i="1"/>
  <c r="M1347" i="1"/>
  <c r="M1498" i="1"/>
  <c r="M49" i="1"/>
  <c r="M991" i="1"/>
  <c r="M2291" i="1"/>
  <c r="M718" i="1"/>
  <c r="M483" i="1"/>
  <c r="M959" i="1"/>
  <c r="M1024" i="1"/>
  <c r="M1095" i="1"/>
  <c r="M1179" i="1"/>
  <c r="M1280" i="1"/>
  <c r="M511" i="1"/>
  <c r="M1407" i="1"/>
  <c r="M1572" i="1"/>
  <c r="M765" i="1"/>
  <c r="M539" i="1"/>
  <c r="M1830" i="1"/>
  <c r="M50" i="1"/>
  <c r="M1060" i="1"/>
  <c r="M2292" i="1"/>
  <c r="M816" i="1"/>
  <c r="M571" i="1"/>
  <c r="M2519" i="1"/>
  <c r="M1831" i="1"/>
  <c r="M2520" i="1"/>
  <c r="M605" i="1"/>
  <c r="M1408" i="1"/>
  <c r="M1573" i="1"/>
  <c r="M1832" i="1"/>
  <c r="M872" i="1"/>
  <c r="M641" i="1"/>
  <c r="M2521" i="1"/>
  <c r="M1409" i="1"/>
  <c r="M1043" i="1"/>
  <c r="M1326" i="1"/>
  <c r="M2087" i="1"/>
  <c r="M1215" i="1"/>
  <c r="M2127" i="1"/>
  <c r="M2151" i="1"/>
  <c r="M1048" i="1"/>
  <c r="M101" i="1"/>
  <c r="M228" i="1"/>
  <c r="M1492" i="1"/>
  <c r="M1717" i="1"/>
  <c r="M51" i="1"/>
  <c r="M1140" i="1"/>
  <c r="M1240" i="1"/>
  <c r="M934" i="1"/>
  <c r="M679" i="1"/>
  <c r="M1574" i="1"/>
  <c r="M1833" i="1"/>
  <c r="M722" i="1"/>
  <c r="M2522" i="1"/>
  <c r="M1281" i="1"/>
  <c r="M1410" i="1"/>
  <c r="M970" i="1"/>
  <c r="M1199" i="1"/>
  <c r="M1200" i="1"/>
  <c r="M1641" i="1"/>
  <c r="M1452" i="1"/>
  <c r="M972" i="1"/>
  <c r="M202" i="1"/>
  <c r="M794" i="1"/>
  <c r="M2035" i="1"/>
  <c r="M1650" i="1"/>
  <c r="M851" i="1"/>
  <c r="M1121" i="1"/>
  <c r="M1466" i="1"/>
  <c r="M2088" i="1"/>
  <c r="M1331" i="1"/>
  <c r="M748" i="1"/>
  <c r="M1691" i="1"/>
  <c r="M1127" i="1"/>
  <c r="M105" i="1"/>
  <c r="M240" i="1"/>
  <c r="M1709" i="1"/>
  <c r="M2232" i="1"/>
  <c r="M52" i="1"/>
  <c r="M1235" i="1"/>
  <c r="M1362" i="1"/>
  <c r="M999" i="1"/>
  <c r="M770" i="1"/>
  <c r="M1575" i="1"/>
  <c r="M1834" i="1"/>
  <c r="M2523" i="1"/>
  <c r="M2524" i="1"/>
  <c r="M1576" i="1"/>
  <c r="M821" i="1"/>
  <c r="M1835" i="1"/>
  <c r="M1356" i="1"/>
  <c r="M1516" i="1"/>
  <c r="M1070" i="1"/>
  <c r="M877" i="1"/>
  <c r="M2525" i="1"/>
  <c r="M1096" i="1"/>
  <c r="M1180" i="1"/>
  <c r="M1282" i="1"/>
  <c r="M1411" i="1"/>
  <c r="M1577" i="1"/>
  <c r="M1221" i="1"/>
  <c r="M109" i="1"/>
  <c r="M252" i="1"/>
  <c r="M2210" i="1"/>
  <c r="M1499" i="1"/>
  <c r="M53" i="1"/>
  <c r="M1504" i="1"/>
  <c r="M1742" i="1"/>
  <c r="M1151" i="1"/>
  <c r="M939" i="1"/>
  <c r="M1836" i="1"/>
  <c r="M2526" i="1"/>
  <c r="M1578" i="1"/>
  <c r="M1925" i="1"/>
  <c r="M1932" i="1"/>
  <c r="M1938" i="1"/>
  <c r="M1942" i="1"/>
  <c r="M1626" i="1"/>
  <c r="M1441" i="1"/>
  <c r="M395" i="1"/>
  <c r="M1035" i="1"/>
  <c r="M1036" i="1"/>
  <c r="M1311" i="1"/>
  <c r="M1312" i="1"/>
  <c r="M1996" i="1"/>
  <c r="M1643" i="1"/>
  <c r="M1038" i="1"/>
  <c r="M214" i="1"/>
  <c r="M849" i="1"/>
  <c r="M1648" i="1"/>
  <c r="M2051" i="1"/>
  <c r="M912" i="1"/>
  <c r="M1209" i="1"/>
  <c r="M1661" i="1"/>
  <c r="M2089" i="1"/>
  <c r="M1472" i="1"/>
  <c r="M798" i="1"/>
  <c r="M2152" i="1"/>
  <c r="M1340" i="1"/>
  <c r="M113" i="1"/>
  <c r="M265" i="1"/>
  <c r="M2211" i="1"/>
  <c r="M1718" i="1"/>
  <c r="M54" i="1"/>
  <c r="M1725" i="1"/>
  <c r="M2293" i="1"/>
  <c r="M1248" i="1"/>
  <c r="M1004" i="1"/>
  <c r="M1837" i="1"/>
  <c r="M1075" i="1"/>
  <c r="M2527" i="1"/>
  <c r="M854" i="1"/>
  <c r="M2153" i="1"/>
  <c r="M1483" i="1"/>
  <c r="M118" i="1"/>
  <c r="M280" i="1"/>
  <c r="M2212" i="1"/>
  <c r="M2233" i="1"/>
  <c r="M55" i="1"/>
  <c r="M2242" i="1"/>
  <c r="M2294" i="1"/>
  <c r="M1371" i="1"/>
  <c r="M1156" i="1"/>
  <c r="M1838" i="1"/>
  <c r="M2528" i="1"/>
  <c r="M1839" i="1"/>
  <c r="M2529" i="1"/>
  <c r="M2530" i="1"/>
  <c r="M124" i="1"/>
  <c r="M296" i="1"/>
  <c r="M2213" i="1"/>
  <c r="M2234" i="1"/>
  <c r="M56" i="1"/>
  <c r="M2243" i="1"/>
  <c r="M2295" i="1"/>
  <c r="M1525" i="1"/>
  <c r="M1254" i="1"/>
  <c r="M1840" i="1"/>
  <c r="M2531" i="1"/>
  <c r="M1097" i="1"/>
  <c r="M1181" i="1"/>
  <c r="M1752" i="1"/>
  <c r="M1380" i="1"/>
  <c r="M1283" i="1"/>
  <c r="M1538" i="1"/>
  <c r="M1412" i="1"/>
  <c r="M2244" i="1"/>
  <c r="M1743" i="1"/>
  <c r="M2312" i="1"/>
  <c r="M1777" i="1"/>
  <c r="M1579" i="1"/>
  <c r="M1841" i="1"/>
  <c r="M2374" i="1"/>
  <c r="M2532" i="1"/>
  <c r="M1778" i="1"/>
  <c r="M2533" i="1"/>
  <c r="M2534" i="1"/>
  <c r="M1025" i="1"/>
  <c r="M1098" i="1"/>
  <c r="M2245" i="1"/>
  <c r="M2296" i="1"/>
  <c r="M2313" i="1"/>
  <c r="M2375" i="1"/>
  <c r="M1182" i="1"/>
  <c r="M1284" i="1"/>
  <c r="M1753" i="1"/>
  <c r="M2376" i="1"/>
  <c r="M1413" i="1"/>
  <c r="M1580" i="1"/>
  <c r="M1842" i="1"/>
  <c r="M2535" i="1"/>
  <c r="M2536" i="1"/>
  <c r="M1099" i="1"/>
  <c r="M1183" i="1"/>
  <c r="M1285" i="1"/>
  <c r="M1414" i="1"/>
  <c r="M2072" i="1"/>
  <c r="M2090" i="1"/>
  <c r="M1676" i="1"/>
  <c r="M916" i="1"/>
  <c r="M2154" i="1"/>
  <c r="M1696" i="1"/>
  <c r="M131" i="1"/>
  <c r="M316" i="1"/>
  <c r="M2214" i="1"/>
  <c r="M1353" i="1"/>
  <c r="M57" i="1"/>
  <c r="M2246" i="1"/>
  <c r="M1145" i="1"/>
  <c r="M2314" i="1"/>
  <c r="M1381" i="1"/>
  <c r="M1581" i="1"/>
  <c r="M1539" i="1"/>
  <c r="M1843" i="1"/>
  <c r="M2537" i="1"/>
  <c r="M437" i="1"/>
  <c r="M461" i="1"/>
  <c r="M489" i="1"/>
  <c r="M517" i="1"/>
  <c r="M545" i="1"/>
  <c r="M579" i="1"/>
  <c r="M614" i="1"/>
  <c r="M2177" i="1"/>
  <c r="M138" i="1"/>
  <c r="M337" i="1"/>
  <c r="M1710" i="1"/>
  <c r="M1500" i="1"/>
  <c r="M58" i="1"/>
  <c r="M1357" i="1"/>
  <c r="M1241" i="1"/>
  <c r="M1372" i="1"/>
  <c r="M1779" i="1"/>
  <c r="M650" i="1"/>
  <c r="M145" i="1"/>
  <c r="M358" i="1"/>
  <c r="M2215" i="1"/>
  <c r="M1719" i="1"/>
  <c r="M59" i="1"/>
  <c r="M1505" i="1"/>
  <c r="M1363" i="1"/>
  <c r="M1526" i="1"/>
  <c r="M2377" i="1"/>
  <c r="M690" i="1"/>
  <c r="M2155" i="1"/>
  <c r="M2178" i="1"/>
  <c r="M152" i="1"/>
  <c r="M379" i="1"/>
  <c r="M1229" i="1"/>
  <c r="M2235" i="1"/>
  <c r="M60" i="1"/>
  <c r="M1726" i="1"/>
  <c r="M1517" i="1"/>
  <c r="M1754" i="1"/>
  <c r="M2378" i="1"/>
  <c r="M736" i="1"/>
  <c r="M786" i="1"/>
  <c r="M1697" i="1"/>
  <c r="M160" i="1"/>
  <c r="M400" i="1"/>
  <c r="M1348" i="1"/>
  <c r="M473" i="1"/>
  <c r="M61" i="1"/>
  <c r="M2247" i="1"/>
  <c r="M1744" i="1"/>
  <c r="M2315" i="1"/>
  <c r="M1780" i="1"/>
  <c r="M840" i="1"/>
  <c r="M898" i="1"/>
  <c r="M960" i="1"/>
  <c r="M1026" i="1"/>
  <c r="M1100" i="1"/>
  <c r="M1184" i="1"/>
  <c r="M1755" i="1"/>
  <c r="M2379" i="1"/>
  <c r="M1286" i="1"/>
  <c r="M1415" i="1"/>
  <c r="M1582" i="1"/>
  <c r="M1844" i="1"/>
  <c r="M2538" i="1"/>
  <c r="M1583" i="1"/>
  <c r="M2316" i="1"/>
  <c r="M2380" i="1"/>
  <c r="M1845" i="1"/>
  <c r="M74" i="1"/>
  <c r="M2539" i="1"/>
  <c r="M76" i="1"/>
  <c r="M1416" i="1"/>
  <c r="M1584" i="1"/>
  <c r="M1846" i="1"/>
  <c r="M2540" i="1"/>
  <c r="M78" i="1"/>
  <c r="M2541" i="1"/>
  <c r="M2115" i="1"/>
  <c r="M980" i="1"/>
  <c r="M2156" i="1"/>
  <c r="M2179" i="1"/>
  <c r="M168" i="1"/>
  <c r="M423" i="1"/>
  <c r="M1493" i="1"/>
  <c r="M501" i="1"/>
  <c r="M62" i="1"/>
  <c r="M1727" i="1"/>
  <c r="M2297" i="1"/>
  <c r="M2317" i="1"/>
  <c r="M80" i="1"/>
  <c r="M1847" i="1"/>
  <c r="M2542" i="1"/>
  <c r="M2543" i="1"/>
  <c r="M1428" i="1"/>
  <c r="M1889" i="1"/>
  <c r="M1895" i="1"/>
  <c r="M1898" i="1"/>
  <c r="M1194" i="1"/>
  <c r="M1905" i="1"/>
  <c r="M1911" i="1"/>
  <c r="M1917" i="1"/>
  <c r="M1110" i="1"/>
  <c r="M1926" i="1"/>
  <c r="M1619" i="1"/>
  <c r="M1939" i="1"/>
  <c r="M1943" i="1"/>
  <c r="M1949" i="1"/>
  <c r="M1628" i="1"/>
  <c r="M417" i="1"/>
  <c r="M1112" i="1"/>
  <c r="M1113" i="1"/>
  <c r="M1447" i="1"/>
  <c r="M1449" i="1"/>
  <c r="M1997" i="1"/>
  <c r="M2015" i="1"/>
  <c r="M1116" i="1"/>
  <c r="M226" i="1"/>
  <c r="M909" i="1"/>
  <c r="M2036" i="1"/>
  <c r="M1458" i="1"/>
  <c r="M976" i="1"/>
  <c r="M1322" i="1"/>
  <c r="M1662" i="1"/>
  <c r="M2091" i="1"/>
  <c r="M554" i="1"/>
  <c r="M1047" i="1"/>
  <c r="M2157" i="1"/>
  <c r="M2180" i="1"/>
  <c r="M176" i="1"/>
  <c r="M447" i="1"/>
  <c r="M1711" i="1"/>
  <c r="M529" i="1"/>
  <c r="M63" i="1"/>
  <c r="M2248" i="1"/>
  <c r="M2298" i="1"/>
  <c r="M103" i="1"/>
  <c r="M82" i="1"/>
  <c r="M2544" i="1"/>
  <c r="M2545" i="1"/>
  <c r="M2546" i="1"/>
  <c r="M2547" i="1"/>
  <c r="M1585" i="1"/>
  <c r="M64" i="1"/>
  <c r="M2249" i="1"/>
  <c r="M2299" i="1"/>
  <c r="M107" i="1"/>
  <c r="M84" i="1"/>
  <c r="M1848" i="1"/>
  <c r="M86" i="1"/>
  <c r="M2548" i="1"/>
  <c r="M588" i="1"/>
  <c r="M1126" i="1"/>
  <c r="M2158" i="1"/>
  <c r="M1484" i="1"/>
  <c r="M184" i="1"/>
  <c r="M471" i="1"/>
  <c r="M2216" i="1"/>
  <c r="M560" i="1"/>
  <c r="M65" i="1"/>
  <c r="M2250" i="1"/>
  <c r="M2300" i="1"/>
  <c r="M111" i="1"/>
  <c r="M88" i="1"/>
  <c r="M1849" i="1"/>
  <c r="M2549" i="1"/>
  <c r="M1850" i="1"/>
  <c r="M2550" i="1"/>
  <c r="M1219" i="1"/>
  <c r="M2159" i="1"/>
  <c r="M1698" i="1"/>
  <c r="M193" i="1"/>
  <c r="M499" i="1"/>
  <c r="M2217" i="1"/>
  <c r="M594" i="1"/>
  <c r="M66" i="1"/>
  <c r="M1728" i="1"/>
  <c r="M2301" i="1"/>
  <c r="M115" i="1"/>
  <c r="M90" i="1"/>
  <c r="M2551" i="1"/>
  <c r="M120" i="1"/>
  <c r="M92" i="1"/>
  <c r="M2552" i="1"/>
  <c r="M2553" i="1"/>
  <c r="M213" i="1"/>
  <c r="M1461" i="1"/>
  <c r="M2073" i="1"/>
  <c r="M1470" i="1"/>
  <c r="M623" i="1"/>
  <c r="M1335" i="1"/>
  <c r="M1692" i="1"/>
  <c r="M2181" i="1"/>
  <c r="M203" i="1"/>
  <c r="M527" i="1"/>
  <c r="M2218" i="1"/>
  <c r="M630" i="1"/>
  <c r="M67" i="1"/>
  <c r="M2251" i="1"/>
  <c r="M1364" i="1"/>
  <c r="M126" i="1"/>
  <c r="M94" i="1"/>
  <c r="M225" i="1"/>
  <c r="M237" i="1"/>
  <c r="M249" i="1"/>
  <c r="M68" i="1"/>
  <c r="M2252" i="1"/>
  <c r="M1518" i="1"/>
  <c r="M133" i="1"/>
  <c r="M97" i="1"/>
  <c r="M261" i="1"/>
  <c r="M2160" i="1"/>
  <c r="M2182" i="1"/>
  <c r="M215" i="1"/>
  <c r="M557" i="1"/>
  <c r="M707" i="1"/>
  <c r="M667" i="1"/>
  <c r="M69" i="1"/>
  <c r="M2253" i="1"/>
  <c r="M1745" i="1"/>
  <c r="M140" i="1"/>
  <c r="M100" i="1"/>
  <c r="M275" i="1"/>
  <c r="M291" i="1"/>
  <c r="M1933" i="1"/>
  <c r="M905" i="1"/>
  <c r="M1944" i="1"/>
  <c r="M1950" i="1"/>
  <c r="M1958" i="1"/>
  <c r="M441" i="1"/>
  <c r="M1197" i="1"/>
  <c r="M1198" i="1"/>
  <c r="M1635" i="1"/>
  <c r="M1639" i="1"/>
  <c r="M1642" i="1"/>
  <c r="M2016" i="1"/>
  <c r="M1202" i="1"/>
  <c r="M238" i="1"/>
  <c r="M973" i="1"/>
  <c r="M2037" i="1"/>
  <c r="M1651" i="1"/>
  <c r="M1042" i="1"/>
  <c r="M1656" i="1"/>
  <c r="M1663" i="1"/>
  <c r="M1669" i="1"/>
  <c r="M660" i="1"/>
  <c r="M1477" i="1"/>
  <c r="M1693" i="1"/>
  <c r="M2183" i="1"/>
  <c r="M227" i="1"/>
  <c r="M591" i="1"/>
  <c r="M754" i="1"/>
  <c r="M709" i="1"/>
  <c r="M70" i="1"/>
  <c r="M2254" i="1"/>
  <c r="M2302" i="1"/>
  <c r="M147" i="1"/>
  <c r="M104" i="1"/>
  <c r="M309" i="1"/>
  <c r="M329" i="1"/>
  <c r="M108" i="1"/>
  <c r="M350" i="1"/>
  <c r="M112" i="1"/>
  <c r="M371" i="1"/>
  <c r="M392" i="1"/>
  <c r="M414" i="1"/>
  <c r="M438" i="1"/>
  <c r="M462" i="1"/>
  <c r="M490" i="1"/>
  <c r="M518" i="1"/>
  <c r="M546" i="1"/>
  <c r="M580" i="1"/>
  <c r="M116" i="1"/>
  <c r="M615" i="1"/>
  <c r="M122" i="1"/>
  <c r="M651" i="1"/>
  <c r="M1682" i="1"/>
  <c r="M2161" i="1"/>
  <c r="M1128" i="1"/>
  <c r="M239" i="1"/>
  <c r="M627" i="1"/>
  <c r="M805" i="1"/>
  <c r="M756" i="1"/>
  <c r="M71" i="1"/>
  <c r="M1729" i="1"/>
  <c r="M2303" i="1"/>
  <c r="M155" i="1"/>
  <c r="M128" i="1"/>
  <c r="M691" i="1"/>
  <c r="M135" i="1"/>
  <c r="M737" i="1"/>
  <c r="M1065" i="1"/>
  <c r="M163" i="1"/>
  <c r="M142" i="1"/>
  <c r="M787" i="1"/>
  <c r="M1146" i="1"/>
  <c r="M171" i="1"/>
  <c r="M149" i="1"/>
  <c r="M841" i="1"/>
  <c r="M2255" i="1"/>
  <c r="M1242" i="1"/>
  <c r="M179" i="1"/>
  <c r="M157" i="1"/>
  <c r="M899" i="1"/>
  <c r="M961" i="1"/>
  <c r="M188" i="1"/>
  <c r="M165" i="1"/>
  <c r="M1027" i="1"/>
  <c r="M807" i="1"/>
  <c r="M72" i="1"/>
  <c r="M2256" i="1"/>
  <c r="M1365" i="1"/>
  <c r="M197" i="1"/>
  <c r="M173" i="1"/>
  <c r="M1101" i="1"/>
  <c r="M207" i="1"/>
  <c r="M181" i="1"/>
  <c r="M1185" i="1"/>
  <c r="M190" i="1"/>
  <c r="M1287" i="1"/>
  <c r="M199" i="1"/>
  <c r="M1417" i="1"/>
  <c r="M1586" i="1"/>
  <c r="M209" i="1"/>
  <c r="M1851" i="1"/>
  <c r="M863" i="1"/>
  <c r="M73" i="1"/>
  <c r="M1730" i="1"/>
  <c r="M1519" i="1"/>
  <c r="M219" i="1"/>
  <c r="M221" i="1"/>
  <c r="M2554" i="1"/>
  <c r="M900" i="1"/>
  <c r="M962" i="1"/>
  <c r="M861" i="1"/>
  <c r="M925" i="1"/>
  <c r="M75" i="1"/>
  <c r="M2257" i="1"/>
  <c r="M1746" i="1"/>
  <c r="M231" i="1"/>
  <c r="M233" i="1"/>
  <c r="M1028" i="1"/>
  <c r="M1102" i="1"/>
  <c r="M989" i="1"/>
  <c r="M77" i="1"/>
  <c r="M2258" i="1"/>
  <c r="M2304" i="1"/>
  <c r="M243" i="1"/>
  <c r="M245" i="1"/>
  <c r="M1186" i="1"/>
  <c r="M250" i="1"/>
  <c r="M1039" i="1"/>
  <c r="M2038" i="1"/>
  <c r="M2052" i="1"/>
  <c r="M1120" i="1"/>
  <c r="M2062" i="1"/>
  <c r="M2074" i="1"/>
  <c r="M2092" i="1"/>
  <c r="M701" i="1"/>
  <c r="M2128" i="1"/>
  <c r="M1220" i="1"/>
  <c r="M1222" i="1"/>
  <c r="M251" i="1"/>
  <c r="M664" i="1"/>
  <c r="M923" i="1"/>
  <c r="M1058" i="1"/>
  <c r="M79" i="1"/>
  <c r="M1506" i="1"/>
  <c r="M1243" i="1"/>
  <c r="M255" i="1"/>
  <c r="M257" i="1"/>
  <c r="M1288" i="1"/>
  <c r="M268" i="1"/>
  <c r="M271" i="1"/>
  <c r="M1418" i="1"/>
  <c r="M1366" i="1"/>
  <c r="M284" i="1"/>
  <c r="M287" i="1"/>
  <c r="M1587" i="1"/>
  <c r="M1852" i="1"/>
  <c r="M304" i="1"/>
  <c r="M2555" i="1"/>
  <c r="M2556" i="1"/>
  <c r="M2557" i="1"/>
  <c r="M2558" i="1"/>
  <c r="M2559" i="1"/>
  <c r="M2560" i="1"/>
  <c r="M301" i="1"/>
  <c r="M324" i="1"/>
  <c r="M1853" i="1"/>
  <c r="M345" i="1"/>
  <c r="M2561" i="1"/>
  <c r="M366" i="1"/>
  <c r="M2562" i="1"/>
  <c r="M2563" i="1"/>
  <c r="M2564" i="1"/>
  <c r="M2565" i="1"/>
  <c r="M1934" i="1"/>
  <c r="M968" i="1"/>
  <c r="M1623" i="1"/>
  <c r="M1627" i="1"/>
  <c r="M1959" i="1"/>
  <c r="M465" i="1"/>
  <c r="M1307" i="1"/>
  <c r="M1309" i="1"/>
  <c r="M1976" i="1"/>
  <c r="M1988" i="1"/>
  <c r="M1998" i="1"/>
  <c r="M333" i="1"/>
  <c r="M1315" i="1"/>
  <c r="M263" i="1"/>
  <c r="M1117" i="1"/>
  <c r="M2039" i="1"/>
  <c r="M1652" i="1"/>
  <c r="M1208" i="1"/>
  <c r="M2063" i="1"/>
  <c r="M2075" i="1"/>
  <c r="M2093" i="1"/>
  <c r="M747" i="1"/>
  <c r="M2129" i="1"/>
  <c r="M1338" i="1"/>
  <c r="M1341" i="1"/>
  <c r="M264" i="1"/>
  <c r="M705" i="1"/>
  <c r="M987" i="1"/>
  <c r="M1138" i="1"/>
  <c r="M81" i="1"/>
  <c r="M1731" i="1"/>
  <c r="M1520" i="1"/>
  <c r="M321" i="1"/>
  <c r="M387" i="1"/>
  <c r="M2566" i="1"/>
  <c r="M279" i="1"/>
  <c r="M752" i="1"/>
  <c r="M1055" i="1"/>
  <c r="M1233" i="1"/>
  <c r="M83" i="1"/>
  <c r="M2259" i="1"/>
  <c r="M1747" i="1"/>
  <c r="M342" i="1"/>
  <c r="M409" i="1"/>
  <c r="M1588" i="1"/>
  <c r="M1854" i="1"/>
  <c r="M2567" i="1"/>
  <c r="M2568" i="1"/>
  <c r="M2569" i="1"/>
  <c r="M2570" i="1"/>
  <c r="M432" i="1"/>
  <c r="M1589" i="1"/>
  <c r="M1855" i="1"/>
  <c r="M2571" i="1"/>
  <c r="M2572" i="1"/>
  <c r="M2573" i="1"/>
  <c r="M1590" i="1"/>
  <c r="M363" i="1"/>
  <c r="M456" i="1"/>
  <c r="M1856" i="1"/>
  <c r="M2574" i="1"/>
  <c r="M2575" i="1"/>
  <c r="M2576" i="1"/>
  <c r="M384" i="1"/>
  <c r="M484" i="1"/>
  <c r="M2577" i="1"/>
  <c r="M1289" i="1"/>
  <c r="M1419" i="1"/>
  <c r="M406" i="1"/>
  <c r="M512" i="1"/>
  <c r="M1591" i="1"/>
  <c r="M1857" i="1"/>
  <c r="M2578" i="1"/>
  <c r="M2579" i="1"/>
  <c r="M2260" i="1"/>
  <c r="M2305" i="1"/>
  <c r="M429" i="1"/>
  <c r="M540" i="1"/>
  <c r="M1592" i="1"/>
  <c r="M1858" i="1"/>
  <c r="M453" i="1"/>
  <c r="M572" i="1"/>
  <c r="M2580" i="1"/>
  <c r="M2581" i="1"/>
  <c r="M2582" i="1"/>
  <c r="M2583" i="1"/>
  <c r="M642" i="1"/>
  <c r="M480" i="1"/>
  <c r="M476" i="1"/>
  <c r="M2261" i="1"/>
  <c r="M85" i="1"/>
  <c r="M1354" i="1"/>
  <c r="M1135" i="1"/>
  <c r="M802" i="1"/>
  <c r="M295" i="1"/>
  <c r="M1485" i="1"/>
  <c r="M1481" i="1"/>
  <c r="M2130" i="1"/>
  <c r="M797" i="1"/>
  <c r="M2094" i="1"/>
  <c r="M1664" i="1"/>
  <c r="M1323" i="1"/>
  <c r="M1321" i="1"/>
  <c r="M2053" i="1"/>
  <c r="M2040" i="1"/>
  <c r="M1203" i="1"/>
  <c r="M277" i="1"/>
  <c r="M1453" i="1"/>
  <c r="M354" i="1"/>
  <c r="M1999" i="1"/>
  <c r="M1989" i="1"/>
  <c r="M1977" i="1"/>
  <c r="M1445" i="1"/>
  <c r="M1443" i="1"/>
  <c r="M493" i="1"/>
  <c r="M1629" i="1"/>
  <c r="M723" i="1"/>
  <c r="M771" i="1"/>
  <c r="M508" i="1"/>
  <c r="M504" i="1"/>
  <c r="M2262" i="1"/>
  <c r="M87" i="1"/>
  <c r="M1501" i="1"/>
  <c r="M1230" i="1"/>
  <c r="M858" i="1"/>
  <c r="M315" i="1"/>
  <c r="M1699" i="1"/>
  <c r="M878" i="1"/>
  <c r="M940" i="1"/>
  <c r="M1005" i="1"/>
  <c r="M1076" i="1"/>
  <c r="M1157" i="1"/>
  <c r="M1255" i="1"/>
  <c r="M1382" i="1"/>
  <c r="M1540" i="1"/>
  <c r="M536" i="1"/>
  <c r="M532" i="1"/>
  <c r="M2263" i="1"/>
  <c r="M89" i="1"/>
  <c r="M568" i="1"/>
  <c r="M564" i="1"/>
  <c r="M2264" i="1"/>
  <c r="M91" i="1"/>
  <c r="M1720" i="1"/>
  <c r="M1349" i="1"/>
  <c r="M920" i="1"/>
  <c r="M336" i="1"/>
  <c r="M2184" i="1"/>
  <c r="M1694" i="1"/>
  <c r="M1683" i="1"/>
  <c r="M853" i="1"/>
  <c r="M2095" i="1"/>
  <c r="M2076" i="1"/>
  <c r="M1462" i="1"/>
  <c r="M1460" i="1"/>
  <c r="M2054" i="1"/>
  <c r="M2041" i="1"/>
  <c r="M1316" i="1"/>
  <c r="M293" i="1"/>
  <c r="M1644" i="1"/>
  <c r="M375" i="1"/>
  <c r="M2000" i="1"/>
  <c r="M1990" i="1"/>
  <c r="M1636" i="1"/>
  <c r="M1633" i="1"/>
  <c r="M2381" i="1"/>
  <c r="M602" i="1"/>
  <c r="M598" i="1"/>
  <c r="M2265" i="1"/>
  <c r="M2382" i="1"/>
  <c r="M2383" i="1"/>
  <c r="M638" i="1"/>
  <c r="M634" i="1"/>
  <c r="M1061" i="1"/>
  <c r="M93" i="1"/>
  <c r="M2236" i="1"/>
  <c r="M2384" i="1"/>
  <c r="M676" i="1"/>
  <c r="M672" i="1"/>
  <c r="M1141" i="1"/>
  <c r="M96" i="1"/>
  <c r="M1721" i="1"/>
  <c r="M1782" i="1"/>
  <c r="M2386" i="1"/>
  <c r="M2387" i="1"/>
  <c r="M719" i="1"/>
  <c r="M1541" i="1"/>
  <c r="M1783" i="1"/>
  <c r="M766" i="1"/>
  <c r="M2388" i="1"/>
  <c r="M817" i="1"/>
  <c r="M714" i="1"/>
  <c r="M1236" i="1"/>
  <c r="M99" i="1"/>
  <c r="M2237" i="1"/>
  <c r="M1494" i="1"/>
  <c r="M984" i="1"/>
  <c r="M357" i="1"/>
  <c r="M2185" i="1"/>
  <c r="M2162" i="1"/>
  <c r="M2131" i="1"/>
  <c r="M915" i="1"/>
  <c r="M2096" i="1"/>
  <c r="M2077" i="1"/>
  <c r="M1657" i="1"/>
  <c r="M1655" i="1"/>
  <c r="M873" i="1"/>
  <c r="M761" i="1"/>
  <c r="M1358" i="1"/>
  <c r="M606" i="1"/>
</calcChain>
</file>

<file path=xl/sharedStrings.xml><?xml version="1.0" encoding="utf-8"?>
<sst xmlns="http://schemas.openxmlformats.org/spreadsheetml/2006/main" count="25394" uniqueCount="9126">
  <si>
    <t>claimHeadline</t>
  </si>
  <si>
    <t>articleHeadline</t>
  </si>
  <si>
    <t>articleHeadlineStance</t>
  </si>
  <si>
    <t>articleId</t>
  </si>
  <si>
    <t>claimId</t>
  </si>
  <si>
    <t>url</t>
  </si>
  <si>
    <t>source</t>
  </si>
  <si>
    <t>claimTruth</t>
  </si>
  <si>
    <t>claimCount</t>
  </si>
  <si>
    <t>articleCount</t>
  </si>
  <si>
    <t>sourceCount</t>
  </si>
  <si>
    <t>The police officer leading the Charlie Hebdo investigation committed suicide</t>
  </si>
  <si>
    <t>New Twist: Charlie Hebdo Police Investigator Turns Up Dead, Suicided</t>
  </si>
  <si>
    <t>for</t>
  </si>
  <si>
    <t>8e6556f0-99f9-11e4-bf59-1bb8b99952ce</t>
  </si>
  <si>
    <t>c853ed00-99f8-11e4-bf59-1bb8b99952ce</t>
  </si>
  <si>
    <t>http://21stcenturywire.com/2015/01/10/new-twist-charlie-hebdo-lead-investigator-turns-up-dead-suicided/</t>
  </si>
  <si>
    <t>21stcenturywire.com</t>
  </si>
  <si>
    <t>TBS speeds up Seinfeld episodes to fit in more commercials</t>
  </si>
  <si>
    <t>Speeding Up Seinfeld For Younger Viewers</t>
  </si>
  <si>
    <t>9bd23af0-b6a6-11e4-8507-b58af63d1078</t>
  </si>
  <si>
    <t>023ac5b0-b6a6-11e4-8507-b58af63d1078</t>
  </si>
  <si>
    <t>http://2paragraphs.com/2015/02/speeding-up-seinfeld-for-younger-viewers/</t>
  </si>
  <si>
    <t>2paragraphs.com</t>
  </si>
  <si>
    <t>unknown</t>
  </si>
  <si>
    <t>Apple will launch a 12 MacBook Air in 2015</t>
  </si>
  <si>
    <t>Apple's next major Mac revealed: the radically new 12-inch MacBook Air</t>
  </si>
  <si>
    <t>04329db0-969f-11e4-87a8-1d5d45e62193</t>
  </si>
  <si>
    <t>fd3dc340-969e-11e4-87a8-1d5d45e62193</t>
  </si>
  <si>
    <t>http://9to5mac.com/2015/01/06/macbook-air-12-inch-redesign/</t>
  </si>
  <si>
    <t>9to5mac.com</t>
  </si>
  <si>
    <t>Apple will hold a special medialaunch event in February</t>
  </si>
  <si>
    <t>Don't cancel your ski plans, Apple's not having an event in Feb.</t>
  </si>
  <si>
    <t>against</t>
  </si>
  <si>
    <t>fb500560-c282-11e4-8747-5b024dd6dd6c</t>
  </si>
  <si>
    <t>41fa3090-c282-11e4-8747-5b024dd6dd6c</t>
  </si>
  <si>
    <t>http://9to5mac.com/2015/02/04/dont-cancel-your-ski-plans-apples-not-having-an-event-in-feb/</t>
  </si>
  <si>
    <t>Apple will reveal a refreshed Apple TV at the March 9th Spring Forward Event</t>
  </si>
  <si>
    <t>Apple plans relaunched Beats streaming music service for WWDC, skipping March event Apple TV still coming</t>
  </si>
  <si>
    <t>f1df2200-c380-11e4-9435-a96703525a9e</t>
  </si>
  <si>
    <t>7fe62df0-c37c-11e4-9435-a96703525a9e</t>
  </si>
  <si>
    <t>http://9to5mac.com/2015/03/05/apple-plans-relaunched-beats-streaming-music-service-for-wwdc-skipping-march-event/</t>
  </si>
  <si>
    <t>Apple Watch battery doesn't last more than one day</t>
  </si>
  <si>
    <t>Apple reportedly not happy with one day Watch battery life, expects improvements by 2015 launch</t>
  </si>
  <si>
    <t>904460f0-c29a-11e4-8747-5b024dd6dd6c</t>
  </si>
  <si>
    <t>a7853520-c298-11e4-8747-5b024dd6dd6c</t>
  </si>
  <si>
    <t>http://9to5mac.com/2014/09/10/apple-reportedly-not-happy-with-one-day-watch-battery-life-expects-improvements-by-2015-launch/</t>
  </si>
  <si>
    <t>The Apple Watch will ship with a diagnostics port</t>
  </si>
  <si>
    <t>Apple Watch has a Lightning port for development, but won't when it ships</t>
  </si>
  <si>
    <t>1f18d340-c43c-11e4-883c-a7fa7a3c5066</t>
  </si>
  <si>
    <t>94f13db0-c43b-11e4-883c-a7fa7a3c5066</t>
  </si>
  <si>
    <t>http://9to5mac.com/2015/03/05/apple-watch-has-a-lightning-port-for-development-but-wont-when-it-ships/</t>
  </si>
  <si>
    <t>The gold Apple Watch Edition will cost between 4,000 and 5,000 USD</t>
  </si>
  <si>
    <t>Report claims steel Apple Watch to start at 500, gold model between 4-5K</t>
  </si>
  <si>
    <t>observing</t>
  </si>
  <si>
    <t>1409c090-c216-11e4-8747-5b024dd6dd6c</t>
  </si>
  <si>
    <t>57da8d00-c215-11e4-8747-5b024dd6dd6c</t>
  </si>
  <si>
    <t>http://9to5mac.com/2014/11/04/apple-watch-pricing-rumor/</t>
  </si>
  <si>
    <t>The Apple Watch will launch in February</t>
  </si>
  <si>
    <t>Chinese rumor suggests Apple Watch to launch in February, sapphire to blame for low supply</t>
  </si>
  <si>
    <t>e490d8c0-4aed-11e4-9960-a165dd517bbb</t>
  </si>
  <si>
    <t>cead0e70-4aed-11e4-9960-a165dd517bbb</t>
  </si>
  <si>
    <t>http://9to5mac.com/2014/10/02/chinese-rumor-suggests-apple-watch-to-launch-in-february-sapphire-to-blame-for-low-supply/</t>
  </si>
  <si>
    <t>The Apple Watch is sufficiently water resistant to wear in the shower</t>
  </si>
  <si>
    <t>Tim Cook: Apple Watch will be showerproof, Apple Pay goal for Europe is end of the year</t>
  </si>
  <si>
    <t>69ff3f00-c1be-11e4-8747-5b024dd6dd6c</t>
  </si>
  <si>
    <t>712e0010-c1bc-11e4-8747-5b024dd6dd6c</t>
  </si>
  <si>
    <t>http://9to5mac.com/2015/02/25/apple-watch-water-apple-pay-europe/</t>
  </si>
  <si>
    <t>The Apple Watch will be available in Germany at launch</t>
  </si>
  <si>
    <t>Tim Cook says Apple Watch will be available outside U.S. in April</t>
  </si>
  <si>
    <t>d7c2fd90-c1b1-11e4-8747-5b024dd6dd6c</t>
  </si>
  <si>
    <t>9b111e40-c1b1-11e4-8747-5b024dd6dd6c</t>
  </si>
  <si>
    <t>http://9to5mac.com/2015/03/02/tim-cook-says-apple-watch-will-be-available-outside-u-s-in-april/</t>
  </si>
  <si>
    <t>Apple is considering the release of a platinum edition of the Apple Watch</t>
  </si>
  <si>
    <t>Apple saving money on the gold in Apple Watch Edition, could be planning a platinum model for future designs</t>
  </si>
  <si>
    <t>959c1490-c668-11e4-883c-a7fa7a3c5066</t>
  </si>
  <si>
    <t>7ce67780-c666-11e4-883c-a7fa7a3c5066</t>
  </si>
  <si>
    <t>http://9to5mac.com/2015/03/09/platinum-apple-watch/</t>
  </si>
  <si>
    <t>The Apple Watch will include a feature called Power Reserve</t>
  </si>
  <si>
    <t>NYT: Apple Watch includes Power Reserve mode, shows only the time but conserves battery life</t>
  </si>
  <si>
    <t>55e320e0-c1b4-11e4-8747-5b024dd6dd6c</t>
  </si>
  <si>
    <t>cab4a2a0-c1b3-11e4-8747-5b024dd6dd6c</t>
  </si>
  <si>
    <t>http://9to5mac.com/2015/03/01/nyt-apple-watch-includes-power-reserve-mode-shows-only-the-time-but-conserves-battery-life/</t>
  </si>
  <si>
    <t>The Apple Watch will ship for Valentine's Day</t>
  </si>
  <si>
    <t>Will Apple hit a Valentine's Day 2015 target for the Apple Watch's release?</t>
  </si>
  <si>
    <t>67bc1080-c1e4-11e4-8747-5b024dd6dd6c</t>
  </si>
  <si>
    <t>58d006d0-c1e4-11e4-8747-5b024dd6dd6c</t>
  </si>
  <si>
    <t>http://9to5mac.com/2014/09/24/apple-watch-valentines-2015/</t>
  </si>
  <si>
    <t>Apple removed from Apple Watch a skin-conductivity sensor that would give a more accurate heart rate</t>
  </si>
  <si>
    <t>Apple struggled to find purpose for Apple Watch after many planned health features were cut, 5 million units ordered</t>
  </si>
  <si>
    <t>5bbfafa0-c287-11e4-8747-5b024dd6dd6c</t>
  </si>
  <si>
    <t>802b5ce0-c282-11e4-8747-5b024dd6dd6c</t>
  </si>
  <si>
    <t>http://9to5mac.com/2015/02/16/apple-watch-health-features-cut/</t>
  </si>
  <si>
    <t>Apple have different Watch bands for sale at launch</t>
  </si>
  <si>
    <t>Apple Watch straps will be available to purchase separately at launch</t>
  </si>
  <si>
    <t>0c59c980-c284-11e4-8747-5b024dd6dd6c</t>
  </si>
  <si>
    <t>03f7ca80-c284-11e4-8747-5b024dd6dd6c</t>
  </si>
  <si>
    <t>http://9to5mac.com/2015/02/20/apple-watch-straps-accessories-available-separately/</t>
  </si>
  <si>
    <t>Apple will shutdown Beats Music</t>
  </si>
  <si>
    <t>Apple is reportedly shutting down its Beats Music streaming service</t>
  </si>
  <si>
    <t>6fd233b0-4293-11e4-9e78-ff09d5b0049d</t>
  </si>
  <si>
    <t>d882d9b0-4292-11e4-9e78-ff09d5b0049d</t>
  </si>
  <si>
    <t>http://9to5mac.com/2014/09/22/apple-is-reportedly-shutting-down-its-beats-music-streaming-service/</t>
  </si>
  <si>
    <t>The stainless steel Apple Watch will retail for 500 USD</t>
  </si>
  <si>
    <t>7a8bd8b0-c213-11e4-8747-5b024dd6dd6c</t>
  </si>
  <si>
    <t>2b9a4d50-c212-11e4-8747-5b024dd6dd6c</t>
  </si>
  <si>
    <t>The gold Apple Watch edition will cost under 4,500 USD</t>
  </si>
  <si>
    <t>Results: 80 expect the 18-karat gold Apple Watch Edition to cost under 4500, but will it?</t>
  </si>
  <si>
    <t>e513c120-c34e-11e4-8747-5b024dd6dd6c</t>
  </si>
  <si>
    <t>db88f990-c34e-11e4-8747-5b024dd6dd6c</t>
  </si>
  <si>
    <t>http://9to5mac.com/2015/02/19/18-karat-gold-apple-watch-cost-pricing/</t>
  </si>
  <si>
    <t>Apple added additional reinforcement to its iPhone 6 Plus to ensure it doesn't bend</t>
  </si>
  <si>
    <t>Debunk: No, Apple didn't change up iPhone 6 Plus internals to avoid bending</t>
  </si>
  <si>
    <t>8eb8c1a0-6123-11e4-b6e9-e5f029e25965</t>
  </si>
  <si>
    <t>876154d0-6123-11e4-b6e9-e5f029e25965</t>
  </si>
  <si>
    <t>http://9to5mac.com/2014/10/31/iphone-6-plus-silent-update-weight-difference/</t>
  </si>
  <si>
    <t>The iPhone 6 pulls out facial hair when being used</t>
  </si>
  <si>
    <t>My iPhone 6 Plus is yanking out my hair</t>
  </si>
  <si>
    <t>7d469eb0-4e5e-11e4-949b-f14041b20838</t>
  </si>
  <si>
    <t>ce44add0-4e5d-11e4-949b-f14041b20838</t>
  </si>
  <si>
    <t>http://9to5mac.com/community/my-iphone-6-plus-is-yanking-out-my-hair/</t>
  </si>
  <si>
    <t>Apple will open a pop-up Apple Watch store in London's Selfridges department store</t>
  </si>
  <si>
    <t>Apple considering dedicated Apple Watch stores as it sets up Paris booth, London Selfridges Wonder Room</t>
  </si>
  <si>
    <t>d33581f0-c27c-11e4-8747-5b024dd6dd6c</t>
  </si>
  <si>
    <t>c35e06d0-c27c-11e4-8747-5b024dd6dd6c</t>
  </si>
  <si>
    <t>http://9to5mac.com/2015/02/19/apple-considering-dedicated-apple-watch-stores-as-it-sets-up-paris-booth/</t>
  </si>
  <si>
    <t>Apple Watch pop up stores prognosticated for Paris, London and SXSW</t>
  </si>
  <si>
    <t>cfa2be40-c27c-11e4-8747-5b024dd6dd6c</t>
  </si>
  <si>
    <t>http://9to5mac.com/2015/03/01/apple-watch-pop-up-stores-paris-london-sxsw/</t>
  </si>
  <si>
    <t>Seth Rogen will play Steve Wozniak in a film about Steve Jobs</t>
  </si>
  <si>
    <t>Seth Rogen will play Steve Wozniak in upcoming Steve Jobs film</t>
  </si>
  <si>
    <t>470dde60-611b-11e4-b6e9-e5f029e25965</t>
  </si>
  <si>
    <t>cf3a83c0-611a-11e4-b6e9-e5f029e25965</t>
  </si>
  <si>
    <t>http://9to5mac.com/2014/10/30/seth-rogan-steve-wozniak-jobs-bio/</t>
  </si>
  <si>
    <t>Apple will sell 15 million Apple Watches in 2015</t>
  </si>
  <si>
    <t>Apple Watch predicted to take 55 of the 2015 global smartwatch market with 15.4M units shipped</t>
  </si>
  <si>
    <t>87e48180-c41e-11e4-883c-a7fa7a3c5066</t>
  </si>
  <si>
    <t>35687a60-c41e-11e4-883c-a7fa7a3c5066</t>
  </si>
  <si>
    <t>http://9to5mac.com/2015/03/05/apple-watch-predicted-to-take-55-of-the-2015-global-smartwatch-market-with-15-4m-units-shipped/</t>
  </si>
  <si>
    <t>Apple will not reveal the iTunes subscription service based on Beats Music at the March 9th Spring Forward Event</t>
  </si>
  <si>
    <t>95b980b0-c380-11e4-9435-a96703525a9e</t>
  </si>
  <si>
    <t>751c5e10-c379-11e4-9435-a96703525a9e</t>
  </si>
  <si>
    <t>Apple delayed production of a 12-inch iPad Pro and will not announce it at the March 9th event</t>
  </si>
  <si>
    <t>Bloomberg: Apple pushes back 12.9-inch iPad Pro production to September</t>
  </si>
  <si>
    <t>32a067b0-c384-11e4-9435-a96703525a9e</t>
  </si>
  <si>
    <t>de2af3d0-c37e-11e4-9435-a96703525a9e</t>
  </si>
  <si>
    <t>http://9to5mac.com/2015/03/04/ipad-pro-september/</t>
  </si>
  <si>
    <t>HBO Now streaming subscription is coming to Apple TV</t>
  </si>
  <si>
    <t>HBO reportedly in talks to debut 15month standalone streaming service on Apple TV next month</t>
  </si>
  <si>
    <t>6e671b10-c431-11e4-883c-a7fa7a3c5066</t>
  </si>
  <si>
    <t>65ce6690-c42f-11e4-883c-a7fa7a3c5066</t>
  </si>
  <si>
    <t>http://9to5mac.com/2015/03/04/hbo-reportedly-in-talks-to-debut-15month-standalone-streaming-service-on-apple-tv-next-month/</t>
  </si>
  <si>
    <t>Apple will sell 30 million Watches in 2015</t>
  </si>
  <si>
    <t>10 of owners of iPhone 5 up will buy an Apple Watch, predicts Morgan Stanley</t>
  </si>
  <si>
    <t>25ff1430-c27a-11e4-8747-5b024dd6dd6c</t>
  </si>
  <si>
    <t>d5dab8b0-c279-11e4-8747-5b024dd6dd6c</t>
  </si>
  <si>
    <t>http://9to5mac.com/2014/11/20/apple-watch-sales/</t>
  </si>
  <si>
    <t>Apple removed from Apple Watch a sensor that would monitor blood-pressure</t>
  </si>
  <si>
    <t>71d51470-c28b-11e4-8747-5b024dd6dd6c</t>
  </si>
  <si>
    <t>71f03300-c28a-11e4-8747-5b024dd6dd6c</t>
  </si>
  <si>
    <t>The Apple Watch will ship by the end of March</t>
  </si>
  <si>
    <t>Apple Watch launch expected in March, retail training set for mid-February</t>
  </si>
  <si>
    <t>604cdd30-c0f8-11e4-8747-5b024dd6dd6c</t>
  </si>
  <si>
    <t>5016a040-c0f8-11e4-8747-5b024dd6dd6c</t>
  </si>
  <si>
    <t>http://9to5mac.com/2015/01/06/apple-watch-launch/</t>
  </si>
  <si>
    <t>Christian Bale to play Steve Jobs in an upcoming bio flick</t>
  </si>
  <si>
    <t>Christian Bale in talks to play Steve Jobs in upcoming Sorkin film</t>
  </si>
  <si>
    <t>6da39660-54c7-11e4-b6a0-9705a8f94440</t>
  </si>
  <si>
    <t>f4b073e0-54c6-11e4-b6a0-9705a8f94440</t>
  </si>
  <si>
    <t>http://9to5mac.com/2014/10/15/christian-bale-steve-jobs-biopic/</t>
  </si>
  <si>
    <t>A cat that was hit by a car and believed dead dug himself out of his grave</t>
  </si>
  <si>
    <t>MIRACLE CAT CLAWS ITS WAY OUT OF ITS OWN GRAVE FIVE DAYS AFTER BEING BURIED</t>
  </si>
  <si>
    <t>bf71a230-a674-11e4-aa4f-ff16e52e0d56</t>
  </si>
  <si>
    <t>be73fdc0-a673-11e4-aa4f-ff16e52e0d56</t>
  </si>
  <si>
    <t>http://abc7.com/pets/miracle-cat-claws-its-way-out-of-own-grave/492976/</t>
  </si>
  <si>
    <t>abc7.com</t>
  </si>
  <si>
    <t>ISIS is a mile away from Baghdad</t>
  </si>
  <si>
    <t>ISIS Advances to Within 10 Miles of Baghdad</t>
  </si>
  <si>
    <t>30168b90-54c2-11e4-b6a0-9705a8f94440</t>
  </si>
  <si>
    <t>633ed280-47e2-11e4-9960-a165dd517bbb</t>
  </si>
  <si>
    <t>http://abc7news.com/news/isis-advances-to-within-10-miles-of-baghdad/349356/</t>
  </si>
  <si>
    <t>abc7news.com</t>
  </si>
  <si>
    <t>An abandoned dog was found at Scottish railway station with a suitcase of his belongings</t>
  </si>
  <si>
    <t>Dog Found Abandoned With Suitcase Filled With His Belongings</t>
  </si>
  <si>
    <t>3e571a30-9685-11e4-87a8-1d5d45e62193</t>
  </si>
  <si>
    <t>26ced990-9683-11e4-87a8-1d5d45e62193</t>
  </si>
  <si>
    <t>http://abcnews.go.com/International/dog-found-abandoned-suitcase-filled-belongings/story?id=28032786</t>
  </si>
  <si>
    <t>abcnews.go.com</t>
  </si>
  <si>
    <t>Fidel Castro has died</t>
  </si>
  <si>
    <t>Fidel Castro Rumors Sweep Internet, but No Sign in Cuba</t>
  </si>
  <si>
    <t>2eb61440-9839-11e4-bf59-1bb8b99952ce</t>
  </si>
  <si>
    <t>03eb2ff0-9809-11e4-bb36-07f7e019de19</t>
  </si>
  <si>
    <t>http://abcnews.go.com/International/wireStory/fidel-castro-rumors-sweep-internet-sign-cuba-28117541</t>
  </si>
  <si>
    <t>American hostage Kayla Mueller was killed in a coalition bombing campaign against ISIS</t>
  </si>
  <si>
    <t>ISIS Claims Female American Hostage, Kayla Mueller, Killed in Airstrike</t>
  </si>
  <si>
    <t>ec218cd0-ae3c-11e4-9a23-0b6010caa867</t>
  </si>
  <si>
    <t>50ae8bb0-ae3a-11e4-9a23-0b6010caa867</t>
  </si>
  <si>
    <t>http://abcnews.go.com/International/isis-claims-female-american-hostage-killed-airstrike/story?id=28776563</t>
  </si>
  <si>
    <t>ISIS fighters were caught trying to enter the U.S. via the U.S.-Mexico border</t>
  </si>
  <si>
    <t>DHS Rebuffs Congressman's Claim ISIS Infiltrating Southern Border</t>
  </si>
  <si>
    <t>b329cf40-4fc9-11e4-b6a0-9705a8f94440</t>
  </si>
  <si>
    <t>1357a7d0-4fc9-11e4-b6a0-9705a8f94440</t>
  </si>
  <si>
    <t>http://abcnews.go.com/Politics/dhs-rebuffs-congressmans-claim-isis-infiltrating-southern-border/story?id=26043280</t>
  </si>
  <si>
    <t>ISIS beheaded journalist James Wright Foley</t>
  </si>
  <si>
    <t>Video Appears to Show Beheading of Journalist James Foley, Who Went Missing in Syria</t>
  </si>
  <si>
    <t>ca773030-27ff-11e4-a916-bf0b27b73ad5</t>
  </si>
  <si>
    <t>c38db880-27e0-11e4-96be-dfc0d1eebaea</t>
  </si>
  <si>
    <t>http://abcnews.go.com/Blotter/video-appears-show-beheading-journalist-james-foley-missing/story?id=25043593</t>
  </si>
  <si>
    <t>Zombie Cat: Buried Kitty Believed Dead, Meows Back to Life</t>
  </si>
  <si>
    <t>519cea20-a675-11e4-aa4f-ff16e52e0d56</t>
  </si>
  <si>
    <t>http://abcnews.go.com/Lifestyle/zombie-cat-buried-cat-believed-dead-meows-back/story?id=28519513</t>
  </si>
  <si>
    <t>A predator drone was sighted over Raqqa, Syria</t>
  </si>
  <si>
    <t>Predator Drone Reportedly Spotted Over ISIS Stronghold</t>
  </si>
  <si>
    <t>6711d5c0-3616-11e4-ae63-d5574342724c</t>
  </si>
  <si>
    <t>61dd48f0-3616-11e4-ae63-d5574342724c</t>
  </si>
  <si>
    <t>http://abcnews.go.com/International/predator-drone-reportedly-spotted-isis-stronghold/story?id=25293798</t>
  </si>
  <si>
    <t>ISIS beheads Steve Sotloff</t>
  </si>
  <si>
    <t>Video Appears to Show ISIS Execution of Second American Steven Sotloff</t>
  </si>
  <si>
    <t>c7815f30-32c8-11e4-8453-710264d9a1f8</t>
  </si>
  <si>
    <t>cea96980-32c6-11e4-8453-710264d9a1f8</t>
  </si>
  <si>
    <t>http://abcnews.go.com/Blotter/steven-sotloff-video-appears-show-isis-execution-american/story?id=25216725</t>
  </si>
  <si>
    <t>Man hospitalized after winning eggnog-chugging contest.</t>
  </si>
  <si>
    <t>Utah Man Hospitalized After Winning Eggnog Chugging Contest</t>
  </si>
  <si>
    <t>9e6cd8d0-8afd-11e4-beeb-cde7b534e8de</t>
  </si>
  <si>
    <t>2f6cee90-8afb-11e4-beeb-cde7b534e8de</t>
  </si>
  <si>
    <t>http://abcnews.go.com/US/utah-man-hospitalized-winning-eggnog-chugging-contest/story?id=27792905</t>
  </si>
  <si>
    <t>White House fence-jumper made it inside the main floor</t>
  </si>
  <si>
    <t>White House Fence Jumper Got Farther Than Previously Thought, Sources Say</t>
  </si>
  <si>
    <t>cd1dfe10-483c-11e4-9960-a165dd517bbb</t>
  </si>
  <si>
    <t>daada480-481a-11e4-9960-a165dd517bbb</t>
  </si>
  <si>
    <t>http://abcnews.go.com/Politics/white-house-fence-jumper-previously-thought-sources/story?id=25847524</t>
  </si>
  <si>
    <t>Kanye West has been banned from future awards shows</t>
  </si>
  <si>
    <t>KANYE WEST BARRED FROM ALL FUTURE AWARDS SHOWS</t>
  </si>
  <si>
    <t>907346b0-b163-11e4-9a23-0b6010caa867</t>
  </si>
  <si>
    <t>84c1ce90-b163-11e4-9a23-0b6010caa867</t>
  </si>
  <si>
    <t>http://adobochronicles.com/2015/02/09/kanye-west-barred-from-all-future-awards-shows/</t>
  </si>
  <si>
    <t>adobochronicles.com</t>
  </si>
  <si>
    <t>The U.S. killed Ahmed Abdi Godane in an airstrike</t>
  </si>
  <si>
    <t>ADVISORY-Islamist rebel leader killed in U.S. strike - Somali government</t>
  </si>
  <si>
    <t>5aac03a0-3517-11e4-a3fd-07e9a9d397df</t>
  </si>
  <si>
    <t>6c8728e0-3515-11e4-a3fd-07e9a9d397df</t>
  </si>
  <si>
    <t>http://af.reuters.com/article/somaliaNews/idAFL5N0R62Q320140905</t>
  </si>
  <si>
    <t>af.reuters.com</t>
  </si>
  <si>
    <t>Image shows a group of Nigerian women armed with AK-47s who saved a town and school from Boko Haram</t>
  </si>
  <si>
    <t>Story of gutsy bravehearts who fought off Boko Haram is a hoax</t>
  </si>
  <si>
    <t>2661b5f0-a9b5-11e4-9a23-0b6010caa867</t>
  </si>
  <si>
    <t>1f363b20-a9b5-11e4-9a23-0b6010caa867</t>
  </si>
  <si>
    <t>http://africacheck.org/reports/story-of-gutsy-bravehearts-fighting-boko-haram-is-a-hoax/</t>
  </si>
  <si>
    <t>africacheck.org</t>
  </si>
  <si>
    <t>Saudi Arabia has a new law that can force women to cover up their tempting eyes</t>
  </si>
  <si>
    <t>Saudi Arabia's Religious Police Outlaw Tempting Eyes</t>
  </si>
  <si>
    <t>e06a5d20-6b45-11e4-b528-9d5aa2d2e8e7</t>
  </si>
  <si>
    <t>b31aa1e0-6b45-11e4-b528-9d5aa2d2e8e7</t>
  </si>
  <si>
    <t>http://aina.org/news/20141030185426.htm</t>
  </si>
  <si>
    <t>aina.org</t>
  </si>
  <si>
    <t>11 commercial aircraft went missing from the Tripoli airport</t>
  </si>
  <si>
    <t>Libya: Missing Libya Planes Spark Security Concerns</t>
  </si>
  <si>
    <t>a32c9370-33cc-11e4-8453-710264d9a1f8</t>
  </si>
  <si>
    <t>e21f7e90-33cb-11e4-8453-710264d9a1f8</t>
  </si>
  <si>
    <t>http://allafrica.com/stories/201408210349.html</t>
  </si>
  <si>
    <t>allafrica.com</t>
  </si>
  <si>
    <t>HBO Now coming to Apple TV next month</t>
  </si>
  <si>
    <t>02575670-c430-11e4-883c-a7fa7a3c5066</t>
  </si>
  <si>
    <t>http://americasmarkets.usatoday.com/2015/03/04/report-hbo-now-coming-to-apple-tv-other-devices-next-month/</t>
  </si>
  <si>
    <t>americasmarkets.usatoday.com</t>
  </si>
  <si>
    <t>LG will supply the screens for the Apple Watch that goes on sale in April</t>
  </si>
  <si>
    <t>Rumor: Apple Watch Screens To Be Supplied By LG Display And Samsung Display</t>
  </si>
  <si>
    <t>04376f30-c20e-11e4-8747-5b024dd6dd6c</t>
  </si>
  <si>
    <t>b1fd5310-c20d-11e4-8747-5b024dd6dd6c</t>
  </si>
  <si>
    <t>http://androidheadlines.com/2015/03/rumor-apple-watch-screens-supplied-lg-display-samsung-display.html</t>
  </si>
  <si>
    <t>androidheadlines.com</t>
  </si>
  <si>
    <t>ISIS is harvesting and selling human organs to help fund its operations</t>
  </si>
  <si>
    <t>Here's What We Know About ISIS's Alleged Organ Harvesting Operation</t>
  </si>
  <si>
    <t>a87944a0-b87d-11e4-b073-ed15c88bfa1e</t>
  </si>
  <si>
    <t>19c0e260-b777-11e4-8507-b58af63d1078</t>
  </si>
  <si>
    <t>http://antiviral.gawker.com/heres-what-we-know-about-isiss-alleged-organ-harvesting-1686533125</t>
  </si>
  <si>
    <t>antiviral.gawker.com</t>
  </si>
  <si>
    <t>Charles Manson's fiance wanted to marry him to obtain custody of his corpse</t>
  </si>
  <si>
    <t>Was Charles Manson's Fiance Playing Him to Get Custody of His Corpse?</t>
  </si>
  <si>
    <t>2c36cde0-b11b-11e4-9a23-0b6010caa867</t>
  </si>
  <si>
    <t>d79108f0-b11a-11e4-9a23-0b6010caa867</t>
  </si>
  <si>
    <t>http://antiviral.gawker.com/was-charles-mansons-fiancee-playing-him-to-get-custod-1684721005</t>
  </si>
  <si>
    <t>A Video shows sexist Peruvian men being tricked into harassing their own mothers</t>
  </si>
  <si>
    <t>These Men Weren't Really Tricked Into Sexually Harassing Their Moms</t>
  </si>
  <si>
    <t>035179e0-a660-11e4-aa4f-ff16e52e0d56</t>
  </si>
  <si>
    <t>c4ebc320-a62a-11e4-aa4f-ff16e52e0d56</t>
  </si>
  <si>
    <t>http://antiviral.gawker.com/these-men-werent-really-tricked-into-sexually-harassing-1682062880?utm_source=dlvr.it&amp;utm_medium=twitter</t>
  </si>
  <si>
    <t>Two office workers in an epic battle over a stolen sandwich</t>
  </si>
  <si>
    <t>Fox Affiliate Falls for College Humor's Office Note War Prank</t>
  </si>
  <si>
    <t>aec44220-2d62-11e4-89c5-1d389b94bc4b</t>
  </si>
  <si>
    <t>398f7210-2d60-11e4-89c5-1d389b94bc4b</t>
  </si>
  <si>
    <t>http://antiviral.gawker.com/fox-affiliate-falls-for-college-humors-office-note-war-1627086718?utm_campaign=socialflow_gawker_twitter&amp;utm_source=gawker_twitter&amp;utm_medium=socialflow</t>
  </si>
  <si>
    <t>Photos comparing school lunches from around the world include a meagre offering from the U.S.</t>
  </si>
  <si>
    <t>Stop Sharing Those Photos of Fancy International School Lunches</t>
  </si>
  <si>
    <t>47241680-c0f7-11e4-8747-5b024dd6dd6c</t>
  </si>
  <si>
    <t>8629b130-c0f4-11e4-8747-5b024dd6dd6c</t>
  </si>
  <si>
    <t>http://antiviral.gawker.com/stop-sharing-those-photos-of-fancy-international-school-1688453229</t>
  </si>
  <si>
    <t>Apple will sell 19 million Apple Watches in 2015</t>
  </si>
  <si>
    <t>BMO forecasts 19M Apple Watch sales in 2015, with more than half selling in holiday season</t>
  </si>
  <si>
    <t>116a3920-c41c-11e4-883c-a7fa7a3c5066</t>
  </si>
  <si>
    <t>8faeb4b0-c41b-11e4-88c9-eb158a06b9a5</t>
  </si>
  <si>
    <t>http://appleinsider.com/articles/15/03/06/bmo-forecasts-19m-apple-watch-sales-in-2015-with-more-than-half-selling-in-holiday-season</t>
  </si>
  <si>
    <t>appleinsider.com</t>
  </si>
  <si>
    <t>Apple will sell 24 million Apple Watches in the first nine months</t>
  </si>
  <si>
    <t>UBS survey finds 10 of consumers want a smartwatch, expects 24M Apple Watch sales in fiscal 2015</t>
  </si>
  <si>
    <t>8c230a20-c2a0-11e4-8747-5b024dd6dd6c</t>
  </si>
  <si>
    <t>557db830-c28c-11e4-8747-5b024dd6dd6c</t>
  </si>
  <si>
    <t>http://appleinsider.com/articles/14/12/01/ubs-survey-finds-10-of-consumers-want-a-smartwatch-expects-24m-apple-watch-sales-in-fiscal-2015</t>
  </si>
  <si>
    <t>Rumor: Apple to hold event this month to unveil Retina MacBook Air finalize Apple Watch specs</t>
  </si>
  <si>
    <t>4767d950-c283-11e4-8747-5b024dd6dd6c</t>
  </si>
  <si>
    <t>http://appleinsider.com/articles/15/02/04/rumor-apple-to-hold-event-this-month-to-unveil-retina-macbook-air-finalize-apple-watch-specs</t>
  </si>
  <si>
    <t>Apple is buying Path</t>
  </si>
  <si>
    <t>Rumor: Apple in late-stage talks to buy Path social platform</t>
  </si>
  <si>
    <t>6efc4340-3915-11e4-ae63-d5574342724c</t>
  </si>
  <si>
    <t>6e378920-3914-11e4-ae63-d5574342724c</t>
  </si>
  <si>
    <t>http://appleinsider.com/articles/14/09/10/rumor-apple-in-talks-to-buy-messaging-app-path</t>
  </si>
  <si>
    <t>Apple Watch battery will only last 2.5 to 4 hours of active use</t>
  </si>
  <si>
    <t>Rumor: Apple shooting for 19 hours of Apple Watch battery life under normal conditions, 2.5 hours heavy use</t>
  </si>
  <si>
    <t>c01afbe0-c29f-11e4-8747-5b024dd6dd6c</t>
  </si>
  <si>
    <t>e2373e10-c29e-11e4-8747-5b024dd6dd6c</t>
  </si>
  <si>
    <t>http://appleinsider.com/articles/15/01/22/rumor-apple-shooting-for-19-hours-of-apple-watch-battery-life-under-normal-conditions-25-hours-heavy-use</t>
  </si>
  <si>
    <t>Apple Watch users will need to recharge nightly, company still working to improve uptime before launch</t>
  </si>
  <si>
    <t>233e4380-c29b-11e4-8747-5b024dd6dd6c</t>
  </si>
  <si>
    <t>http://appleinsider.com/articles/14/09/10/apple-watch-users-will-need-to-charge-about-once-per-day-company-still-working-to-improve-uptime-before-launch</t>
  </si>
  <si>
    <t>Apple Watch reportedly features unannounced diagnostics port under strap connector</t>
  </si>
  <si>
    <t>17b27250-c43c-11e4-883c-a7fa7a3c5066</t>
  </si>
  <si>
    <t>http://appleinsider.com/articles/15/03/05/apple-watch-reportedly-features-unannounced-diagnostics-port-under-strap-connector</t>
  </si>
  <si>
    <t>Rumor: Gold Apple Watch Edition priced up to 5,000, steel version at 500, will debut on Feb. 14</t>
  </si>
  <si>
    <t>19ab18f0-c216-11e4-8747-5b024dd6dd6c</t>
  </si>
  <si>
    <t>http://appleinsider.com/articles/14/11/04/rumor-gold-apple-watch-edition-priced-up-to-5000-steel-version-at-500-will-debut-on-feb-14</t>
  </si>
  <si>
    <t>The gold Apple Watch Edition will start at 4,999 USD</t>
  </si>
  <si>
    <t>Piper Jaffray pegs stainless steel Apple Watch price at 499, Edition at 4,999</t>
  </si>
  <si>
    <t>faf30ec0-c276-11e4-8747-5b024dd6dd6c</t>
  </si>
  <si>
    <t>bd1e3340-c276-11e4-8747-5b024dd6dd6c</t>
  </si>
  <si>
    <t>http://appleinsider.com/articles/15/03/02/piper-jaffray-pegs-stainless-steel-apple-watch-price-at-499-edition-at-4999</t>
  </si>
  <si>
    <t>Apple Watch will have 512 MB of RAM and 4GB or 8GB storage options</t>
  </si>
  <si>
    <t>Rumor: Apple Watch to feature 512MB of RAM, 4GB of storage</t>
  </si>
  <si>
    <t>ff862010-c2a5-11e4-8747-5b024dd6dd6c</t>
  </si>
  <si>
    <t>44cdfc20-c2a5-11e4-8747-5b024dd6dd6c</t>
  </si>
  <si>
    <t>http://appleinsider.com/articles/14/09/22/rumor-apple-watch-to-feature-512mb-of-ram-4gb-of-storage</t>
  </si>
  <si>
    <t>Future Apple Watches could include platinum models - report</t>
  </si>
  <si>
    <t>e01b2010-c668-11e4-883c-a7fa7a3c5066</t>
  </si>
  <si>
    <t>http://appleinsider.com/articles/15/03/09/future-apple-watches-could-include-platinum-models---report</t>
  </si>
  <si>
    <t>Apple Watch to reportedly offer Power Reserve to help extend battery life</t>
  </si>
  <si>
    <t>51466740-c1b4-11e4-8747-5b024dd6dd6c</t>
  </si>
  <si>
    <t>http://appleinsider.com/articles/15/03/01/apple-watch-to-reportedly-offer-power-reserve-to-help-extend-battery-life</t>
  </si>
  <si>
    <t>The Apple Watch will ship in March</t>
  </si>
  <si>
    <t>KGI: iPhone sales forecast at 73M for Q4 ahead of Apple Watch debut in March, 12 MacBook Air in Q1</t>
  </si>
  <si>
    <t>e79edd60-c120-11e4-8747-5b024dd6dd6c</t>
  </si>
  <si>
    <t>6942a600-c11f-11e4-8747-5b024dd6dd6c</t>
  </si>
  <si>
    <t>http://appleinsider.com/articles/15/01/24/kgi-iphone-sales-forecast-at-73m-for-q4-ahead-of-apple-watch-debut-in-march-12-macbook-air-in-q1</t>
  </si>
  <si>
    <t>Apple scrapped advanced Apple Watch health monitoring features due to reliability issues</t>
  </si>
  <si>
    <t>d1f84600-c287-11e4-8747-5b024dd6dd6c</t>
  </si>
  <si>
    <t>http://appleinsider.com/articles/15/02/16/apple-scrapped-advanced-apple-watch-health-monitoring-features-due-to-reliability-issues</t>
  </si>
  <si>
    <t>Apple may end Beats Music brand, to keep subscription streaming service active u</t>
  </si>
  <si>
    <t>08acbd60-429b-11e4-9e78-ff09d5b0049d</t>
  </si>
  <si>
    <t>http://appleinsider.com/articles/14/09/22/apple-reportedly-planning-to-shut-down-beats-music-subscription-streaming-service</t>
  </si>
  <si>
    <t>Apple will offer custom engraving on the Apple Watch</t>
  </si>
  <si>
    <t>Apple rumored to further enhance personalization of Apple Watch with custom engravings</t>
  </si>
  <si>
    <t>65a8ce80-c371-11e4-9435-a96703525a9e</t>
  </si>
  <si>
    <t>5a4ffdb0-c371-11e4-9435-a96703525a9e</t>
  </si>
  <si>
    <t>http://appleinsider.com/articles/15/03/05/apple-rumored-to-further-enhance-personalization-of-apple-watch-with-custom-engravings</t>
  </si>
  <si>
    <t>eBay will make an Apple Watch app</t>
  </si>
  <si>
    <t>eBay developing Apple Watch software with ties to iOS app</t>
  </si>
  <si>
    <t>1816cff0-c36c-11e4-9435-a96703525a9e</t>
  </si>
  <si>
    <t>f7f23480-c36b-11e4-9435-a96703525a9e</t>
  </si>
  <si>
    <t>http://appleinsider.com/articles/15/01/27/ebay-developing-apple-watch-software-with-ties-to-ios-app</t>
  </si>
  <si>
    <t>7f899e10-c213-11e4-8747-5b024dd6dd6c</t>
  </si>
  <si>
    <t>Reset All Settings option in iOS 8 deletes iWork files</t>
  </si>
  <si>
    <t>Latest iOS 8 bug reportedly causes unwanted deletion of iCloud Drive documents</t>
  </si>
  <si>
    <t>a0fea5e0-48d3-11e4-9960-a165dd517bbb</t>
  </si>
  <si>
    <t>d049ff80-48d2-11e4-9960-a165dd517bbb</t>
  </si>
  <si>
    <t>http://appleinsider.com/articles/14/09/29/latest-ios-8-bug-reportedly-causes-unwanted-deletion-of-icloud-drive-documents</t>
  </si>
  <si>
    <t>The iPhone 6s will have a dual-lens camera</t>
  </si>
  <si>
    <t>Next-gen iPhone rumored to sport dual-lenses, DSLR quality in biggest camera jump ever</t>
  </si>
  <si>
    <t>c585aef0-9fe4-11e4-a353-5b831fe927be</t>
  </si>
  <si>
    <t>81e40500-9dc5-11e4-a353-5b831fe927be</t>
  </si>
  <si>
    <t>http://appleinsider.com/articles/14/11/18/next-gen-iphone-rumored-to-sport-dual-lenses-in-biggest-camera-jump-ever</t>
  </si>
  <si>
    <t>Seth Rogen to play Steve Wozniak alongside Christian Bale's Steve Jobs</t>
  </si>
  <si>
    <t>669ffdd0-611b-11e4-b6e9-e5f029e25965</t>
  </si>
  <si>
    <t>http://appleinsider.com/articles/14/10/30/seth-rogen-to-play-steve-wozniak-alongside-christian-bales-steve-jobs</t>
  </si>
  <si>
    <t>Apple CEO Tim Cook changed the company's on-hold music</t>
  </si>
  <si>
    <t>Email to Tim Cook prompted change of Apple's on hold music quality</t>
  </si>
  <si>
    <t>bf0de860-19cc-11e4-88ab-e7f7e0fff656</t>
  </si>
  <si>
    <t>beae1520-19cc-11e4-88ab-e7f7e0fff656</t>
  </si>
  <si>
    <t>http://appleinsider.com/articles/14/07/14/email-to-tim-cook-prompted-change-of-apples-on-hold-music-quality</t>
  </si>
  <si>
    <t>Apple in talks to become launch partner for cable-free HBO Now service</t>
  </si>
  <si>
    <t>d73cfc50-c430-11e4-883c-a7fa7a3c5066</t>
  </si>
  <si>
    <t>http://appleinsider.com/articles/15/03/04/apple-in-talks-to-become-launch-partner-for-cable-free-hbo-now-service</t>
  </si>
  <si>
    <t>9d67dd70-c28b-11e4-8747-5b024dd6dd6c</t>
  </si>
  <si>
    <t>Oscar winner Christian Bale to play Steve Jobs in upcoming biopic</t>
  </si>
  <si>
    <t>5840bbe0-54c7-11e4-b6a0-9705a8f94440</t>
  </si>
  <si>
    <t>http://appleinsider.com/articles/14/10/15/oscar-winner-christian-bale-to-play-steve-jobs-in-upcoming-biopic</t>
  </si>
  <si>
    <t>Christian Bale passes on role of Steve Jobs, actor reportedly felt he wasn't right for part</t>
  </si>
  <si>
    <t>05469200-6397-11e4-b3d8-a32d8ec8ad5e</t>
  </si>
  <si>
    <t>http://appleinsider.com/articles/14/11/03/christian-bale-passes-on-role-of-steve-jobs-actor-reportedly-felt-he-wasnt-right-for-part</t>
  </si>
  <si>
    <t>The stainless steel Apple Watch will be priced between 499 and 549 USD</t>
  </si>
  <si>
    <t>d2de1750-c275-11e4-8747-5b024dd6dd6c</t>
  </si>
  <si>
    <t>dd492230-c274-11e4-8747-5b024dd6dd6c</t>
  </si>
  <si>
    <t>Comcast is telling customers Tor is illegal to use</t>
  </si>
  <si>
    <t>Comcast calls rumor that it disconnects Tor users wildly inaccurate</t>
  </si>
  <si>
    <t>82d5e8c0-3d12-11e4-bc0b-3f922b93930d</t>
  </si>
  <si>
    <t>079e11c0-3ce3-11e4-bc0b-3f922b93930d</t>
  </si>
  <si>
    <t>http://arstechnica.com/business/2014/09/comcast-calls-rumor-that-it-disconnects-tor-users-wildly-inaccurate/</t>
  </si>
  <si>
    <t>arstechnica.com</t>
  </si>
  <si>
    <t>HBO Now coming this spring for 15 per month, with Apple as launch partner</t>
  </si>
  <si>
    <t>76475c60-c430-11e4-883c-a7fa7a3c5066</t>
  </si>
  <si>
    <t>http://arstechnica.com/business/2015/03/hbo-now-coming-this-spring-for-15-per-month-with-apple-as-launch-partner/</t>
  </si>
  <si>
    <t>Apple tested and cut more advanced fitness sensors from the Apple Watch</t>
  </si>
  <si>
    <t>ac220c40-c28c-11e4-8747-5b024dd6dd6c</t>
  </si>
  <si>
    <t>http://arstechnica.com/apple/2015/02/apple-tested-and-cut-more-advanced-fitness-sensors-from-the-apple-watch/</t>
  </si>
  <si>
    <t>Comcast got a man fired from his job after he complained about the company's service</t>
  </si>
  <si>
    <t>Comcast got me fired after billing dispute, says California man</t>
  </si>
  <si>
    <t>5abfee90-4ee6-11e4-949b-f14041b20838</t>
  </si>
  <si>
    <t>a6383910-4ee4-11e4-949b-f14041b20838</t>
  </si>
  <si>
    <t>http://arstechnica.com/tech-policy/2014/10/comcast-got-me-fired-after-billing-dispute-says-california-man/</t>
  </si>
  <si>
    <t>Somalia Shebab chief Ahmed Abdi Godane likely dead in US strike: Source</t>
  </si>
  <si>
    <t>fc4b7100-3517-11e4-a3fd-07e9a9d397df</t>
  </si>
  <si>
    <t>http://articles.economictimes.indiatimes.com/2014-09-03/news/53522905_1_air-strike-boko-haram-leader-us-missile-strike</t>
  </si>
  <si>
    <t>articles.economictimes.indiatimes.com</t>
  </si>
  <si>
    <t>Apple Watch Likely Be Launched On Valentine's Day Plus First Apple Watch Accessory To Be Showcased In CES 2015</t>
  </si>
  <si>
    <t>da89e820-c1e5-11e4-8747-5b024dd6dd6c</t>
  </si>
  <si>
    <t>http://au.ibtimes.com/apple-watch-likely-be-launched-valentines-day-plus-first-apple-watch-accessory-be-showcased-ces-2015</t>
  </si>
  <si>
    <t>au.ibtimes.com</t>
  </si>
  <si>
    <t>ISIS is dropping bombs containing live scorpions</t>
  </si>
  <si>
    <t>ISIS Blasts Scorpion Bombs At Civilian Areas In Iraq Mosul Residents Living In Fear</t>
  </si>
  <si>
    <t>d1b88b40-8539-11e4-b1b5-4f1bd36cbfc6</t>
  </si>
  <si>
    <t>93b29f90-8537-11e4-b1b5-4f1bd36cbfc6</t>
  </si>
  <si>
    <t>http://au.ibtimes.com/articles/576189/20141216/isis-scorpion-bombs-mosul-terrorism.htm#.VJBSQlfF_yA</t>
  </si>
  <si>
    <t>Jordan's King Abdullah II will participate in air strikes against ISIS</t>
  </si>
  <si>
    <t>Jordan Vs ISIS: Reports Say King Abdullah II Could Personally Lead Airstrikes After Pilot's Death</t>
  </si>
  <si>
    <t>f0cf2fe0-ad4b-11e4-9a23-0b6010caa867</t>
  </si>
  <si>
    <t>5a8add40-ad4b-11e4-9a23-0b6010caa867</t>
  </si>
  <si>
    <t>http://au.ibtimes.com/uae-suspends-anti-isis-air-strikes-citing-jordan-pilots-fate-demands-fixing-lapses-rescue-protocols</t>
  </si>
  <si>
    <t>J.J. Abrams wants a summer release date for Star Wars: Episode VII</t>
  </si>
  <si>
    <t>Star Wars: The Force Awakens May Get An Early Release DateReport</t>
  </si>
  <si>
    <t>b8f8c930-b2e3-11e4-9a23-0b6010caa867</t>
  </si>
  <si>
    <t>6bb89eb0-b2df-11e4-9a23-0b6010caa867</t>
  </si>
  <si>
    <t>http://au.ibtimes.com/star-wars-force-awakens-may-get-early-release-date-report-1420237</t>
  </si>
  <si>
    <t>A Florida woman got a third breast</t>
  </si>
  <si>
    <t>Woman With Three Breasts Is Reportedly A Fake: Jasmine Tridevil's Real Identity Revealed</t>
  </si>
  <si>
    <t>86283b10-6c04-11e4-b528-9d5aa2d2e8e7</t>
  </si>
  <si>
    <t>1abbebf0-428e-11e4-9e78-ff09d5b0049d</t>
  </si>
  <si>
    <t>http://au.ibtimes.com/articles/567374/20140924/three-breasts-jasmine-tridevil-fake-implants.htm</t>
  </si>
  <si>
    <t>Vogue magazine's new offices are infested with rats</t>
  </si>
  <si>
    <t>Vogue's Anna Wintour Pissed Off With New 1 World Trade Center Offices, Infested With Rats</t>
  </si>
  <si>
    <t>4b88f010-7570-11e4-99be-fb3662a4a6dd</t>
  </si>
  <si>
    <t>ddf83570-71b8-11e4-8a5e-4baa407ee462</t>
  </si>
  <si>
    <t>http://au.ibtimes.com/articles/573839/20141125/vogue-s-anna-wintour-pissed-new-1.htm#.VHXVtZPF-gk</t>
  </si>
  <si>
    <t>Two Australian men kept a McDonald's Quarter Pounder with Cheese for 20 years</t>
  </si>
  <si>
    <t>World's oldest burger</t>
  </si>
  <si>
    <t>8bb10fd0-b6aa-11e4-8507-b58af63d1078</t>
  </si>
  <si>
    <t>d54aaf40-b6a8-11e4-8507-b58af63d1078</t>
  </si>
  <si>
    <t>https://au.tv.yahoo.com/sunrise/video/watch/26311907/worlds-oldest-burger/</t>
  </si>
  <si>
    <t>au.tv.yahoo.com</t>
  </si>
  <si>
    <t>A man was saved from a bear attack thanks to a Justin Bieber ringtone</t>
  </si>
  <si>
    <t>Justin Bieber Helps Defend Russian Fisherman From Bear</t>
  </si>
  <si>
    <t>2e72c700-1ce5-11e4-8c09-cd48fe37674e</t>
  </si>
  <si>
    <t>27b04730-1ce5-11e4-8c09-cd48fe37674e</t>
  </si>
  <si>
    <t>http://austriantimes.at/news/Around_the_World/2014-08-05/51543/Justin_Bieber_Helps_Defend_Russian_Fisherman_From_Bear</t>
  </si>
  <si>
    <t>austriantimes.at</t>
  </si>
  <si>
    <t>A woman tried to eat her baby after giving birth</t>
  </si>
  <si>
    <t>Sick Mum Sedated After Trying To Eat Baby</t>
  </si>
  <si>
    <t>203bc930-7bdf-11e4-b794-93ed794d7b91</t>
  </si>
  <si>
    <t>1bfa00d0-7bdf-11e4-b794-93ed794d7b91</t>
  </si>
  <si>
    <t>http://austriantimes.at/news/Around_the_World/2014-12-04/52027/Sick_Mum_Sedated_After_Trying_To_Eat_Baby</t>
  </si>
  <si>
    <t>A Chinese man's penis was stolen by thieves</t>
  </si>
  <si>
    <t>Stolen Member</t>
  </si>
  <si>
    <t>0d774d30-a806-11e4-a43b-f10f6756f801</t>
  </si>
  <si>
    <t>faae5770-a805-11e4-a43b-f10f6756f801</t>
  </si>
  <si>
    <t>http://austriantimes.at/news/Around_the_World/2012-07-24/43086/Stolen_Member</t>
  </si>
  <si>
    <t>A young boy's aunt chopped off his penis after he interrupted her in the bathroom</t>
  </si>
  <si>
    <t>Evil Aunt Hacks Off Toddlers Penis</t>
  </si>
  <si>
    <t>8e19d910-a4fc-11e4-aa4f-ff16e52e0d56</t>
  </si>
  <si>
    <t>b34cea70-a4f6-11e4-aa4f-ff16e52e0d56</t>
  </si>
  <si>
    <t>http://austriantimes.at/news/Around_the_World/2014-11-17/51962/Evil_Aunt_Hacks_Off_Toddlers_Penis</t>
  </si>
  <si>
    <t>Low snowfall led an Austrian ski resort to use snow gathered the previous season</t>
  </si>
  <si>
    <t>Ski Resort Opens With Snow Stored From Last Season</t>
  </si>
  <si>
    <t>e546b110-a58b-11e4-aa4f-ff16e52e0d56</t>
  </si>
  <si>
    <t>d47fa5d0-a58b-11e4-aa4f-ff16e52e0d56</t>
  </si>
  <si>
    <t>http://austriantimes.at/image/40313/news/Around_the_World/2014-12-03/52021/Ski_Resort_Opens_With_Snow_Stored_From_Last_Season</t>
  </si>
  <si>
    <t>A Macedonian man cut off his penis after his girlfriend broke up with him</t>
  </si>
  <si>
    <t>Man Severed Penis That Failed To Impress Girls</t>
  </si>
  <si>
    <t>d473cff0-5b92-11e4-a887-2324afc3f9a8</t>
  </si>
  <si>
    <t>6bf61640-5b92-11e4-a887-2324afc3f9a8</t>
  </si>
  <si>
    <t>http://austriantimes.at/news/Around_the_World/2014-10-23/51884/Man_Severed_Penis_That_Failed_To_Impress_Girls</t>
  </si>
  <si>
    <t>ESPN planned a special domestic violence panel that didn't include any women</t>
  </si>
  <si>
    <t>No, ESPN is not having an all-male domestic violence panel tonight</t>
  </si>
  <si>
    <t>071c7270-4817-11e4-9960-a165dd517bbb</t>
  </si>
  <si>
    <t>fb885e70-47f7-11e4-9960-a165dd517bbb</t>
  </si>
  <si>
    <t>http://awfulannouncing.com/2014/espn-male-domestic-violence-panel-tonight.html</t>
  </si>
  <si>
    <t>awfulannouncing.com</t>
  </si>
  <si>
    <t>The Iraqi army shot down two British planes that were delivering weapons to ISIS</t>
  </si>
  <si>
    <t>Iraq shoots down 2 UK planes delivering weapons to ISIL</t>
  </si>
  <si>
    <t>e1c5be30-bd25-11e4-b073-ed15c88bfa1e</t>
  </si>
  <si>
    <t>d8f964a0-bd25-11e4-b073-ed15c88bfa1e</t>
  </si>
  <si>
    <t>http://axisoflogic.com/artman/publish/Article_69478.shtml</t>
  </si>
  <si>
    <t>axisoflogic.com</t>
  </si>
  <si>
    <t>ISIS leader Abu Bakr al-Baghdadi was killed by an U.S. airstrike</t>
  </si>
  <si>
    <t>Islamic State Leader al-Baghdadi Not Dead</t>
  </si>
  <si>
    <t>fee6ee00-3678-11e4-ae63-d5574342724c</t>
  </si>
  <si>
    <t>2a9cb710-3673-11e4-ae63-d5574342724c</t>
  </si>
  <si>
    <t>http://basnews.com/en/News/Details/Islamic-State-Leader-al-Baghdadi--Not-Dead-/33223</t>
  </si>
  <si>
    <t>basnews.com</t>
  </si>
  <si>
    <t>ISIS used chlorine gas in an attack near Fallujah</t>
  </si>
  <si>
    <t>IS Militants Kill 300 Iraqi Soldiers with Chlorine Gas</t>
  </si>
  <si>
    <t>a04234d0-425e-11e4-9e78-ff09d5b0049d</t>
  </si>
  <si>
    <t>496fc150-425d-11e4-9e78-ff09d5b0049d</t>
  </si>
  <si>
    <t>http://basnews.com/en/News/Details/IS-Militants-Kill-300-Iraqi-Soldiers-with-Chlorine-Gas-/35013</t>
  </si>
  <si>
    <t>The BBC carried a report that questions the official version of the Charlie Hebdo murders</t>
  </si>
  <si>
    <t>Doubts raised over authenticity of Charlie Hebdo footage.</t>
  </si>
  <si>
    <t>927b4960-9a72-11e4-bf59-1bb8b99952ce</t>
  </si>
  <si>
    <t>420c6cd0-9a71-11e4-bf59-1bb8b99952ce</t>
  </si>
  <si>
    <t>http://bbc-news.co.uk/doubts-raised-over-authenticity-of-charlie-hebdo-footage</t>
  </si>
  <si>
    <t>bbc-news.co.uk</t>
  </si>
  <si>
    <t>Veterans Today reporting Iraqi Army Downs 2 UK Planes Carrying Weapons for ISIL</t>
  </si>
  <si>
    <t>a2205680-bd27-11e4-b073-ed15c88bfa1e</t>
  </si>
  <si>
    <t>http://beforeitsnews.com/politics/2015/02/veterans-today-reporting-iraqi-army-downs-2-uk-planes-carrying-weapons-for-isil-2692166.html</t>
  </si>
  <si>
    <t>beforeitsnews.com</t>
  </si>
  <si>
    <t>A unique planetary alignment on Jan. 4, 2015 will cause partial weightlessness on earth</t>
  </si>
  <si>
    <t>NASA: Planetary Alignment On Jan 4, 2015 Will Decrease Gravity For 5 Minutes Causing Partial Weightlessness???</t>
  </si>
  <si>
    <t>69099f80-8ee9-11e4-9799-c7e75be2bcad</t>
  </si>
  <si>
    <t>53728b10-8ee8-11e4-9799-c7e75be2bcad</t>
  </si>
  <si>
    <t>http://beforeitsnews.com/alternative/2014/12/nasa-planetary-alignment-on-jan-4-2015-will-decrease-gravity-for-5-minutes-causing-partial-weightlessness-3081574.html</t>
  </si>
  <si>
    <t>Predator Drone Reportedly Sighted Circling Raqqa, Syria</t>
  </si>
  <si>
    <t>c5a544e0-36e9-11e4-ae63-d5574342724c</t>
  </si>
  <si>
    <t>https://bellingcat.com/news/mena/2014/09/05/predator-drone-reportedly-sighted-circling-raqqa-syria/</t>
  </si>
  <si>
    <t>bellingcat.com</t>
  </si>
  <si>
    <t>Huge new leak reveals Apple's radically redesigned 12-inch MacBook Air</t>
  </si>
  <si>
    <t>72dead80-969f-11e4-87a8-1d5d45e62193</t>
  </si>
  <si>
    <t>http://bgr.com/2015/01/06/12-inch-macbook-air-leaked-photos/</t>
  </si>
  <si>
    <t>bgr.com</t>
  </si>
  <si>
    <t>Apple's next big event reportedly set for late February</t>
  </si>
  <si>
    <t>4cf44a20-c283-11e4-8747-5b024dd6dd6c</t>
  </si>
  <si>
    <t>http://bgr.com/2015/02/04/apple-february-2015-event/</t>
  </si>
  <si>
    <t>Apple will sell 50 million Apple Watches in 2015</t>
  </si>
  <si>
    <t>Samsung reportedly missing out on huge 50 million Apple Watch display deal</t>
  </si>
  <si>
    <t>1db4f0b0-c4f0-11e4-883c-a7fa7a3c5066</t>
  </si>
  <si>
    <t>adf12f50-c4ef-11e4-883c-a7fa7a3c5066</t>
  </si>
  <si>
    <t>http://bgr.com/2014/09/17/apple-watch-amoled-display/</t>
  </si>
  <si>
    <t>It's confirmed: You'll have to recharge your Apple Watch every night</t>
  </si>
  <si>
    <t>e28db7f0-c29d-11e4-8747-5b024dd6dd6c</t>
  </si>
  <si>
    <t>http://bgr.com/2014/09/10/apple-watch-battery-life/</t>
  </si>
  <si>
    <t>New rumor backs up reports that the Apple Watch will launch in February</t>
  </si>
  <si>
    <t>d3bbc3c0-4aed-11e4-9960-a165dd517bbb</t>
  </si>
  <si>
    <t>http://bgr.com/2014/10/02/apple-watch-release-date-rumor/</t>
  </si>
  <si>
    <t>The Apple Watch Edition has less gold than typical 18k gold</t>
  </si>
  <si>
    <t>Brilliant patent details how Apple may be saving money on the 18k Gold Apple Watch</t>
  </si>
  <si>
    <t>71c2d490-c673-11e4-883c-a7fa7a3c5066</t>
  </si>
  <si>
    <t>82237250-c672-11e4-883c-a7fa7a3c5066</t>
  </si>
  <si>
    <t>http://bgr.com/2015/03/09/apple-watch-18k-gold-patent/</t>
  </si>
  <si>
    <t>Apple Watch won't be a U.S.-only launch</t>
  </si>
  <si>
    <t>a17b6bf0-c1b1-11e4-8747-5b024dd6dd6c</t>
  </si>
  <si>
    <t>http://bgr.com/2015/03/02/apple-watch-launch-europe/</t>
  </si>
  <si>
    <t>Apple Watch will reportedly have pretty unimpressive specs</t>
  </si>
  <si>
    <t>8f410ed0-c2a7-11e4-8747-5b024dd6dd6c</t>
  </si>
  <si>
    <t>http://bgr.com/2014/09/22/apple-watch-specs/</t>
  </si>
  <si>
    <t>The Apple Store will have custom-designed safes to store the gold Apple Watch</t>
  </si>
  <si>
    <t>Apple is bringing special safes to its stores just to house the 18k gold Apple Watch</t>
  </si>
  <si>
    <t>dcabece0-bfb8-11e4-8747-5b024dd6dd6c</t>
  </si>
  <si>
    <t>ca466950-bfb7-11e4-8747-5b024dd6dd6c</t>
  </si>
  <si>
    <t>http://bgr.com/2015/02/02/apple-watch-18k-gold/</t>
  </si>
  <si>
    <t>Your Apple Watch might be ready just in time for Valentine's Day</t>
  </si>
  <si>
    <t>a5ad62c0-c1e6-11e4-8747-5b024dd6dd6c</t>
  </si>
  <si>
    <t>http://bgr.com/2014/09/24/apple-watch-release-date/</t>
  </si>
  <si>
    <t>Another huge iOS 8 bug could delete your iCloud Drive files</t>
  </si>
  <si>
    <t>a64ad960-48d3-11e4-9960-a165dd517bbb</t>
  </si>
  <si>
    <t>http://bgr.com/2014/09/29/ios-8-icloud-drive-bug/</t>
  </si>
  <si>
    <t>Has Apple quietly fixed its iPhone 6 Plus Bendgate problem?</t>
  </si>
  <si>
    <t>8afe51b0-6123-11e4-b6e9-e5f029e25965</t>
  </si>
  <si>
    <t>http://bgr.com/2014/10/31/iphone-6-plus-bendgate-design-fix/</t>
  </si>
  <si>
    <t>Two locations in the U.S. are still serving the original McDonald's pizza</t>
  </si>
  <si>
    <t>You can still order a McPizza at these two McDonald's locations</t>
  </si>
  <si>
    <t>ffa33ba0-a7e3-11e4-a43b-f10f6756f801</t>
  </si>
  <si>
    <t>adac54f0-a7e1-11e4-a43b-f10f6756f801</t>
  </si>
  <si>
    <t>http://bgr.com/2015/01/22/where-to-get-a-mcpizza/</t>
  </si>
  <si>
    <t>Amazon will launch an ad-supported video streaming service in early 2015</t>
  </si>
  <si>
    <t>Amazon reportedly developing a new weapon to combat Netflix</t>
  </si>
  <si>
    <t>3412a440-7312-11e4-99be-fb3662a4a6dd</t>
  </si>
  <si>
    <t>f1c60e30-730f-11e4-99be-fb3662a4a6dd</t>
  </si>
  <si>
    <t>http://bgr.com/2014/11/21/amazon-free-video-streaming-service/</t>
  </si>
  <si>
    <t>Apple will announce a 12-inch MacBook Air Retina at the March 9th Spring Forward Event</t>
  </si>
  <si>
    <t>Apple might finally unveil the Retina MacBook Air of your dreams next week</t>
  </si>
  <si>
    <t>af60ce90-c373-11e4-9435-a96703525a9e</t>
  </si>
  <si>
    <t>9e828ea0-c36f-11e4-9435-a96703525a9e</t>
  </si>
  <si>
    <t>http://bgr.com/2015/03/04/retina-macbook-air-release-announcement-report/</t>
  </si>
  <si>
    <t>12.9-inch iPad Pro production reportedly pushed back to September</t>
  </si>
  <si>
    <t>ef8ecc90-c384-11e4-9435-a96703525a9e</t>
  </si>
  <si>
    <t>http://bgr.com/2015/03/05/ipad-pro-release-date-delayed/</t>
  </si>
  <si>
    <t>Samsung is producing a new chip for Apple Watch</t>
  </si>
  <si>
    <t>Samsung is reportedly making a secret new chip in the Apple Watch</t>
  </si>
  <si>
    <t>86106100-c35e-11e4-9435-a96703525a9e</t>
  </si>
  <si>
    <t>90356230-c35d-11e4-9435-a96703525a9e</t>
  </si>
  <si>
    <t>http://bgr.com/2015/01/09/apple-watch-specs-chip-in-s1-sip/</t>
  </si>
  <si>
    <t>ISIS captured a U.S. airdrop of weapons intended for Kurdish fighters</t>
  </si>
  <si>
    <t>Pentagon: 1 weapons bundle seized by militants</t>
  </si>
  <si>
    <t>b2092a50-5a0c-11e4-aaf5-a1ddcfbcd5a9</t>
  </si>
  <si>
    <t>dfc3a4a0-5964-11e4-aaf5-a1ddcfbcd5a9</t>
  </si>
  <si>
    <t>http://bigstory.ap.org/article/d83523ed096c43fa95f0b14c26a953b3/pentagon-1-weapons-bundle-seized-militants</t>
  </si>
  <si>
    <t>bigstory.ap.org</t>
  </si>
  <si>
    <t>Obama: US Won't Stop Confronting Islamic state</t>
  </si>
  <si>
    <t>bbf984d0-2864-11e4-a916-bf0b27b73ad5</t>
  </si>
  <si>
    <t>http://bigstory.ap.org/article/another-american-hostage-risk-islamic-state</t>
  </si>
  <si>
    <t>A meteorite landed in Nicaragua.</t>
  </si>
  <si>
    <t>SMALL METEORITE STRIKES NICARAGUA, GOVERNMENT SAYS</t>
  </si>
  <si>
    <t>db6f9140-383d-11e4-ae63-d5574342724c</t>
  </si>
  <si>
    <t>c3928470-383c-11e4-ae63-d5574342724c</t>
  </si>
  <si>
    <t>http://bigstory.ap.org/article/small-meteorite-strikes-nicaragua-government-says</t>
  </si>
  <si>
    <t>A 113-year-old time capsule was found hidden inside a lion statue in Boston</t>
  </si>
  <si>
    <t>1901 Boston time capsule yields small red book</t>
  </si>
  <si>
    <t>6f7c4b10-8287-11e4-b1b5-4f1bd36cbfc6</t>
  </si>
  <si>
    <t>2f2f1c90-8287-11e4-b1b5-4f1bd36cbfc6</t>
  </si>
  <si>
    <t>http://bigstory.ap.org/article/d33ac2c052b74a928ec4146371021ba5/1901-time-capsule-be-removed-lion-statue</t>
  </si>
  <si>
    <t>Robert O'Neill, the former SEAL who claims to have shot Bin Laden, was attacked in his home by members of a street gang</t>
  </si>
  <si>
    <t>Rob O'Neill may have killed bin Laden, but didn't take out gangster intruders</t>
  </si>
  <si>
    <t>019bb210-87ec-11e4-adc5-33f8455b16a2</t>
  </si>
  <si>
    <t>ad50fae0-87ea-11e4-adc5-33f8455b16a2</t>
  </si>
  <si>
    <t>http://billingsgazette.com/news/state-and-regional/montana/rob-o-neill-may-have-killed-bin-laden-but-didn/article_f9cff38d-77a7-57f9-a4a7-35339981120c.html</t>
  </si>
  <si>
    <t>billingsgazette.com</t>
  </si>
  <si>
    <t>Tesla is building its gigfactory in Nevada</t>
  </si>
  <si>
    <t>Tesla will build its Gigafactory in Nevada, not Texas</t>
  </si>
  <si>
    <t>a3bf9dc0-33a2-11e4-8453-710264d9a1f8</t>
  </si>
  <si>
    <t>d76acf10-33a1-11e4-8453-710264d9a1f8</t>
  </si>
  <si>
    <t>http://bizbeatblog.dallasnews.com/2014/09/report-tesla-will-build-its-gigafactory-in-nevada-not-texas.html/</t>
  </si>
  <si>
    <t>bizbeatblog.dallasnews.com</t>
  </si>
  <si>
    <t>Jose Canseco was shot</t>
  </si>
  <si>
    <t>Jose Canseco Accidentally Shoots Self in the Hand at Vegas Home</t>
  </si>
  <si>
    <t>bb9eaf30-5f0d-11e4-a887-2324afc3f9a8</t>
  </si>
  <si>
    <t>48a17fa0-5f0b-11e4-a887-2324afc3f9a8</t>
  </si>
  <si>
    <t>http://bleacherreport.com/articles/2248399-jose-canseco-shot-in-the-hand-during-accidental-shooting-at-vegas-home?utm_source=twitter.com&amp;utm_medium=share&amp;utm_campaign=web-des-art-top-18?is_shared=true</t>
  </si>
  <si>
    <t>bleacherreport.com</t>
  </si>
  <si>
    <t>Taylor Lianne Chandler was born intersex</t>
  </si>
  <si>
    <t>Michael Phelps Reported Girlfriend Reveals She Was Born Intersex</t>
  </si>
  <si>
    <t>59842a20-70db-11e4-8e10-b9c720c188ba</t>
  </si>
  <si>
    <t>7efa93d0-70da-11e4-8e10-b9c720c188ba</t>
  </si>
  <si>
    <t>http://bleacherreport.com/articles/2274130-michael-phelps-reported-girlfriend-reveals-she-was-born-intersex</t>
  </si>
  <si>
    <t>Tiger Woods is serving a suspension from the PGA Tour after failing a drug test</t>
  </si>
  <si>
    <t>Tiger Woods PED, PGA Tour Suspension Allegations Retracted by Dan Olsen</t>
  </si>
  <si>
    <t>60669e60-c106-11e4-8747-5b024dd6dd6c</t>
  </si>
  <si>
    <t>10a1faa0-c0fc-11e4-8747-5b024dd6dd6c</t>
  </si>
  <si>
    <t>http://bleacherreport.com/articles/2382213-tiger-woods-agent-denies-ped-pga-tour-suspension-allegations-by-dan-olsen</t>
  </si>
  <si>
    <t>Charles Manson's fiancee allegedly wanted to marry him for his corpse</t>
  </si>
  <si>
    <t>af8cdd90-b11d-11e4-9a23-0b6010caa867</t>
  </si>
  <si>
    <t>http://blog.chron.com/hottopics/2015/02/charles-mansons-fiancee-allegedly-wanted-to-marry-him-for-his-corpse/</t>
  </si>
  <si>
    <t>blog.chron.com</t>
  </si>
  <si>
    <t>6f46db00-b11d-11e4-9a23-0b6010caa867</t>
  </si>
  <si>
    <t>http://blog.sfgate.com/stew/2015/02/09/charles-mansons-fiancee-allegedly-wanted-to-marry-him-for-his-corpse/</t>
  </si>
  <si>
    <t>blog.sfgate.com</t>
  </si>
  <si>
    <t>The gold Apple Watch Edition will retail for 950 USD</t>
  </si>
  <si>
    <t>Apple: Citi Sees 550 and 950 Apple Watches, Accessory Plethora</t>
  </si>
  <si>
    <t>ce825810-c356-11e4-9435-a96703525a9e</t>
  </si>
  <si>
    <t>84ec25f0-c356-11e4-9435-a96703525a9e</t>
  </si>
  <si>
    <t>http://blogs.barrons.com/techtraderdaily/2015/02/26/apple-citi-sees-550-and-950-apple-watches-accessory-plethora/</t>
  </si>
  <si>
    <t>blogs.barrons.com</t>
  </si>
  <si>
    <t>The stainless steel Apple Watch will cost 550 USD</t>
  </si>
  <si>
    <t>20ebac70-c355-11e4-9435-a96703525a9e</t>
  </si>
  <si>
    <t>14488150-c355-11e4-9435-a96703525a9e</t>
  </si>
  <si>
    <t>Fidel Castro Is Dead, According to Viral Twitter Rumors</t>
  </si>
  <si>
    <t>454d6600-980b-11e4-bb36-07f7e019de19</t>
  </si>
  <si>
    <t>http://blogs.miaminewtimes.com/riptide/2015/01/fidel_castro_dead_says_twitter_1.php</t>
  </si>
  <si>
    <t>blogs.miaminewtimes.com</t>
  </si>
  <si>
    <t>ISIS leader dead?</t>
  </si>
  <si>
    <t>e92fa5d0-3884-11e4-ae63-d5574342724c</t>
  </si>
  <si>
    <t>http://blogs.montrealgazette.com/2014/09/09/isis-leader-dead/</t>
  </si>
  <si>
    <t>blogs.montrealgazette.com</t>
  </si>
  <si>
    <t>A Ferguson protester held up a sign that read, No mother should have to fear for her son's life every time he robs a store.</t>
  </si>
  <si>
    <t>Ferguson Protester's Photo Gets Edited Into Racist Meme, Goes Viral</t>
  </si>
  <si>
    <t>9c1c8810-7b16-11e4-b794-93ed794d7b91</t>
  </si>
  <si>
    <t>eefe19b0-7b14-11e4-b794-93ed794d7b91</t>
  </si>
  <si>
    <t>http://blogs.riverfronttimes.com/dailyrft/2014/12/riverfront_times_photo_goes_viral_after_being_edited_to_seem_super_racist.php</t>
  </si>
  <si>
    <t>blogs.riverfronttimes.com</t>
  </si>
  <si>
    <t>Apple Watch Smartwatch to Ship 15 Million Units Worldwide in 2015</t>
  </si>
  <si>
    <t>806baa00-c41e-11e4-883c-a7fa7a3c5066</t>
  </si>
  <si>
    <t>http://blogs.strategyanalytics.com/WDE/post/2015/03/05/Apple-Watch-to-Ship-15-Million-Units-Worldwide-in-2015.aspx</t>
  </si>
  <si>
    <t>blogs.strategyanalytics.com</t>
  </si>
  <si>
    <t>Apple has ordered at least 5 million watches for its first run</t>
  </si>
  <si>
    <t>Apple Orders More Than 5 Million Watches for Initial Run</t>
  </si>
  <si>
    <t>07918d50-bfb6-11e4-8747-5b024dd6dd6c</t>
  </si>
  <si>
    <t>f592c560-bfb5-11e4-8747-5b024dd6dd6c</t>
  </si>
  <si>
    <t>http://blogs.wsj.com/digits/2015/02/17/apple-orders-more-than-5-million-watches-for-initial-run/?mod=e2tw</t>
  </si>
  <si>
    <t>blogs.wsj.com</t>
  </si>
  <si>
    <t>Saudi TV blurred out Michelle Obama's uncovered face during a visit to the country</t>
  </si>
  <si>
    <t>Michelle Obama Not Blurred Out on Saudi TV</t>
  </si>
  <si>
    <t>1beb1e20-a69c-11e4-aa4f-ff16e52e0d56</t>
  </si>
  <si>
    <t>32793990-a699-11e4-aa4f-ff16e52e0d56</t>
  </si>
  <si>
    <t>http://blogs.wsj.com/washwire/2015/01/27/michelle-obama-not-blurred-out-on-saudi-tv/</t>
  </si>
  <si>
    <t>Comcast blocks Tor updated</t>
  </si>
  <si>
    <t>880e6d30-3d12-11e4-bc0b-3f922b93930d</t>
  </si>
  <si>
    <t>http://boingboing.net/2014/09/15/comcast-blocks-tor.html</t>
  </si>
  <si>
    <t>boingboing.net</t>
  </si>
  <si>
    <t>HOAX: TV show tricks chronic catcallers into harassing their own mothers</t>
  </si>
  <si>
    <t>d21d72a0-a62a-11e4-aa4f-ff16e52e0d56</t>
  </si>
  <si>
    <t>http://boingboing.net/2015/01/26/tv-show-tricks-chronic-catcall.html</t>
  </si>
  <si>
    <t>Woman has third breast implanted</t>
  </si>
  <si>
    <t>15d80fd0-4291-11e4-9e78-ff09d5b0049d</t>
  </si>
  <si>
    <t>http://boingboing.net/2014/09/22/woman-has-third-breast-implant.html</t>
  </si>
  <si>
    <t>Third boob likely a hoax</t>
  </si>
  <si>
    <t>724cc0b0-6c00-11e4-b528-9d5aa2d2e8e7</t>
  </si>
  <si>
    <t>http://boingboing.net/2014/09/23/third-boob-likely-a-hoax.html</t>
  </si>
  <si>
    <t>The Apple Watch Will Debut by Late March Report</t>
  </si>
  <si>
    <t>c926c830-c11a-11e4-8747-5b024dd6dd6c</t>
  </si>
  <si>
    <t>http://bostinno.streetwise.co/2015/01/06/apple-watch-release-date-apple-watch-on-sale-march-2015-report-says-2-2/</t>
  </si>
  <si>
    <t>bostinno.streetwise.co</t>
  </si>
  <si>
    <t>IBM will cut more than 110,000 jobs this week</t>
  </si>
  <si>
    <t>IBM Corp expected to cut more than 110,000 jobs in massive overhaul, report says</t>
  </si>
  <si>
    <t>f9d7fe00-a57b-11e4-aa4f-ff16e52e0d56</t>
  </si>
  <si>
    <t>62f34cb0-a57b-11e4-aa4f-ff16e52e0d56</t>
  </si>
  <si>
    <t>http://business.financialpost.com/2015/01/26/ibm-corp-expected-to-cut-more-than-110000-jobs-in-massive-overhaul-report-says/?__lsa=05d4-bdbb</t>
  </si>
  <si>
    <t>business.financialpost.com</t>
  </si>
  <si>
    <t>Rap artist Macklemore joined ISIS</t>
  </si>
  <si>
    <t>Someone Trolled Twitter Into Thinking Macklemore Joined ISIS</t>
  </si>
  <si>
    <t>c0ae6260-b9c4-11e4-b073-ed15c88bfa1e</t>
  </si>
  <si>
    <t>92376530-b9c4-11e4-b073-ed15c88bfa1e</t>
  </si>
  <si>
    <t>http://ca.complex.com/music/2015/02/macklemore-isis-twitter</t>
  </si>
  <si>
    <t>ca.complex.com</t>
  </si>
  <si>
    <t>A 17-year-old poured acid her boyfriend's genitals after their sex tape went viral</t>
  </si>
  <si>
    <t>Man's Girlfriend Pours Acid On His Penis After He Covertly Recorded Their Sex Session</t>
  </si>
  <si>
    <t>dbfd6460-abe3-11e4-9a23-0b6010caa867</t>
  </si>
  <si>
    <t>49de7880-abe3-11e4-9a23-0b6010caa867</t>
  </si>
  <si>
    <t>http://ca.complex.com/pop-culture/2015/02/mans-girlfriend-pours-acid-on-his-penis</t>
  </si>
  <si>
    <t>Joan Rivers doctor took a selfie during her operation</t>
  </si>
  <si>
    <t>Joan Rivers Doctor Reportedly Took a Selfie Before Her Cardiac Arrest</t>
  </si>
  <si>
    <t>f8e75880-3e59-11e4-bc0b-3f922b93930d</t>
  </si>
  <si>
    <t>f03334c0-3dff-11e4-bc0b-3f922b93930d</t>
  </si>
  <si>
    <t>http://ca.complex.com/pop-culture/2014/09/joan-rivers-doctor-took-a-selfie</t>
  </si>
  <si>
    <t>There's an audio recording of the Michael Brown shooting</t>
  </si>
  <si>
    <t>New Audio Shows Michael Brown Was Shot at 11 Times</t>
  </si>
  <si>
    <t>9158ae60-2d71-11e4-89c5-1d389b94bc4b</t>
  </si>
  <si>
    <t>229a2900-2d66-11e4-89c5-1d389b94bc4b</t>
  </si>
  <si>
    <t>http://ca.complex.com/pop-culture/2014/08/new-audio-shows-michael-brown-shot-at-11-times</t>
  </si>
  <si>
    <t>YouTube star Josh Paler Lin gave a homeless man 100 and filmed how he spent it without the man's knowledge</t>
  </si>
  <si>
    <t>NEWS You'll Never Guess How a Homeless Man Spent 100Watch the Touching Video</t>
  </si>
  <si>
    <t>6d412ea0-921e-11e4-9799-c7e75be2bcad</t>
  </si>
  <si>
    <t>557a4c70-921e-11e4-9799-c7e75be2bcad</t>
  </si>
  <si>
    <t>http://ca.eonline.com/news/609203/you-ll-never-guess-how-a-homeless-man-spent-100-watch-the-touching-video</t>
  </si>
  <si>
    <t>ca.eonline.com</t>
  </si>
  <si>
    <t>A 9 year old student sent a heartwarming letter to her teacher after he came out to the class</t>
  </si>
  <si>
    <t>NEWS Read the Touching Letter This 9-Year-Old Girl Sent Her Teacher After He Came Out to the Class</t>
  </si>
  <si>
    <t>d5899c20-8618-11e4-b1b5-4f1bd36cbfc6</t>
  </si>
  <si>
    <t>68a0ec80-847e-11e4-b1b5-4f1bd36cbfc6</t>
  </si>
  <si>
    <t>http://ca.eonline.com/news/607049/read-the-touching-letter-this-9-year-old-girl-sent-her-teacher-after-he-came-out-to-the-class</t>
  </si>
  <si>
    <t>NEWS Viral Video: What Happens When You Accidentally Catcall Your Mom</t>
  </si>
  <si>
    <t>496eba10-a62d-11e4-aa4f-ff16e52e0d56</t>
  </si>
  <si>
    <t>http://ca.eonline.com/news/618665/viral-video-what-happens-when-you-accidentally-catcall-your-mom</t>
  </si>
  <si>
    <t>Pope Francis told a boy whose dog had died that Paradise is open to all of God's creatures</t>
  </si>
  <si>
    <t>NEWS All Dogs Go to Heaven Pope Francis Confirms Paradise Is Open to All of God's Creatures</t>
  </si>
  <si>
    <t>061ae6e0-8331-11e4-b1b5-4f1bd36cbfc6</t>
  </si>
  <si>
    <t>6a9cdeb0-832d-11e4-b1b5-4f1bd36cbfc6</t>
  </si>
  <si>
    <t>http://ca.eonline.com/news/605987/all-dogs-go-to-heaven-pope-francis-confirms-paradise-is-open-to-all-of-god-s-creatures</t>
  </si>
  <si>
    <t>Jess Smith of Chatham, Kent was the smiling sun baby in the Teletubbies TV show</t>
  </si>
  <si>
    <t>NEWS Meet the Teletubbies Sun Baby: 19-Year-Old Jess Smith Reveals Herself as the Smiling Face Who Looked Over Teletubbyland</t>
  </si>
  <si>
    <t>c52153e0-8b14-11e4-9799-c7e75be2bcad</t>
  </si>
  <si>
    <t>d596b220-8b13-11e4-9799-c7e75be2bcad</t>
  </si>
  <si>
    <t>http://ca.eonline.com/news/609065/meet-the-teletubbies-sun-baby-19-year-old-jess-smith-reveals-herself-as-the-smiling-face-who-looked-over-teletubbyland</t>
  </si>
  <si>
    <t>Durex is launching a pumpkin spice condom</t>
  </si>
  <si>
    <t>Sorry, Everyone: Durex Is Unfortunately Not Making Pumpkin Spice Condoms</t>
  </si>
  <si>
    <t>b7a5d7e0-3817-11e4-ae63-d5574342724c</t>
  </si>
  <si>
    <t>2f0b5060-3766-11e4-ae63-d5574342724c</t>
  </si>
  <si>
    <t>http://ca.eonline.com/news/577054/sorry-everyone-durex-is-unfortunately-not-making-pumpkin-spice-condoms</t>
  </si>
  <si>
    <t>APPLE WATCH MAY GO ON SALE IN MARCH ACCORDING TO ANALYST</t>
  </si>
  <si>
    <t>d5946ac0-c122-11e4-8747-5b024dd6dd6c</t>
  </si>
  <si>
    <t>http://ca.ign.com/articles/2015/01/27/apple-watch-may-go-on-sale-in-march-according-to-analyst</t>
  </si>
  <si>
    <t>ca.ign.com</t>
  </si>
  <si>
    <t>Microsoft is going to acquire Mojang AB</t>
  </si>
  <si>
    <t>MICROSOFT IN SERIOUS DISCUSSIONS TO PURCHASE MINECRAFT DEV MOJANG</t>
  </si>
  <si>
    <t>8f490390-387a-11e4-ae63-d5574342724c</t>
  </si>
  <si>
    <t>ebfb49f0-3879-11e4-ae63-d5574342724c</t>
  </si>
  <si>
    <t>http://ca.ign.com/articles/2014/09/09/microsoft-in-serious-discussions-to-purchase-minecraft-dev-mojang?utm_source=feedburner&amp;utm_medium=feed&amp;utm_campaign=Feed%3A+ign%2Fall+(IGN+All)</t>
  </si>
  <si>
    <t>Lenovo will make a bid to buy Blackberry</t>
  </si>
  <si>
    <t>BlackBerry shares up after unconfirmed report on possible Lenovo bid</t>
  </si>
  <si>
    <t>6f412c30-5869-11e4-aaf5-a1ddcfbcd5a9</t>
  </si>
  <si>
    <t>3fc87670-5869-11e4-aaf5-a1ddcfbcd5a9</t>
  </si>
  <si>
    <t>http://ca.reuters.com/article/technologyNews/idCAKCN0I91K220141020</t>
  </si>
  <si>
    <t>ca.reuters.com</t>
  </si>
  <si>
    <t>Is the iPhone 6 Really Pulling Out Your Hair?</t>
  </si>
  <si>
    <t>1694cb60-4e5e-11e4-949b-f14041b20838</t>
  </si>
  <si>
    <t>https://ca.shine.yahoo.com/is-the-iphone-6-really-pulling-out-your-hair-191751269.html</t>
  </si>
  <si>
    <t>ca.shine.yahoo.com</t>
  </si>
  <si>
    <t>A 50-foot crab was photographed in the U.K.</t>
  </si>
  <si>
    <t>50 foot crab : Is this a Crabzilla spotted in the UK?</t>
  </si>
  <si>
    <t>1524d660-555e-11e4-aaf5-a1ddcfbcd5a9</t>
  </si>
  <si>
    <t>5d311f10-555c-11e4-aaf5-a1ddcfbcd5a9</t>
  </si>
  <si>
    <t>http://canadajournal.net/science/50-foot-crab-crabzilla-allegedly-photographed-in-british-waters-17172-2014/</t>
  </si>
  <si>
    <t>canadajournal.net</t>
  </si>
  <si>
    <t>The Batmobile was stolen</t>
  </si>
  <si>
    <t>GCPD Solved Stolen Batmobile Case?</t>
  </si>
  <si>
    <t>15f22170-3c44-11e4-bc0b-3f922b93930d</t>
  </si>
  <si>
    <t>ee3af700-3ab9-11e4-bc0b-3f922b93930d</t>
  </si>
  <si>
    <t>http://capedcrusades.com/2014/09/13/gcpd-solved-stolen-batmobile-case/</t>
  </si>
  <si>
    <t>capedcrusades.com</t>
  </si>
  <si>
    <t>Holy Theft Batmobile Stolen from Batman v Superman'???</t>
  </si>
  <si>
    <t>32c95890-3b31-11e4-bc0b-3f922b93930d</t>
  </si>
  <si>
    <t>http://capedcrusades.com/2014/09/13/holy-theft-batmobile-stolen-batman-v-superman/</t>
  </si>
  <si>
    <t>An Afghan woman avenged her son's death by helping kill 25 Taliban fighters</t>
  </si>
  <si>
    <t>Afghan family kills 25 Taliban, media report</t>
  </si>
  <si>
    <t>263b7bf0-7702-11e4-b9e8-ab92b2da133c</t>
  </si>
  <si>
    <t>f33ebb70-76f4-11e4-b9e8-ab92b2da133c</t>
  </si>
  <si>
    <t>http://centralasiaonline.com/en_GB/articles/caii/newsbriefs/2014/11/25/newsbrief-01</t>
  </si>
  <si>
    <t>centralasiaonline.com</t>
  </si>
  <si>
    <t>ReportJose Canseco accidentally shot at his home tonight</t>
  </si>
  <si>
    <t>f8cfe290-5f0b-11e4-a887-2324afc3f9a8</t>
  </si>
  <si>
    <t>http://chicago.barstoolsports.com/random-thoughts/jose-canseco-accidentally-shot-at-his-home-tonight/</t>
  </si>
  <si>
    <t>chicago.barstoolsports.com</t>
  </si>
  <si>
    <t>ISIL kills man who appears to be US journalist James Wright Foley</t>
  </si>
  <si>
    <t>b711ab20-27e5-11e4-96be-dfc0d1eebaea</t>
  </si>
  <si>
    <t>http://cir.ca/news/isil-beheads-james-wright-foley</t>
  </si>
  <si>
    <t>cir.ca</t>
  </si>
  <si>
    <t>New York Police will start issuing tickets, rather than make arrests, for small amounts of marijuana</t>
  </si>
  <si>
    <t>NYPD to stop arresting people for minor marijuana offenses</t>
  </si>
  <si>
    <t>186d5460-6917-11e4-b528-9d5aa2d2e8e7</t>
  </si>
  <si>
    <t>0769b550-6917-11e4-b528-9d5aa2d2e8e7</t>
  </si>
  <si>
    <t>http://cir.ca/news/new-york-prosecuting-marijuana-offenses</t>
  </si>
  <si>
    <t>The Indian government fired an employee who hadn't been to work in 24 years</t>
  </si>
  <si>
    <t>Government employee fired after skipping work for 24 years</t>
  </si>
  <si>
    <t>a0639dd0-98f5-11e4-bf59-1bb8b99952ce</t>
  </si>
  <si>
    <t>bceeb110-98f0-11e4-bf59-1bb8b99952ce</t>
  </si>
  <si>
    <t>http://cnews.canoe.ca/CNEWS/WeirdNews/2015/01/08/22170421.html</t>
  </si>
  <si>
    <t>cnews.canoe.ca</t>
  </si>
  <si>
    <t>TBS Speeds up SEINFELD by 7.5 to Add 2 More Minutes of Commercials</t>
  </si>
  <si>
    <t>aaa628c0-b6a6-11e4-8507-b58af63d1078</t>
  </si>
  <si>
    <t>http://collider.com/tbs-speeds-up-seinfeld/</t>
  </si>
  <si>
    <t>collider.com</t>
  </si>
  <si>
    <t>Protestors in Hong Kong adopted Hands up, don't shoot from Ferguson</t>
  </si>
  <si>
    <t>Hands Up, Don't Shoot in Hong Kong Protests?</t>
  </si>
  <si>
    <t>81db6e90-4f5a-11e4-949b-f14041b20838</t>
  </si>
  <si>
    <t>840a03a0-47e1-11e4-9960-a165dd517bbb</t>
  </si>
  <si>
    <t>http://colorlines.com/archives/2014/09/hands_up_dont_shoot_in_hong_kong_protests.html</t>
  </si>
  <si>
    <t>colorlines.com</t>
  </si>
  <si>
    <t>Batmobile Rumored To Have Been Stolen From Batman V. Superman: Dawn Of Justice Set</t>
  </si>
  <si>
    <t>b67842d0-3ad4-11e4-bc0b-3f922b93930d</t>
  </si>
  <si>
    <t>http://comicbook.com/2014/09/12/batmobile-rumored-to-have-been-stolen-from-batman-v-superman-daw/</t>
  </si>
  <si>
    <t>comicbook.com</t>
  </si>
  <si>
    <t>Detroit Police Issue Statement That The Batmobile Is Safe</t>
  </si>
  <si>
    <t>28750a50-3c40-11e4-bc0b-3f922b93930d</t>
  </si>
  <si>
    <t>http://comicbook.com/2014/09/13/detroit-police-issue-statement-that-the-batmobile-is-safe/</t>
  </si>
  <si>
    <t>PICTURES: Shocking Pictures Comparing US School Lunches to Other Countries Goes Viral</t>
  </si>
  <si>
    <t>39988730-c0f7-11e4-8747-5b024dd6dd6c</t>
  </si>
  <si>
    <t>http://conservativetribune.com/pictures-shocking-pictures-comparing-us-school-lunches-to-other-countries-goes-viral/</t>
  </si>
  <si>
    <t>conservativetribune.com</t>
  </si>
  <si>
    <t>Unhappy Customer: Comcast Told My Employer About Complaint, Got Me Fired</t>
  </si>
  <si>
    <t>aace3bf0-4ee4-11e4-949b-f14041b20838</t>
  </si>
  <si>
    <t>http://consumerist.com/2014/10/06/unhappy-customer-comcast-told-my-employer-about-complaint-got-me-fired/</t>
  </si>
  <si>
    <t>consumerist.com</t>
  </si>
  <si>
    <t>No, Pumpkin Spice Condoms Are Not A Real Thing</t>
  </si>
  <si>
    <t>c8691290-3817-11e4-ae63-d5574342724c</t>
  </si>
  <si>
    <t>http://consumerist.com/2014/09/08/no-pumpkin-spice-condoms-are-not-a-real-thing/</t>
  </si>
  <si>
    <t>Setting the record straight on tor</t>
  </si>
  <si>
    <t>6c0acbb0-3d12-11e4-bc0b-3f922b93930d</t>
  </si>
  <si>
    <t>http://corporate.comcast.com/comcast-voices/setting-the-record-straight-on-tor</t>
  </si>
  <si>
    <t>corporate.comcast.com</t>
  </si>
  <si>
    <t>Another Boko Haram Attack Repelled By Armed Women</t>
  </si>
  <si>
    <t>1ac5cc30-a9b6-11e4-9a23-0b6010caa867</t>
  </si>
  <si>
    <t>http://countercurrentnews.com/2014/05/another-boko-haram-attack-repelled-by-armed-women/</t>
  </si>
  <si>
    <t>countercurrentnews.com</t>
  </si>
  <si>
    <t>AUNT CUTS OFF 3-YEAR-OLD'S PENIS BECAUSE HE WALKED IN WHILE SHE WAS ON THE TOILET</t>
  </si>
  <si>
    <t>fa39b200-a4f7-11e4-aa4f-ff16e52e0d56</t>
  </si>
  <si>
    <t>http://crimefeed.com/2014/11/boy-3-penis-cut-walked-aunt-toilet/</t>
  </si>
  <si>
    <t>crimefeed.com</t>
  </si>
  <si>
    <t>McDonald's will stop serving overweight customers</t>
  </si>
  <si>
    <t>McDonald's Will Stop Serving Overweight Customers Beginning 1115</t>
  </si>
  <si>
    <t>c622cb90-8775-11e4-b1b5-4f1bd36cbfc6</t>
  </si>
  <si>
    <t>5e0b9be0-8775-11e4-b1b5-4f1bd36cbfc6</t>
  </si>
  <si>
    <t>http://dailybuzzlive.com/mcdonalds-will-stop-serving-overweight-customers-beginning-1115/</t>
  </si>
  <si>
    <t>dailybuzzlive.com</t>
  </si>
  <si>
    <t>McDonald's will stop serving the Big Mac</t>
  </si>
  <si>
    <t>McDonald's Removing Big Mac, Apple Pies And Eliminating Large Size Options</t>
  </si>
  <si>
    <t>e63e8b30-89d7-11e4-adc5-33f8455b16a2</t>
  </si>
  <si>
    <t>e3ba9f70-89d7-11e4-adc5-33f8455b16a2</t>
  </si>
  <si>
    <t>http://dailybuzzlive.com/mcdonalds-removing-big-mac-apple-pies-large-options/</t>
  </si>
  <si>
    <t>Planetary Alignment On Jan 4, 2015 Will Decrease Gravity For 5 Minutes Causing Partial Weightlessness</t>
  </si>
  <si>
    <t>6518d2c0-8ee8-11e4-9799-c7e75be2bcad</t>
  </si>
  <si>
    <t>http://dailybuzzlive.com/planetary-alignment-jan-4-2015-will-decrease-gravity-5-minutes-partial-weightlessness/</t>
  </si>
  <si>
    <t>A Texas turkey farm was contaminated with Ebola</t>
  </si>
  <si>
    <t>Texas Turkey Farm Contaminated With Ebola, Over 250,000 Holiday Turkeys Infected</t>
  </si>
  <si>
    <t>d42ca8d0-6d2d-11e4-8e10-b9c720c188ba</t>
  </si>
  <si>
    <t>c9a83f00-6d2d-11e4-8e10-b9c720c188ba</t>
  </si>
  <si>
    <t>http://dailybuzzlive.com/texas-turkey-farm-contaminated-ebola-holiday-turkeys-infected/</t>
  </si>
  <si>
    <t>Justin Bieber Saved A Guy Getting Mauled By A Bear</t>
  </si>
  <si>
    <t>a719da70-1ce7-11e4-8c09-cd48fe37674e</t>
  </si>
  <si>
    <t>http://dailycaller.com/2014/08/05/justin-bieber-saved-a-guy-getting-mauled-by-a-bear/</t>
  </si>
  <si>
    <t>dailycaller.com</t>
  </si>
  <si>
    <t>A woman aborted a fetus after discovering it was male</t>
  </si>
  <si>
    <t>Feminist Aborts Baby For Being A Boy, Shocked People Don't Approve</t>
  </si>
  <si>
    <t>a5de5d50-b20d-11e4-9a23-0b6010caa867</t>
  </si>
  <si>
    <t>b82c9a40-b20c-11e4-9a23-0b6010caa867</t>
  </si>
  <si>
    <t>http://dailycaller.com/2015/02/09/feminist-aborts-baby-for-being-a-boy-shocked-people-dont-approve/</t>
  </si>
  <si>
    <t>A passenger at Dulles airport wore a hazmat suit</t>
  </si>
  <si>
    <t>Passenger Wears A Hazmat Suit To Dulles Airport PHOTO</t>
  </si>
  <si>
    <t>8f724c40-54af-11e4-b6a0-9705a8f94440</t>
  </si>
  <si>
    <t>88f38c30-54af-11e4-b6a0-9705a8f94440</t>
  </si>
  <si>
    <t>http://dailycaller.com/2014/10/15/passenger-wears-a-hazmat-suit-to-dulles-airport-photo/</t>
  </si>
  <si>
    <t>Jordan's King May Participate Personally In ISIS Raids</t>
  </si>
  <si>
    <t>f80bf680-ad50-11e4-9a23-0b6010caa867</t>
  </si>
  <si>
    <t>http://dailycaller.com/2015/02/04/jordans-king-may-participate-personally-in-isis-raids/</t>
  </si>
  <si>
    <t>Shots Heard In Alleged Brown Shooting Recording AUDIO</t>
  </si>
  <si>
    <t>1ba1a410-2d71-11e4-89c5-1d389b94bc4b</t>
  </si>
  <si>
    <t>http://dailycaller.com/2014/08/26/shots-heard-in-alleged-brown-shooting-recording-audio/</t>
  </si>
  <si>
    <t>Batman Set To Play Steve Jobs In Upcoming Biopic</t>
  </si>
  <si>
    <t>7a42c9e0-54c7-11e4-b6a0-9705a8f94440</t>
  </si>
  <si>
    <t>http://dailycaller.com/2014/10/15/batman-set-to-play-steve-jobs-in-upcoming-biopic/</t>
  </si>
  <si>
    <t>Some ISIS fighters have contracted Ebola</t>
  </si>
  <si>
    <t>HORROR: ISIS Fighters Have Reportedly Contracted Ebola</t>
  </si>
  <si>
    <t>5f1a8260-937f-11e4-b6bf-fdc8b7e3bcff</t>
  </si>
  <si>
    <t>07ceb8b0-9298-11e4-b271-b1de57982894</t>
  </si>
  <si>
    <t>http://dailycaller.com/2015/01/02/horror-isis-fighters-have-reprotedly-contracted-ebola/</t>
  </si>
  <si>
    <t>White House Fence Jumper Pushed Past Female Guard</t>
  </si>
  <si>
    <t>dc7e9b80-483c-11e4-9960-a165dd517bbb</t>
  </si>
  <si>
    <t>http://dailycaller.com/2014/09/29/white-house-fence-jumper-pushed-past-female-guard/</t>
  </si>
  <si>
    <t>North Dakota named a landfill after President Obama</t>
  </si>
  <si>
    <t>North Dakota Names Landfill After Obama</t>
  </si>
  <si>
    <t>cd3e03a0-73f6-11e4-99be-fb3662a4a6dd</t>
  </si>
  <si>
    <t>bd78ff10-73f6-11e4-99be-fb3662a4a6dd</t>
  </si>
  <si>
    <t>http://dailycurrant.com/2014/11/17/north-dakota-names-landfill-after-obama/</t>
  </si>
  <si>
    <t>dailycurrant.com</t>
  </si>
  <si>
    <t>Purported ISIS claim: Jordan airstrike kills female US hostage</t>
  </si>
  <si>
    <t>ca9a2d10-ae3c-11e4-9a23-0b6010caa867</t>
  </si>
  <si>
    <t>http://dailystar.com.lb/News/Middle-East/2015/Feb-06/286668-purported-isis-claim-jordan-airstrike-kills-female-us-hostage.ashx</t>
  </si>
  <si>
    <t>dailystar.com.lb</t>
  </si>
  <si>
    <t>Harvard professor Ben Edelman sent an email with racist overtones to a restaurant that he'd argued with over food pricing</t>
  </si>
  <si>
    <t>Boston.com retracts claim about racist email from professor</t>
  </si>
  <si>
    <t>9942a910-8135-11e4-8faa-9748b2fc07a1</t>
  </si>
  <si>
    <t>8abf8540-8133-11e4-8faa-9748b2fc07a1</t>
  </si>
  <si>
    <t>http://dankennedy.net/2014/12/11/boston-com-retracts-claim-about-racist-email-from-professor/</t>
  </si>
  <si>
    <t>dankennedy.net</t>
  </si>
  <si>
    <t>Woman At Dulles Plays It Safe, Wears A Rain Poncho And Mask</t>
  </si>
  <si>
    <t>9e884c20-54af-11e4-b6a0-9705a8f94440</t>
  </si>
  <si>
    <t>http://dcist.com/2014/10/dulles_mask_ebola_precautions.php</t>
  </si>
  <si>
    <t>dcist.com</t>
  </si>
  <si>
    <t>NBC meteorologist Mike Seidel was caught relieving himself on camera</t>
  </si>
  <si>
    <t>Brian Williams Debunks Peeing Meteorologist Report On NBC Nightly News: Video</t>
  </si>
  <si>
    <t>8cdbc430-6458-11e4-b3d8-a32d8ec8ad5e</t>
  </si>
  <si>
    <t>33564930-6458-11e4-b3d8-a32d8ec8ad5e</t>
  </si>
  <si>
    <t>http://deadline.com/2014/11/brian-williams-peeing-meteorologist-weatherman-video-1201272779/</t>
  </si>
  <si>
    <t>deadline.com</t>
  </si>
  <si>
    <t>That ESPN Domestic Violence Panel You Keep Hearing About Isn't Real</t>
  </si>
  <si>
    <t>022f3ff0-47f8-11e4-9960-a165dd517bbb</t>
  </si>
  <si>
    <t>http://deadspin.com/that-espn-domestic-violence-panel-you-keep-hearing-abou-1640322920?rev=1412007835748&amp;utm_campaign=socialflow_deadspin_twitter&amp;utm_source=deadspin_twitter&amp;utm_medium=socialflow</t>
  </si>
  <si>
    <t>deadspin.com</t>
  </si>
  <si>
    <t>Kei Nishikori is the world's highest-paid tennis player</t>
  </si>
  <si>
    <t>Fowler Falls For Fake Website, Makes Crazy Claims About Tennis Star</t>
  </si>
  <si>
    <t>455d3110-a58b-11e4-aa4f-ff16e52e0d56</t>
  </si>
  <si>
    <t>457d0a90-a58a-11e4-aa4f-ff16e52e0d56</t>
  </si>
  <si>
    <t>http://deadspin.com/fowler-falls-for-fake-website-makes-crazy-claims-about-1680541203</t>
  </si>
  <si>
    <t>PGA Tour Denies Claim That Tiger Woods Failed A Drug Test</t>
  </si>
  <si>
    <t>63bbe3e0-c106-11e4-8747-5b024dd6dd6c</t>
  </si>
  <si>
    <t>http://deadspin.com/pga-tour-denies-claim-that-tiger-woods-failed-a-drug-te-1688906174</t>
  </si>
  <si>
    <t>Minecraft Is Expected to Be Acquired by Microsoft</t>
  </si>
  <si>
    <t>ba5ec230-391b-11e4-ae63-d5574342724c</t>
  </si>
  <si>
    <t>http://dealbook.nytimes.com/2014/09/09/microsoft-said-to-be-in-advanced-talks-to-buy-minecraft-maker/?_php=true&amp;_type=blogs&amp;smid=tw-share&amp;_r=0</t>
  </si>
  <si>
    <t>dealbook.nytimes.com</t>
  </si>
  <si>
    <t>Was The Batmobile Stolen In Detroit?</t>
  </si>
  <si>
    <t>f0a937e0-3ab9-11e4-bc0b-3f922b93930d</t>
  </si>
  <si>
    <t>http://detroit.cbslocal.com/2014/09/12/was-the-batmobile-stolen-in-detroit/</t>
  </si>
  <si>
    <t>detroit.cbslocal.com</t>
  </si>
  <si>
    <t>Michael Phelps Tinder Girlfriend Was Born Male We Made Love During Halftime</t>
  </si>
  <si>
    <t>a1309830-70dc-11e4-8e10-b9c720c188ba</t>
  </si>
  <si>
    <t>http://detroit.cbslocal.com/2014/11/20/report-michael-phelps-tinder-girlfriend-was-born-a-man-we-made-love-during-halftime/</t>
  </si>
  <si>
    <t>Kevin Vickers, the Sergeant-at-Arms in the House of Commons, shot a gunman on Parliament Hill</t>
  </si>
  <si>
    <t>MPs credit sergeant-at-arms for saving lives in Parliament Hill shootings</t>
  </si>
  <si>
    <t>eb3a0e50-5a0e-11e4-aaf5-a1ddcfbcd5a9</t>
  </si>
  <si>
    <t>b33be880-5a0d-11e4-aaf5-a1ddcfbcd5a9</t>
  </si>
  <si>
    <t>http://didsburyreview.ca/article/GB/20141022/CP02/310229903/-1/did08/mps-credit-sergeant-at-arms-for-saving-lives-in-parliament-hill&amp;template=cpArt</t>
  </si>
  <si>
    <t>didsburyreview.ca</t>
  </si>
  <si>
    <t>Video shot by student for school project shows his dad losing it after being asked inane questions</t>
  </si>
  <si>
    <t>Son's Asinine Questions Inspire Priceless Dad-Rage</t>
  </si>
  <si>
    <t>a4b90d90-6e69-11e4-8e10-b9c720c188ba</t>
  </si>
  <si>
    <t>5eea43b0-6e69-11e4-8e10-b9c720c188ba</t>
  </si>
  <si>
    <t>http://digg.com/video/sons-asinine-questions-inspire-priceless-dad-rage</t>
  </si>
  <si>
    <t>digg.com</t>
  </si>
  <si>
    <t>Doctors confirmed the first case of death by genetically modified food</t>
  </si>
  <si>
    <t>First Human Death Confirmed From Eating GMO Satire</t>
  </si>
  <si>
    <t>98764700-c602-11e4-883c-a7fa7a3c5066</t>
  </si>
  <si>
    <t>63482690-c600-11e4-883c-a7fa7a3c5066</t>
  </si>
  <si>
    <t>http://disinfo.com/2015/03/first-human-death-confirmed-eating-gmo/</t>
  </si>
  <si>
    <t>disinfo.com</t>
  </si>
  <si>
    <t>Big Bank Hank of the Sugarhill Gang is dead</t>
  </si>
  <si>
    <t>Sugarhill Gang rapper Big Bank Hank dead at 57</t>
  </si>
  <si>
    <t>69340d80-69df-11e4-b528-9d5aa2d2e8e7</t>
  </si>
  <si>
    <t>8e577f90-69ba-11e4-b528-9d5aa2d2e8e7</t>
  </si>
  <si>
    <t>http://edition.cnn.com/2014/11/11/showbiz/big-bank-hank-sugarhill-gang-obit/</t>
  </si>
  <si>
    <t>edition.cnn.com</t>
  </si>
  <si>
    <t>Officials: Fence jumper made it into East Room of White House</t>
  </si>
  <si>
    <t>66b24c90-481d-11e4-9960-a165dd517bbb</t>
  </si>
  <si>
    <t>http://edition.cnn.com/2014/09/29/politics/wh-fence-jumper/</t>
  </si>
  <si>
    <t>Egyptian President al-Sisi proposed expanding the Gaza Strip through Sinai land</t>
  </si>
  <si>
    <t>Egypt's President denies offering land to Palestinians</t>
  </si>
  <si>
    <t>cdaf1390-391f-11e4-ae63-d5574342724c</t>
  </si>
  <si>
    <t>9a293a00-391f-11e4-ae63-d5574342724c</t>
  </si>
  <si>
    <t>http://egyptianstreets.com/2014/09/08/egypts-president-denies-offering-land-to-palestinians/</t>
  </si>
  <si>
    <t>egyptianstreets.com</t>
  </si>
  <si>
    <t>Boston marathon bombing suspect Dzhokhar Tsarnaev was severely beaten in prison</t>
  </si>
  <si>
    <t>Accused Boston Marathon Bomber Severely Injured In Prison, May Never Walk Or Talk Again</t>
  </si>
  <si>
    <t>82ee71f0-9ffb-11e4-a353-5b831fe927be</t>
  </si>
  <si>
    <t>6ecaa720-9ffb-11e4-a353-5b831fe927be</t>
  </si>
  <si>
    <t>http://empirenews.net/accused-boston-marathon-bomber-severely-injured-in-prison-may-never-walk-or-talk-again/</t>
  </si>
  <si>
    <t>empirenews.net</t>
  </si>
  <si>
    <t>A DNA test proved that Bruno Mars is Michael Jackson's son</t>
  </si>
  <si>
    <t>DNA Results Confirm Michael Jackson Is Biological Father Of Bruno Mars</t>
  </si>
  <si>
    <t>ebea98d0-94d6-11e4-b6bf-fdc8b7e3bcff</t>
  </si>
  <si>
    <t>e648cb40-94d6-11e4-b6bf-fdc8b7e3bcff</t>
  </si>
  <si>
    <t>http://empirenews.net/dna-results-confirm-michael-jackson-is-biological-father-of-bruno-mars/</t>
  </si>
  <si>
    <t>Bin Laden Shooter Rob O'Neill Mistakenly Attacked By Street Thugs Seeking To Collect Debt From Neighbor</t>
  </si>
  <si>
    <t>330a12c0-87eb-11e4-adc5-33f8455b16a2</t>
  </si>
  <si>
    <t>http://empirenews.net/bin-laden-shooter-rob-oneill-mistakenly-attacked-by-street-thugs-seeking-to-collect-debt-from-neighbor/</t>
  </si>
  <si>
    <t>There will be a Sons of Anarchy film</t>
  </si>
  <si>
    <t>Kurt Sutter Announces Plans For Sons Of Anarchy Movie Starring Charlie Hunnam, Brad Pitt</t>
  </si>
  <si>
    <t>e056ef30-8b91-11e4-9799-c7e75be2bcad</t>
  </si>
  <si>
    <t>d4abb8a0-8b91-11e4-9799-c7e75be2bcad</t>
  </si>
  <si>
    <t>http://empirenews.net/kurt-sutter-announces-plans-for-sons-of-anarchy-movie-starring-charlie-hunnam-brad-pitt/</t>
  </si>
  <si>
    <t>Viral photo shows a worker at an app-ranking manipulation farm</t>
  </si>
  <si>
    <t>Crank-Boosting Behind Top Apps in App Store</t>
  </si>
  <si>
    <t>6a449ec0-ad6d-11e4-9a23-0b6010caa867</t>
  </si>
  <si>
    <t>167be8d0-ad6c-11e4-9a23-0b6010caa867</t>
  </si>
  <si>
    <t>http://en.huxiu.com/article/4753369096</t>
  </si>
  <si>
    <t>en.huxiu.com</t>
  </si>
  <si>
    <t>Kei Nishikori Highest-Paid Tennis player in the World</t>
  </si>
  <si>
    <t>268c41f0-a58f-11e4-aa4f-ff16e52e0d56</t>
  </si>
  <si>
    <t>http://en.mediamass.net/people/kei-nishikori/highest-paid.html</t>
  </si>
  <si>
    <t>en.mediamass.net</t>
  </si>
  <si>
    <t>Willie Nelson is dead</t>
  </si>
  <si>
    <t>Willie Nelson dead 2015 : Guitarist killed by internet death hoax</t>
  </si>
  <si>
    <t>e5eb2070-bc1e-11e4-b073-ed15c88bfa1e</t>
  </si>
  <si>
    <t>a37a2790-bc1e-11e4-b073-ed15c88bfa1e</t>
  </si>
  <si>
    <t>http://en.mediamass.net/people/willie-nelson/deathhoax.html</t>
  </si>
  <si>
    <t>Guns N Roses signer Axel Rose is dead</t>
  </si>
  <si>
    <t>Axl Rose dead 2014 : Guns N Roses frontman killed by internet death hoax</t>
  </si>
  <si>
    <t>1a2a3a00-7b07-11e4-b794-93ed794d7b91</t>
  </si>
  <si>
    <t>8affd600-7b06-11e4-b794-93ed794d7b91</t>
  </si>
  <si>
    <t>http://en.mediamass.net/people/axl-rose/deathhoax.html</t>
  </si>
  <si>
    <t>ISIS executed two of its own fighters in Al-Bukamal</t>
  </si>
  <si>
    <t>IS Beheads Its Own Fighters in Accordance With Their Interpretation of Sharia Law</t>
  </si>
  <si>
    <t>fbdc6a30-5592-11e4-aaf5-a1ddcfbcd5a9</t>
  </si>
  <si>
    <t>ad739540-552d-11e4-b6a0-9705a8f94440</t>
  </si>
  <si>
    <t>http://en.ria.ru/analysis/20141016/194163651/IS-Beheads-Its-Own-Fighters-in-Accordance-With-Their.html</t>
  </si>
  <si>
    <t>en.ria.ru</t>
  </si>
  <si>
    <t>El-Sisi denies claims he'll give Sinai land to Palestinians</t>
  </si>
  <si>
    <t>b6a06460-394c-11e4-ae63-d5574342724c</t>
  </si>
  <si>
    <t>http://english.ahram.org.eg/NewsContent/1/64/110225/Egypt/Politics-/ElSisi-denies-claims-hell-give-Sinai-land-to-Pales.aspx</t>
  </si>
  <si>
    <t>english.ahram.org.eg</t>
  </si>
  <si>
    <t>A child soldier with ISIS was killed in battle, making him youngest Islamic State fighter to die</t>
  </si>
  <si>
    <t>ISIS supporters mourn death of youngest fighter</t>
  </si>
  <si>
    <t>dd79e870-4fb0-11e4-949b-f14041b20838</t>
  </si>
  <si>
    <t>b0c274d0-4f1c-11e4-949b-f14041b20838</t>
  </si>
  <si>
    <t>http://english.alarabiya.net/en/News/2014/10/09/ISIS-supporters-mourn-death-of-youngest-fighter-.html</t>
  </si>
  <si>
    <t>english.alarabiya.net</t>
  </si>
  <si>
    <t>ISIS fighters seize weapons airdrop meant for Kurds</t>
  </si>
  <si>
    <t>110d49d0-5965-11e4-aaf5-a1ddcfbcd5a9</t>
  </si>
  <si>
    <t>http://english.alarabiya.net/en/News/middle-east/2014/10/21/ISIS-fighters-seize-weapons-airdrop-meant-for-Kurds.html</t>
  </si>
  <si>
    <t>U.S. arms airdrop fell into ISIS hands: Pentagon</t>
  </si>
  <si>
    <t>6bf25230-6605-11e4-8b87-d71b609d189b</t>
  </si>
  <si>
    <t>http://english.alarabiya.net/en/News/middle-east/2014/10/23/U-S-arms-airdrop-fell-into-ISIS-hands-Pentagon.html</t>
  </si>
  <si>
    <t>Jordan king cites Clint Eastwood in revenge vow</t>
  </si>
  <si>
    <t>63c19160-ad4b-11e4-9a23-0b6010caa867</t>
  </si>
  <si>
    <t>http://english.alarabiya.net/en/News/middle-east/2015/02/05/Jordan-king-cites-Clint-Eastwood-when-expressing-wrath-.html</t>
  </si>
  <si>
    <t>Kurdish fighter Rehana was killed by ISIS</t>
  </si>
  <si>
    <t>Female Kurdish poster girl fighter feared killed</t>
  </si>
  <si>
    <t>cddd5430-5eea-11e4-a887-2324afc3f9a8</t>
  </si>
  <si>
    <t>7eb58360-5e35-11e4-a887-2324afc3f9a8</t>
  </si>
  <si>
    <t>http://english.alarabiya.net/en/News/middle-east/2014/10/28/Female-Kurdish-poster-girl-fighter-feared-killed.html</t>
  </si>
  <si>
    <t>A Saudi cleric declared that snowmen are anti-Islamic</t>
  </si>
  <si>
    <t>Saudi cleric says snowmen are anti-Islamic</t>
  </si>
  <si>
    <t>ad4818c0-9a97-11e4-bf59-1bb8b99952ce</t>
  </si>
  <si>
    <t>e41a8ca0-9a94-11e4-bf59-1bb8b99952ce</t>
  </si>
  <si>
    <t>http://english.alarabiya.net/en/variety/2015/01/12/Saudi-cleric-condemns-snowmen-as-anti-Islamic.html</t>
  </si>
  <si>
    <t>Missing Libyan aircraft spark fears of 911-style attack in North Africa</t>
  </si>
  <si>
    <t>02885980-33cd-11e4-8453-710264d9a1f8</t>
  </si>
  <si>
    <t>http://english.alarabiya.net/en/News/middle-east/2014/09/03/Missing-Libyan-jetliners-raise-fears-of-9-11-style-attack-in-North-Africa.html</t>
  </si>
  <si>
    <t>Charlie Hebdo investigator took own life hours after attack: report</t>
  </si>
  <si>
    <t>11ffb7a0-9a75-11e4-bf59-1bb8b99952ce</t>
  </si>
  <si>
    <t>http://english.alarabiya.net/en/News/world/2015/01/12/Charlie-Hebdo-investigator-took-own-life-hours-after-attack-report-.html</t>
  </si>
  <si>
    <t>American hostage Luke Somers was killed during a rescue attempt</t>
  </si>
  <si>
    <t>Yemen says U.S. man freed, sister says he's dead</t>
  </si>
  <si>
    <t>598cd680-7d2d-11e4-8faa-9748b2fc07a1</t>
  </si>
  <si>
    <t>0fdafb80-7d2c-11e4-8faa-9748b2fc07a1</t>
  </si>
  <si>
    <t>http://english.alarabiya.net/en/News/middle-east/2014/12/06/Family-of-al-Qaeda-Yemen-hostage-plead-for-his-life.html#.VILM4fMqxiY.twitter</t>
  </si>
  <si>
    <t>Kim Jong Un broke both of his ankles</t>
  </si>
  <si>
    <t>Kim Jong-un Had Surgery on Fractured Ankles</t>
  </si>
  <si>
    <t>f1a154f0-48da-11e4-9960-a165dd517bbb</t>
  </si>
  <si>
    <t>476ad630-48d7-11e4-9960-a165dd517bbb</t>
  </si>
  <si>
    <t>http://english.chosun.com/site/data/html_dir/2014/09/30/2014093000994.html</t>
  </si>
  <si>
    <t>english.chosun.com</t>
  </si>
  <si>
    <t>Iraqi Army Downs 2 UK Planes Carrying Weapons for ISIL</t>
  </si>
  <si>
    <t>f079ef00-bd25-11e4-b073-ed15c88bfa1e</t>
  </si>
  <si>
    <t>http://english.farsnews.com/newstext.aspx?nn=13931204001534</t>
  </si>
  <si>
    <t>english.farsnews.com</t>
  </si>
  <si>
    <t>A Russian boy attracts metal objects with his body after being hit with jolt of electricity</t>
  </si>
  <si>
    <t>Electric shock turns Russian boy into Marvel's Magneto</t>
  </si>
  <si>
    <t>b70ee9b0-702b-11e4-8e10-b9c720c188ba</t>
  </si>
  <si>
    <t>7b85fa00-702b-11e4-8e10-b9c720c188ba</t>
  </si>
  <si>
    <t>http://english.pravda.ru/society/stories/18-11-2014/129063-russian_magnet_boy-0/</t>
  </si>
  <si>
    <t>english.pravda.ru</t>
  </si>
  <si>
    <t>ISIS beheaded British aid worker Daivd Haines</t>
  </si>
  <si>
    <t>IS Beheads Briton David Cawthorne Haines, Threatens to Execute Another Briton, Alan Henning</t>
  </si>
  <si>
    <t>ababa320-3c9a-11e4-bc0b-3f922b93930d</t>
  </si>
  <si>
    <t>538630f0-3c24-11e4-bc0b-3f922b93930d</t>
  </si>
  <si>
    <t>http://ent.siteintelgroup.com/Multimedia/is-beheads-briton-david-cawthorne-haines-threatens-to-execute-another-briton-alan-henning.html</t>
  </si>
  <si>
    <t>ent.siteintelgroup.com</t>
  </si>
  <si>
    <t>Saudi Arabia's national airline will introduce gender segregation on flights</t>
  </si>
  <si>
    <t>Saudi Arabia's national airline planning to introduce gender segregation on flights</t>
  </si>
  <si>
    <t>f4ba5290-947a-11e4-b6bf-fdc8b7e3bcff</t>
  </si>
  <si>
    <t>9bc3bc00-9478-11e4-b6bf-fdc8b7e3bcff</t>
  </si>
  <si>
    <t>http://entertainment.ie/life/Saudi-Arabias-national-airline-planning-to-introduce-gender-segregation-on-flights/326635.htm</t>
  </si>
  <si>
    <t>entertainment.ie</t>
  </si>
  <si>
    <t>Kim Jong Un is ill because he eats too much cheese</t>
  </si>
  <si>
    <t>Kim Jong-Un may be dying because he's addicted to Swiss Cheese</t>
  </si>
  <si>
    <t>29fb38c0-458e-11e4-a79e-01321ca3a48d</t>
  </si>
  <si>
    <t>a863df20-4582-11e4-a79e-01321ca3a48d</t>
  </si>
  <si>
    <t>http://entertainment.ie/wtf/Kim-Jong-Un-may-be-dying-because-hes-addicted-to-Swiss-Cheese/291893.htm</t>
  </si>
  <si>
    <t>Jose Canseco shoots self in hand</t>
  </si>
  <si>
    <t>5dfd5b00-5f68-11e4-a887-2324afc3f9a8</t>
  </si>
  <si>
    <t>http://espn.go.com/mlb/story/_/id/11782266/jose-canseco-accidentally-shoots-self-hand-police-say</t>
  </si>
  <si>
    <t>espn.go.com</t>
  </si>
  <si>
    <t>An Alaska Airlines plane was delayed when a scorpion stung a woman onboard</t>
  </si>
  <si>
    <t>Scorpion stings woman on OSU plane</t>
  </si>
  <si>
    <t>d125abf0-b6cf-11e4-8507-b58af63d1078</t>
  </si>
  <si>
    <t>0d827850-b6ce-11e4-8507-b58af63d1078</t>
  </si>
  <si>
    <t>http://espn.go.com/mens-college-basketball/story/_/id/12328436/oregon-state-beavers-flight-delayed-scorpion-stings-woman-aboard-plane</t>
  </si>
  <si>
    <t>Tour, agent: Tiger Woods not banned</t>
  </si>
  <si>
    <t>56985440-c0fd-11e4-8747-5b024dd6dd6c</t>
  </si>
  <si>
    <t>http://espn.go.com/golf/story/_/id/12407822/journeyman-dan-olsen-says-tiger-woods-suspended-month-pga-tour</t>
  </si>
  <si>
    <t>The president of Argentina became the adopted godmother of a boy to help stop him from becoming a werewolf</t>
  </si>
  <si>
    <t>Sorry, Argentina's President Didn't Actually Adopt a Jewish Werewolf</t>
  </si>
  <si>
    <t>31218290-8fc0-11e4-9799-c7e75be2bcad</t>
  </si>
  <si>
    <t>47e788a0-8f96-11e4-9799-c7e75be2bcad</t>
  </si>
  <si>
    <t>http://factually.gizmodo.com/sorry-argentinas-president-didnt-actually-adopt-a-jewi-1676130946/+ericlimer</t>
  </si>
  <si>
    <t>factually.gizmodo.com</t>
  </si>
  <si>
    <t>Artist Banksy drew a cartoon about the Charlie Hebdo murders</t>
  </si>
  <si>
    <t>No, that broken pencil illustration isn't by Banksy</t>
  </si>
  <si>
    <t>c99e1020-974e-11e4-87a8-1d5d45e62193</t>
  </si>
  <si>
    <t>d4016430-96dc-11e4-87a8-1d5d45e62193</t>
  </si>
  <si>
    <t>http://factually.gizmodo.com/no-that-broken-pencil-illustration-isnt-by-banksy-1678226576</t>
  </si>
  <si>
    <t>A N.Y. high schooler earned 72 million in the stock market</t>
  </si>
  <si>
    <t>No, that high school kid didn't make 72 million trading stocks</t>
  </si>
  <si>
    <t>0e846d60-8499-11e4-b1b5-4f1bd36cbfc6</t>
  </si>
  <si>
    <t>3e930710-8484-11e4-b1b5-4f1bd36cbfc6</t>
  </si>
  <si>
    <t>http://factually.gizmodo.com/no-that-high-school-kid-didnt-make-72-million-trading-1671333433/+ericlimer</t>
  </si>
  <si>
    <t>Tiger Woods serving secret PED suspension?</t>
  </si>
  <si>
    <t>40694bf0-c104-11e4-8747-5b024dd6dd6c</t>
  </si>
  <si>
    <t>http://fansided.com/2015/03/02/tiger-woods-ped-suspended/</t>
  </si>
  <si>
    <t>fansided.com</t>
  </si>
  <si>
    <t>Comcast Is Threatening to Cut Off Customers Who Use Tor, a Private Web Browser</t>
  </si>
  <si>
    <t>0cca6130-3ce3-11e4-bc0b-3f922b93930d</t>
  </si>
  <si>
    <t>http://finance.yahoo.com/news/comcast-threatening-cut-off-customers-092817979.html</t>
  </si>
  <si>
    <t>finance.yahoo.com</t>
  </si>
  <si>
    <t>IBM job cuts? D.R. Horton soars on beat ATT expands in Mexico</t>
  </si>
  <si>
    <t>2258d6a0-a57d-11e4-aa4f-ff16e52e0d56</t>
  </si>
  <si>
    <t>http://finance.yahoo.com/news/ibm-readies-for-big-jobs-cuts--d-r--horton-soars-on-beat--at-t-expands-in-mexico-141358166.html</t>
  </si>
  <si>
    <t>An 85-year-old woman was arrested for making fur coats out of her neighbors cats</t>
  </si>
  <si>
    <t>Elderly Woman Arrested for Kidnapping Neighbor's Cats Making Fur Coats</t>
  </si>
  <si>
    <t>f5d5a910-96a8-11e4-87a8-1d5d45e62193</t>
  </si>
  <si>
    <t>b0836230-96a8-11e4-87a8-1d5d45e62193</t>
  </si>
  <si>
    <t>http://firsttoknow.com/cat-fur-coats/</t>
  </si>
  <si>
    <t>firsttoknow.com</t>
  </si>
  <si>
    <t>Dumb Racists Photoshop Ferguson Protester Into Awful Viral Meme</t>
  </si>
  <si>
    <t>4fbb81e0-7b31-11e4-b794-93ed794d7b91</t>
  </si>
  <si>
    <t>http://fortressamerica.gawker.com/ferguson-protester-bummed-after-racists-photoshop-him-i-1666207450/+laceydonohue</t>
  </si>
  <si>
    <t>fortressamerica.gawker.com</t>
  </si>
  <si>
    <t>The final Marines to leave the U.S. embassy in Yemen handed their weapons over to Houthi rebels</t>
  </si>
  <si>
    <t>Fox News Floats BS Story About Fleeing Marines Giving Rebels Their Guns</t>
  </si>
  <si>
    <t>5ed70a10-b497-11e4-8507-b58af63d1078</t>
  </si>
  <si>
    <t>50fa9ba0-b497-11e4-8507-b58af63d1078</t>
  </si>
  <si>
    <t>http://fortressamerica.gawker.com/fox-news-floats-bs-story-about-fleeing-marines-giving-r-1685424565</t>
  </si>
  <si>
    <t>Werewolf Legend Leads To Jewish Godson's Adoption by Argentina President</t>
  </si>
  <si>
    <t>57c08300-8f99-11e4-9799-c7e75be2bcad</t>
  </si>
  <si>
    <t>http://forward.com/articles/211651/werewolf-legend-leads-to-jewish-godsons-adoption-b/</t>
  </si>
  <si>
    <t>forward.com</t>
  </si>
  <si>
    <t>Alleged audio of Michael Brown shooting released</t>
  </si>
  <si>
    <t>2d886640-2d68-11e4-89c5-1d389b94bc4b</t>
  </si>
  <si>
    <t>http://fox2now.com/2014/08/26/cnn-releases-audio-recorded-during-time-of-michael-browns-shooting/</t>
  </si>
  <si>
    <t>fox2now.com</t>
  </si>
  <si>
    <t>There is a case of Ebola in Kansas City</t>
  </si>
  <si>
    <t>Research Medical Center denies reports that a patient has Ebola</t>
  </si>
  <si>
    <t>cf188de0-4e84-11e4-949b-f14041b20838</t>
  </si>
  <si>
    <t>484a5f20-4e19-11e4-949b-f14041b20838</t>
  </si>
  <si>
    <t>http://fox4kc.com/2014/10/06/research-medical-center-denies-reports-that-a-patient-has-ebola/</t>
  </si>
  <si>
    <t>fox4kc.com</t>
  </si>
  <si>
    <t>Nationwide turkey recall? Ebola-infected birds? USDA debunks the hoax</t>
  </si>
  <si>
    <t>60131f60-75d4-11e4-99be-fb3662a4a6dd</t>
  </si>
  <si>
    <t>http://fox59.com/2014/11/26/tis-the-season-for-turkey-hoaxes/</t>
  </si>
  <si>
    <t>fox59.com</t>
  </si>
  <si>
    <t>A 5-year-old boy was invoiced for missing a birthday party</t>
  </si>
  <si>
    <t>No joke: 5-year-old billed for missing friend's birthday party</t>
  </si>
  <si>
    <t>f126b480-9fff-11e4-a353-5b831fe927be</t>
  </si>
  <si>
    <t>22487140-9ffe-11e4-a353-5b831fe927be</t>
  </si>
  <si>
    <t>http://fox8.com/2015/01/19/no-joke-5-year-old-billed-for-missing-friends-birthday-party/</t>
  </si>
  <si>
    <t>fox8.com</t>
  </si>
  <si>
    <t>Judd Nelson is dead</t>
  </si>
  <si>
    <t>BREAKING: Brat Pack Judd Nelson Found Dead in Los Angeles Condo</t>
  </si>
  <si>
    <t>b8ec9b60-5d48-11e4-a887-2324afc3f9a8</t>
  </si>
  <si>
    <t>858d0e80-5d48-11e4-a887-2324afc3f9a8</t>
  </si>
  <si>
    <t>http://foxnews.es/judd-nelson-found-dead-los-angeles-condo.html</t>
  </si>
  <si>
    <t>foxnews.es</t>
  </si>
  <si>
    <t>ISIS fighters are being trained to fly three captured fighter jets</t>
  </si>
  <si>
    <t>Islamic State Flying Three Jets in Syria</t>
  </si>
  <si>
    <t>11cd2d90-5627-11e4-aaf5-a1ddcfbcd5a9</t>
  </si>
  <si>
    <t>0a643490-5627-11e4-aaf5-a1ddcfbcd5a9</t>
  </si>
  <si>
    <t>http://freebeacon.com/national-security/islamic-state-flying-three-jets-in-syria/</t>
  </si>
  <si>
    <t>freebeacon.com</t>
  </si>
  <si>
    <t>At least one of the Taliban Five exchanged for soldier Bowe Bergdahl is trying to return to militancy</t>
  </si>
  <si>
    <t>US Intel: Taliban Man Released From Gitmo in Bergdahl Deal is Back to Militant Activity</t>
  </si>
  <si>
    <t>0057a630-a8a2-11e4-a133-7514623ae047</t>
  </si>
  <si>
    <t>cdb5d5f0-a89f-11e4-a133-7514623ae047</t>
  </si>
  <si>
    <t>http://freebeacon.com/national-security/cnn-us-intel-taliban-man-released-from-gitmo-in-bergdahl-deal-is-back-to-militant-activity/</t>
  </si>
  <si>
    <t>Missing Libyan Jetliners Raise Fears of Suicide Airliner Attacks on 911</t>
  </si>
  <si>
    <t>7a238290-33cc-11e4-8453-710264d9a1f8</t>
  </si>
  <si>
    <t>http://freebeacon.com/national-security/missing-libyan-jetliners-raise-fears-of-suicide-airliner-attacks-on-911/</t>
  </si>
  <si>
    <t>WFB's Bill Gertz: Obama Administration Trying to Play Down Missing Libyan Airliners</t>
  </si>
  <si>
    <t>9992b0b0-33cc-11e4-8453-710264d9a1f8</t>
  </si>
  <si>
    <t>http://freebeacon.com/national-security/wfbs-bill-gertz-obama-administration-trying-to-play-down-missing-libyan-airliners/</t>
  </si>
  <si>
    <t>Paul Rudd helped take down the Dallas airport homophobe</t>
  </si>
  <si>
    <t>Whoa, Paul Rudd Was UPDATE: Not One of the Airport Heroes Who Took Down the Homophobe</t>
  </si>
  <si>
    <t>1c17b8e0-5e0d-11e4-a887-2324afc3f9a8</t>
  </si>
  <si>
    <t>14eccfc0-5e0c-11e4-a887-2324afc3f9a8</t>
  </si>
  <si>
    <t>http://frontburner.dmagazine.com/2014/10/27/whoa-paul-rudd-was-one-of-the-airport-heroes-who-took-down-the-homophobe/</t>
  </si>
  <si>
    <t>frontburner.dmagazine.com</t>
  </si>
  <si>
    <t>Italian fishermen caught a 280-pound catfish</t>
  </si>
  <si>
    <t>Italian fisherman catches monstrous 280-pound catfish</t>
  </si>
  <si>
    <t>968f24b0-bd34-11e4-b073-ed15c88bfa1e</t>
  </si>
  <si>
    <t>75662380-bd32-11e4-b073-ed15c88bfa1e</t>
  </si>
  <si>
    <t>http://ftw.usatoday.com/2015/02/italian-fisherman-catches-monstrous-280-pound-catfish</t>
  </si>
  <si>
    <t>ftw.usatoday.com</t>
  </si>
  <si>
    <t>Video shows the moment when a man tells his parents that he paid of their mortgage</t>
  </si>
  <si>
    <t>Son pays off his parents mortgage in a heartwarming Christmas video</t>
  </si>
  <si>
    <t>217484f0-8d72-11e4-9799-c7e75be2bcad</t>
  </si>
  <si>
    <t>f577f310-8d70-11e4-9799-c7e75be2bcad</t>
  </si>
  <si>
    <t>http://ftw.usatoday.com/2014/12/son-parents-mortgage-christmas</t>
  </si>
  <si>
    <t>WATCH: Twitter catches fire amid rumors of Fidel Castro's death</t>
  </si>
  <si>
    <t>b7dd51a0-9809-11e4-bb36-07f7e019de19</t>
  </si>
  <si>
    <t>http://fusion.net/story/37533/watch-twitter-catches-fire-amid-rumors-of-fidel-castros-death/</t>
  </si>
  <si>
    <t>fusion.net</t>
  </si>
  <si>
    <t>Apple Watch to Be Shower-Proof, Have 100,000 Apps at Launch: Reports</t>
  </si>
  <si>
    <t>30e616d0-c1be-11e4-8747-5b024dd6dd6c</t>
  </si>
  <si>
    <t>http://gadgets.ndtv.com/wearables/news/apple-watch-to-be-shower-proof-100000-apps-due-at-launch-reports-664707</t>
  </si>
  <si>
    <t>gadgets.ndtv.com</t>
  </si>
  <si>
    <t>Apple Watch Specs Tipped Said to Feature 512MB RAM, 4GB of Storage</t>
  </si>
  <si>
    <t>20fb6c80-c2a8-11e4-8747-5b024dd6dd6c</t>
  </si>
  <si>
    <t>http://gadgets.ndtv.com/wearables/news/apple-watch-specs-tipped-said-to-feature-512mb-ram-4gb-of-storage-597377</t>
  </si>
  <si>
    <t>There will be 100,000 or more Apple Watch Apps in the AppStore by April 10</t>
  </si>
  <si>
    <t>8848aa70-c1c1-11e4-8747-5b024dd6dd6c</t>
  </si>
  <si>
    <t>9def6130-c1c0-11e4-8747-5b024dd6dd6c</t>
  </si>
  <si>
    <t>Man Mauled By Bear Says He's Only Alive Thanks to Justin Bieber</t>
  </si>
  <si>
    <t>f4d57de0-1ce8-11e4-8c09-cd48fe37674e</t>
  </si>
  <si>
    <t>http://gawker.com/man-mauled-by-bear-says-hes-only-alive-thanks-to-justin-1616458260</t>
  </si>
  <si>
    <t>gawker.com</t>
  </si>
  <si>
    <t>Tom Brokaw wants Brian Williams fired</t>
  </si>
  <si>
    <t>Source: Tom Brokaw Wants Brian Williams Fired</t>
  </si>
  <si>
    <t>705d81c0-ae15-11e4-9a23-0b6010caa867</t>
  </si>
  <si>
    <t>575bfcb0-ae15-11e4-9a23-0b6010caa867</t>
  </si>
  <si>
    <t>http://gawker.com/source-tom-brokaw-wants-brian-williams-fired-1684148579</t>
  </si>
  <si>
    <t>A woman broke up with her cheating boyfriend by printing out and wrapping his incriminating Twitter direct messages</t>
  </si>
  <si>
    <t>Woman Says She Gave Her Cheating Man a Printout of His DMs for Christmas</t>
  </si>
  <si>
    <t>fbc149e0-8fa2-11e4-9799-c7e75be2bcad</t>
  </si>
  <si>
    <t>f8d8a8e0-8fa2-11e4-9799-c7e75be2bcad</t>
  </si>
  <si>
    <t>http://gawker.com/woman-says-she-gave-her-cheating-man-a-printout-of-his-1676132080?utm_campaign=socialflow_gawker_twitter&amp;utm_source=gawker_twitter&amp;utm_medium=socialflow</t>
  </si>
  <si>
    <t>A former Guantanamo Bay prisoner executed journalist James Wright Foley.</t>
  </si>
  <si>
    <t>Crazy Conservatives Are Sure a Gitmo Detainee Killed James Foley</t>
  </si>
  <si>
    <t>5ea21720-2a0d-11e4-a916-bf0b27b73ad5</t>
  </si>
  <si>
    <t>c6b82ad0-2a0c-11e4-a916-bf0b27b73ad5</t>
  </si>
  <si>
    <t>http://gawker.com/psychotic-conservatives-are-sure-a-gitmo-detainee-kille-1625386613?utm_campaign=socialflow_gawker_twitter&amp;utm_source=gawker_twitter&amp;utm_medium=socialflow</t>
  </si>
  <si>
    <t>Teen Made 72 Million Trading Stocks, Confirms Teen Dominance Worldwide</t>
  </si>
  <si>
    <t>11f1cec0-8499-11e4-b1b5-4f1bd36cbfc6</t>
  </si>
  <si>
    <t>http://gawker.com/teen-made-72-million-trading-stocks-confirms-teen-dom-1671173542</t>
  </si>
  <si>
    <t>Eyewitness: Viral Video That Netted 130K in Donations is Bullshit</t>
  </si>
  <si>
    <t>3592cf20-9220-11e4-9799-c7e75be2bcad</t>
  </si>
  <si>
    <t>http://gawker.com/eyewitness-viral-video-that-netted-130k-in-donations-1676676807</t>
  </si>
  <si>
    <t>ISIS Beheads American Journalist James Foley in Video Message to U.S.</t>
  </si>
  <si>
    <t>5f82c8a0-27e8-11e4-96be-dfc0d1eebaea</t>
  </si>
  <si>
    <t>http://gawker.com/isis-beheads-american-journalist-james-foley-in-video-m-1624078717</t>
  </si>
  <si>
    <t>ISIS is trying to sell the remains of James Foley</t>
  </si>
  <si>
    <t>ISIS Is Selling the Body of James Foley for 1 Million</t>
  </si>
  <si>
    <t>c3e6e170-8137-11e4-8faa-9748b2fc07a1</t>
  </si>
  <si>
    <t>ba3e31a0-8137-11e4-8faa-9748b2fc07a1</t>
  </si>
  <si>
    <t>http://gawker.com/report-isis-is-selling-the-body-of-james-foley-for-1-1669726047?utm_campaign=socialflow_gawker_twitter&amp;utm_source=gawker_twitter&amp;utm_medium=socialflow</t>
  </si>
  <si>
    <t>A man was removed from an American Airlines flight after he became upset due to being wished a Merry Christmas by the crew</t>
  </si>
  <si>
    <t>Man Kicked Off Flight Thanks to His Burning Hatred for Christmas</t>
  </si>
  <si>
    <t>605e4f60-8c60-11e4-9799-c7e75be2bcad</t>
  </si>
  <si>
    <t>241c6ff0-8c60-11e4-9799-c7e75be2bcad</t>
  </si>
  <si>
    <t>http://gawker.com/man-kicked-off-flight-thanks-to-his-burning-hatred-for-1675103197</t>
  </si>
  <si>
    <t>You're Not Going to Become Weightless on January 4th</t>
  </si>
  <si>
    <t>225caaa0-8ee9-11e4-9799-c7e75be2bcad</t>
  </si>
  <si>
    <t>http://gawker.com/youre-not-going-to-become-weightless-on-january-4th-1675344725</t>
  </si>
  <si>
    <t>Doctor Took Mid-Surgery Selfie with Unconscious Joan Rivers</t>
  </si>
  <si>
    <t>40fff2b0-3e57-11e4-bc0b-3f922b93930d</t>
  </si>
  <si>
    <t>http://gawker.com/cnn-doctor-took-selfie-with-unconscious-joan-rivers-du-1635614102</t>
  </si>
  <si>
    <t>CNN Plays Alleged Recording of Michael Brown Shooting</t>
  </si>
  <si>
    <t>1b6c0430-2d68-11e4-89c5-1d389b94bc4b</t>
  </si>
  <si>
    <t>http://gawker.com/cnn-plays-alleged-recording-of-michael-brown-shooting-1626787240</t>
  </si>
  <si>
    <t>A tropical spider burrowed under a man's skin</t>
  </si>
  <si>
    <t>This Is a Truly Horrifying Story About a Spider</t>
  </si>
  <si>
    <t>93271a20-5660-11e4-aaf5-a1ddcfbcd5a9</t>
  </si>
  <si>
    <t>557a5250-565b-11e4-aaf5-a1ddcfbcd5a9</t>
  </si>
  <si>
    <t>http://gawker.com/this-is-a-truly-disgusting-story-about-a-spider-1647007591</t>
  </si>
  <si>
    <t>Lady on FB: I'm 41, Intersex, and Fucked Michael Phelps on First Date</t>
  </si>
  <si>
    <t>1727c350-70de-11e4-8e10-b9c720c188ba</t>
  </si>
  <si>
    <t>http://gawker.com/lady-on-fb-im-41-intersex-and-fucked-michael-phelps-1660924952</t>
  </si>
  <si>
    <t>Taylor Lianne Chandler had a romantic relaitonship with Olympic swimmer Michael Phelps</t>
  </si>
  <si>
    <t>5f0ea250-70df-11e4-8e10-b9c720c188ba</t>
  </si>
  <si>
    <t>ac993260-70da-11e4-8e10-b9c720c188ba</t>
  </si>
  <si>
    <t>This Third Boob Is Probably Only Real in Our Hearts</t>
  </si>
  <si>
    <t>687373a0-4332-11e4-9e78-ff09d5b0049d</t>
  </si>
  <si>
    <t>http://gawker.com/this-third-boob-is-probably-only-real-in-our-hearts-1638026966?utm_campaign=socialflow_gawker_twitter&amp;utm_source=gawker_twitter&amp;utm_medium=socialflow</t>
  </si>
  <si>
    <t>Three Boobs Are Most Likely Two Boobs and a Lie</t>
  </si>
  <si>
    <t>d179aa10-43e9-11e4-ba57-5b750603f392</t>
  </si>
  <si>
    <t>http://gawker.com/three-boobs-are-most-likely-two-boobs-and-a-lie-1638276736/+hudsonhongo</t>
  </si>
  <si>
    <t>Woman Gets Third Boob Implanted, Wants to Be Unattractive to Men</t>
  </si>
  <si>
    <t>7b0bbc70-4332-11e4-9e78-ff09d5b0049d</t>
  </si>
  <si>
    <t>http://gawker.com/woman-gets-third-boob-implanted-wants-to-be-unattract-1637586099</t>
  </si>
  <si>
    <t>Vogue's Rat Infestation: Disturbing New Details</t>
  </si>
  <si>
    <t>d733e820-75ae-11e4-99be-fb3662a4a6dd</t>
  </si>
  <si>
    <t>http://gawker.com/vogue-s-rat-infestation-disturbing-new-details-1663367019</t>
  </si>
  <si>
    <t>Vogue's Shiny New Office Has a Big Rat Problem</t>
  </si>
  <si>
    <t>04475670-71b9-11e4-8a5e-4baa407ee462</t>
  </si>
  <si>
    <t>http://gawker.com/vogue-s-shiny-new-office-has-a-big-rat-problem-1661685600?utm_campaign=socialflow_gawker_twitter&amp;utm_source=gawker_twitter&amp;utm_medium=socialflow</t>
  </si>
  <si>
    <t>Lovesick woman stays in KFC for one week</t>
  </si>
  <si>
    <t>Woman Dumped by Boyfriend Spends Entire Week Mourning at KFC</t>
  </si>
  <si>
    <t>f1cb0f00-9ff8-11e4-a353-5b831fe927be</t>
  </si>
  <si>
    <t>40f8caf0-9ff8-11e4-a353-5b831fe927be</t>
  </si>
  <si>
    <t>http://gawker.com/woman-dumped-by-boyfriend-spends-entire-week-mourning-a-1649275648</t>
  </si>
  <si>
    <t>Accountant Says Comcast Got Him Fired for Contesting Bogus Charges</t>
  </si>
  <si>
    <t>3fe75f90-4ee6-11e4-949b-f14041b20838</t>
  </si>
  <si>
    <t>http://gawker.com/accountant-says-comcast-got-him-fired-for-contesting-bo-1643514085</t>
  </si>
  <si>
    <t>The Man Who Says Comcast Got Him Fired Has Filed a Lawsuit</t>
  </si>
  <si>
    <t>385a42f0-561c-11e4-aaf5-a1ddcfbcd5a9</t>
  </si>
  <si>
    <t>http://gawker.com/the-man-who-says-comcast-got-him-fired-has-filed-a-laws-1647625989?utm_campaign=socialflow_gawker_twitter&amp;utm_source=gawker_twitter&amp;utm_medium=socialflow</t>
  </si>
  <si>
    <t>Does ISIS Have Ebola? Probably Not Media Reports It Anyway</t>
  </si>
  <si>
    <t>01167760-936f-11e4-b6bf-fdc8b7e3bcff</t>
  </si>
  <si>
    <t>http://gawker.com/does-isis-have-ebola-probably-not-media-reports-it-an-1677249837?utm_campaign=socialflow_gawker_twitter&amp;utm_source=gawker_twitter&amp;utm_medium=socialflow</t>
  </si>
  <si>
    <t>The Nigerian government and Boko Haram have reached a ceasefire agreement</t>
  </si>
  <si>
    <t>Boko Haram Denies Ceasefire, Says Kidnapped Girls Are Now Married</t>
  </si>
  <si>
    <t>fb350930-6220-11e4-b3d8-a32d8ec8ad5e</t>
  </si>
  <si>
    <t>110c5f80-5630-11e4-aaf5-a1ddcfbcd5a9</t>
  </si>
  <si>
    <t>http://gawker.com/boko-haram-denies-ceasefire-says-kidnapped-girls-are-n-1653591282</t>
  </si>
  <si>
    <t>Continuing Violence Puts Boko Haram Ceasefire In Jeopardy</t>
  </si>
  <si>
    <t>248372b0-5969-11e4-aaf5-a1ddcfbcd5a9</t>
  </si>
  <si>
    <t>http://gawker.com/continuing-violence-puts-boko-haram-ceasefire-in-jeopar-1648193015</t>
  </si>
  <si>
    <t>Man Chops Off and Throws Away His Small Penis After Bad Breakup</t>
  </si>
  <si>
    <t>5dc09f70-5b9f-11e4-a887-2324afc3f9a8</t>
  </si>
  <si>
    <t>http://gawker.com/man-chops-off-and-throws-away-his-small-penis-after-bad-1650324347?utm_campaign=socialflow_gawker_twitter&amp;utm_source=gawker_twitter&amp;utm_medium=socialflow</t>
  </si>
  <si>
    <t>Fort Carson is locked down because of a missing nuclear weapon</t>
  </si>
  <si>
    <t>Missing Fort Carson item not a nuclear weapon - despite Internet rumors</t>
  </si>
  <si>
    <t>ec484cc0-5339-11e4-b6a0-9705a8f94440</t>
  </si>
  <si>
    <t>e5f2e6a0-5339-11e4-b6a0-9705a8f94440</t>
  </si>
  <si>
    <t>http://gazette.com/missing-fort-carson-item-not-a-nuclear-weapon-despite-internet-rumors/article/1539420</t>
  </si>
  <si>
    <t>gazette.com</t>
  </si>
  <si>
    <t>Apple Watch to start at 500 in stainless steel, thousands for gold model</t>
  </si>
  <si>
    <t>03936d60-c216-11e4-8747-5b024dd6dd6c</t>
  </si>
  <si>
    <t>https://gigaom.com/2014/11/05/report-apple-watch-to-start-at-500-in-stainless-steel-thousands-for-gold-model/</t>
  </si>
  <si>
    <t>gigaom.com</t>
  </si>
  <si>
    <t>4c060e70-c213-11e4-8747-5b024dd6dd6c</t>
  </si>
  <si>
    <t>Claim Hewlett-Packard will split itself into two separate companies</t>
  </si>
  <si>
    <t>HP to split into two companies, one focused on PCsprinters and one on enterprise computing</t>
  </si>
  <si>
    <t>75cda9a0-4cbd-11e4-949b-f14041b20838</t>
  </si>
  <si>
    <t>2b11bc30-4cbd-11e4-949b-f14041b20838</t>
  </si>
  <si>
    <t>https://gigaom.com/2014/10/05/report-hp-to-split-into-two-companies-one-focused-on-pcsprinters-and-one-on-enterprise-computing/</t>
  </si>
  <si>
    <t>HP is better not together company to split into enterprise and PCprinter businesses</t>
  </si>
  <si>
    <t>7fc47a30-4d51-11e4-949b-f14041b20838</t>
  </si>
  <si>
    <t>https://gigaom.com/2014/10/06/its-official-hp-is-better-not-together-company-to-split-into-enteprise-and-pcprinter-businesses/</t>
  </si>
  <si>
    <t>Amazon will open its first physical store in NY this year</t>
  </si>
  <si>
    <t>Amazon Is Opening a Brick-and-Mortar Store in Manhattan</t>
  </si>
  <si>
    <t>66e7d080-4fe9-11e4-b6a0-9705a8f94440</t>
  </si>
  <si>
    <t>f802af50-4fe8-11e4-b6a0-9705a8f94440</t>
  </si>
  <si>
    <t>http://gizmodo.com/amazon-is-opening-a-brick-and-mortar-store-in-manhattan-1644425412</t>
  </si>
  <si>
    <t>gizmodo.com</t>
  </si>
  <si>
    <t>A Radically Redesigned 12-Inch MacBook Air Is Coming</t>
  </si>
  <si>
    <t>6bbb4900-969f-11e4-87a8-1d5d45e62193</t>
  </si>
  <si>
    <t>http://gizmodo.com/report-the-next-12-inch-macbook-pro-will-be-radically-1677803709</t>
  </si>
  <si>
    <t>Apple May Buy Social Network Path</t>
  </si>
  <si>
    <t>f73aa670-3915-11e4-ae63-d5574342724c</t>
  </si>
  <si>
    <t>http://gizmodo.com/ping-redux-apple-is-reportedly-buying-private-social-1632849129</t>
  </si>
  <si>
    <t>The Apple Watch Will Only Last 2.5 Hours With Heavy Use</t>
  </si>
  <si>
    <t>7db52690-c29f-11e4-8747-5b024dd6dd6c</t>
  </si>
  <si>
    <t>http://gizmodo.com/report-the-apple-watch-will-only-last-2-5-hours-with-1681192358</t>
  </si>
  <si>
    <t>Apple Watch Will Need Charging Every Day</t>
  </si>
  <si>
    <t>1f5c8000-c29c-11e4-8747-5b024dd6dd6c</t>
  </si>
  <si>
    <t>http://gizmodo.com/report-apple-watch-will-need-charging-every-day-1633004097</t>
  </si>
  <si>
    <t>Rumor: Stainless Steel Apple Watch Will Cost 500, Gold 4,000</t>
  </si>
  <si>
    <t>f8345b00-c215-11e4-8747-5b024dd6dd6c</t>
  </si>
  <si>
    <t>http://gizmodo.com/rumor-stainless-steel-apple-watch-will-cost-500-gold-1654853935</t>
  </si>
  <si>
    <t>Apple Is Shutting Down Beats Music Updated</t>
  </si>
  <si>
    <t>f2cdd940-4293-11e4-9e78-ff09d5b0049d</t>
  </si>
  <si>
    <t>http://gizmodo.com/report-apple-is-shutting-down-beats-music-1637769180?rev=1411416201163</t>
  </si>
  <si>
    <t>29e33200-c213-11e4-8747-5b024dd6dd6c</t>
  </si>
  <si>
    <t>Seth Rogen Is Woz</t>
  </si>
  <si>
    <t>3eb7c640-611b-11e4-b6e9-e5f029e25965</t>
  </si>
  <si>
    <t>http://gizmodo.com/seth-rogen-will-play-woz-to-christian-bales-steve-jobs-1652924802</t>
  </si>
  <si>
    <t>Christian Bale Is Steve Jobs</t>
  </si>
  <si>
    <t>debd7cc0-5ab8-11e4-aaf5-a1ddcfbcd5a9</t>
  </si>
  <si>
    <t>http://gizmodo.com/christian-bale-is-steve-jobs-1649748514?utm_campaign=socialflow_gizmodo_twitter&amp;utm_source=gizmodo_twitter&amp;utm_medium=socialflow</t>
  </si>
  <si>
    <t>Christian Bale Just Bailed on the Steve Jobs Movie</t>
  </si>
  <si>
    <t>d53b2410-6394-11e4-b3d8-a32d8ec8ad5e</t>
  </si>
  <si>
    <t>http://gizmodo.com/christian-bale-just-bailed-on-the-steve-jobs-movie-1654099985</t>
  </si>
  <si>
    <t>Christian Bale Will Play Steve Jobs</t>
  </si>
  <si>
    <t>7575ff90-54c7-11e4-b6a0-9705a8f94440</t>
  </si>
  <si>
    <t>http://gizmodo.com/report-christian-bale-will-play-steve-jobs-1646903670</t>
  </si>
  <si>
    <t>Who Should Play Steve Jobs Now That Christian Bale Quit?</t>
  </si>
  <si>
    <t>e156cfb0-6394-11e4-b3d8-a32d8ec8ad5e</t>
  </si>
  <si>
    <t>http://gizmodo.com/who-should-play-steve-jobs-now-that-christian-bale-quit-1654117620</t>
  </si>
  <si>
    <t>Three missing Afghan soldiers were found trying to enter Canada</t>
  </si>
  <si>
    <t>Missing Afghan soldiers taken into custody at Canadian border</t>
  </si>
  <si>
    <t>e0a87780-4288-11e4-9e78-ff09d5b0049d</t>
  </si>
  <si>
    <t>e18f2f00-427d-11e4-9e78-ff09d5b0049d</t>
  </si>
  <si>
    <t>http://globalnews.ca/news/1576281/missing-afghan-soldiers-taken-into-custody-at-canadian-border/</t>
  </si>
  <si>
    <t>globalnews.ca</t>
  </si>
  <si>
    <t>A soldier was shot at the War Memorial in Ottawa, Canada</t>
  </si>
  <si>
    <t>Soldier shot at War Memorial multiple shots fired in Parliament</t>
  </si>
  <si>
    <t>1b2b6df0-59f8-11e4-aaf5-a1ddcfbcd5a9</t>
  </si>
  <si>
    <t>43a5dac0-59f5-11e4-aaf5-a1ddcfbcd5a9</t>
  </si>
  <si>
    <t>http://globalnews.ca/news/1628313/shots-fired-at-war-memorial-in-ottawa-says-witness/</t>
  </si>
  <si>
    <t>Islamic State video reportedly shows beheading of Steven Sotloff</t>
  </si>
  <si>
    <t>7614cf70-32cc-11e4-8453-710264d9a1f8</t>
  </si>
  <si>
    <t>http://globalnews.ca/news/1539209/islamic-state-video-reportedly-shows-beheading-of-steven-sotloff/</t>
  </si>
  <si>
    <t>The attacker shot and killed on Parliament Hill is named Michael Zehaf-Bibeau</t>
  </si>
  <si>
    <t>Alleged Ottawa gunman: What we know so far about Michael Zehaf-Bibeau</t>
  </si>
  <si>
    <t>1f1e3a10-5a47-11e4-aaf5-a1ddcfbcd5a9</t>
  </si>
  <si>
    <t>880e7cc0-5a28-11e4-aaf5-a1ddcfbcd5a9</t>
  </si>
  <si>
    <t>http://globalnews.ca/news/1629721/alleged-ottawa-gunman-what-we-know-so-far/</t>
  </si>
  <si>
    <t>ISIS Beheads Kidnapped Photojournalist James Wright Foley in Horrific Video Message to the U.S.</t>
  </si>
  <si>
    <t>ec977f20-2800-11e4-a916-bf0b27b73ad5</t>
  </si>
  <si>
    <t>http://globalvoicesonline.org/2014/08/19/islamic-state-beheads-kidnapped-photojournalist-james-wright-foley-and-posts-footage-online/</t>
  </si>
  <si>
    <t>globalvoicesonline.org</t>
  </si>
  <si>
    <t>Passenger Gets Kicked Off Plane After Merry Christmas Meltdown</t>
  </si>
  <si>
    <t>aa2664f0-8c76-11e4-9799-c7e75be2bcad</t>
  </si>
  <si>
    <t>http://gothamist.com/2014/12/25/man_tossed_off_flight_after_airline.php</t>
  </si>
  <si>
    <t>gothamist.com</t>
  </si>
  <si>
    <t>The larger Apple Watch Edition will cost 10,000</t>
  </si>
  <si>
    <t>Why the Gold Apple Watch Edition Must Cost 10,000</t>
  </si>
  <si>
    <t>8bbbaad0-c366-11e4-9435-a96703525a9e</t>
  </si>
  <si>
    <t>855813e0-c366-11e4-9435-a96703525a9e</t>
  </si>
  <si>
    <t>http://grail-watch.com/2015/02/16/gold-apple-watch-edition-must-cost-10000/</t>
  </si>
  <si>
    <t>grail-watch.com</t>
  </si>
  <si>
    <t>Isilkulskom student has gained superhero powers after shock</t>
  </si>
  <si>
    <t>8c34fe80-702d-11e4-8e10-b9c720c188ba</t>
  </si>
  <si>
    <t>http://gtrk-omsk.ru/news/detail.php?IBLOCK_ID=3&amp;ID=158635&amp;SECTION_ID=13</t>
  </si>
  <si>
    <t>gtrk-omsk.ru</t>
  </si>
  <si>
    <t>Apple Users Add Hairgate to iPhone 6 Problems</t>
  </si>
  <si>
    <t>115693f0-54e8-11e4-b6a0-9705a8f94440</t>
  </si>
  <si>
    <t>http://guardianlv.com/2014/10/apple-users-add-hairgate-to-iphone-6-problems/</t>
  </si>
  <si>
    <t>guardianlv.com</t>
  </si>
  <si>
    <t>Saudi fatwa banning snowmen triggers heated debate</t>
  </si>
  <si>
    <t>34acdd70-9a9b-11e4-bf59-1bb8b99952ce</t>
  </si>
  <si>
    <t>http://gulfnews.com/news/gulf/saudi-arabia/saudi-fatwa-banning-snowmen-triggers-heated-debate-1.1439821</t>
  </si>
  <si>
    <t>gulfnews.com</t>
  </si>
  <si>
    <t>Jose Canseco accidentally shot</t>
  </si>
  <si>
    <t>4d841be0-5f0b-11e4-a887-2324afc3f9a8</t>
  </si>
  <si>
    <t>http://hardballtalk.nbcsports.com/2014/10/28/report-jose-canseco-accidentally-shot/</t>
  </si>
  <si>
    <t>hardballtalk.nbcsports.com</t>
  </si>
  <si>
    <t>Apple Killing Beats Music: 5 Fast Facts You Need to Know</t>
  </si>
  <si>
    <t>05764a80-429b-11e4-9e78-ff09d5b0049d</t>
  </si>
  <si>
    <t>http://heavy.com/tech/2014/09/apple-shut-down-beats-music-streaming-apps/</t>
  </si>
  <si>
    <t>heavy.com</t>
  </si>
  <si>
    <t>Playboy founder Hugh Hefner is dead</t>
  </si>
  <si>
    <t>Hugh Hefner Dead? Fans Panic That Playboy Founder Is Gone</t>
  </si>
  <si>
    <t>82aade30-8f71-11e4-9799-c7e75be2bcad</t>
  </si>
  <si>
    <t>9e2461c0-8f69-11e4-9799-c7e75be2bcad</t>
  </si>
  <si>
    <t>http://hollywoodlife.com/2014/12/29/hugh-hefner-dead-dies-playboy-death-reaction/</t>
  </si>
  <si>
    <t>hollywoodlife.com</t>
  </si>
  <si>
    <t>An nun in an Italian convent gave birth to a child</t>
  </si>
  <si>
    <t>Nun Complains Of Stomach Pains, Later Gives Birth To Baby Boy</t>
  </si>
  <si>
    <t>ee722f00-a435-11e4-aa4f-ff16e52e0d56</t>
  </si>
  <si>
    <t>ca528da0-a434-11e4-aa4f-ff16e52e0d56</t>
  </si>
  <si>
    <t>http://hollywoodlife.com/2015/01/23/pregnant-nun-gives-birth-italy-baby-boy-south-american/</t>
  </si>
  <si>
    <t>Macaulay Culkin is dead</t>
  </si>
  <si>
    <t>Macaulay Culkin Dead? Fans Freak Out Over Death Rumors</t>
  </si>
  <si>
    <t>809d6060-67b0-11e4-b528-9d5aa2d2e8e7</t>
  </si>
  <si>
    <t>c1c13540-67af-11e4-b528-9d5aa2d2e8e7</t>
  </si>
  <si>
    <t>http://hollywoodlife.com/2014/11/08/macaulay-culkin-dead-dies-home-alone-fans-react-death-hoax/</t>
  </si>
  <si>
    <t>Teletubbies Sun Baby: Fans Freak Out Over Jess Smith, 19</t>
  </si>
  <si>
    <t>c1279100-8b14-11e4-9799-c7e75be2bcad</t>
  </si>
  <si>
    <t>http://hollywoodlife.com/2014/12/23/teletubbies-sun-baby-jess-smith-identity-revealed-fans-react/</t>
  </si>
  <si>
    <t>Axl Rose Dead? Fans Freak Out Over Death Rumors</t>
  </si>
  <si>
    <t>869b6f60-7b93-11e4-b794-93ed794d7b91</t>
  </si>
  <si>
    <t>https://hollywoodlife.com/2014/12/03/axl-rose-dead-dies-guns-n-roses-fans-react-death-hoax/</t>
  </si>
  <si>
    <t>Tiger Woods is selling his island in Lake Mlaren, Sweden</t>
  </si>
  <si>
    <t>Tiger Woods luxe Viking island in Sweden is for sale</t>
  </si>
  <si>
    <t>eae7f5d0-9a7c-11e4-bf59-1bb8b99952ce</t>
  </si>
  <si>
    <t>6c9f9f20-9a7c-11e4-bf59-1bb8b99952ce</t>
  </si>
  <si>
    <t>https://homes.yahoo.com/blogs/spaces/tiger-woods--luxe-viking-island-in-sweden-is-for-sale-021708981.html</t>
  </si>
  <si>
    <t>homes.yahoo.com</t>
  </si>
  <si>
    <t>WaPo: Was Foley's killer a former Gitmo detainee?</t>
  </si>
  <si>
    <t>ce027840-2a0c-11e4-a916-bf0b27b73ad5</t>
  </si>
  <si>
    <t>http://hotair.com/archives/2014/08/20/wapo-was-foleys-killer-a-former-gitmo-detainee/</t>
  </si>
  <si>
    <t>hotair.com</t>
  </si>
  <si>
    <t>CNN audio: Is this the moment Michael Brown was shot?</t>
  </si>
  <si>
    <t>67040ee0-2d6a-11e4-89c5-1d389b94bc4b</t>
  </si>
  <si>
    <t>http://hotair.com/archives/2014/08/26/cnn-audio-is-this-the-moment-michael-brown-was-shot/</t>
  </si>
  <si>
    <t>A Texas plumbing company's truck is now being used by militant Islamist fighters in Syria</t>
  </si>
  <si>
    <t>Texas Plumber Has No Idea How Company Truck Ended Up With ISIS</t>
  </si>
  <si>
    <t>f947ae80-8777-11e4-b1b5-4f1bd36cbfc6</t>
  </si>
  <si>
    <t>29955cf0-8777-11e4-b1b5-4f1bd36cbfc6</t>
  </si>
  <si>
    <t>http://houston.cbslocal.com/2014/12/18/texas-plumber-has-no-idea-how-company-truck-ended-up-with-isis/</t>
  </si>
  <si>
    <t>houston.cbslocal.com</t>
  </si>
  <si>
    <t>Canadian-Israeli Gill Rosenberg captured by ISIS while fighting with Kurdish forces</t>
  </si>
  <si>
    <t>YPG Confirms: Gill Rosenberg Not Captured in Kobani</t>
  </si>
  <si>
    <t>37473af0-78bb-11e4-b794-93ed794d7b91</t>
  </si>
  <si>
    <t>4d949950-78b7-11e4-b794-93ed794d7b91</t>
  </si>
  <si>
    <t>http://hundrednews.com/2014/11/ypg-confirms-gill-rosenberg-not-captured-in-kobani/</t>
  </si>
  <si>
    <t>hundrednews.com</t>
  </si>
  <si>
    <t>Earth will experience six days of darkness in December</t>
  </si>
  <si>
    <t>NASA Confirms Earth Will Experience 6 Days of Total Darkness in December 2014</t>
  </si>
  <si>
    <t>f7efb990-5efc-11e4-a887-2324afc3f9a8</t>
  </si>
  <si>
    <t>ce728a20-5efc-11e4-a887-2324afc3f9a8</t>
  </si>
  <si>
    <t>http://huzlers.com/nasa-confirms-earth-will-experience-6-days-total-darkness-december-2014/</t>
  </si>
  <si>
    <t>huzlers.com</t>
  </si>
  <si>
    <t>Anonymous street artist Banksy was arrested</t>
  </si>
  <si>
    <t>No, Banksy has not been arrested sigh</t>
  </si>
  <si>
    <t>92c10f80-5888-11e4-aaf5-a1ddcfbcd5a9</t>
  </si>
  <si>
    <t>603d7670-5856-11e4-aaf5-a1ddcfbcd5a9</t>
  </si>
  <si>
    <t>http://i100.independent.co.uk/article/no-banksy-has-not-been-arrested-sigh--lyEdmGGDUg</t>
  </si>
  <si>
    <t>i100.independent.co.uk</t>
  </si>
  <si>
    <t>Lego sent a letter to parents in the 1970s that had a powerful message about gender equality</t>
  </si>
  <si>
    <t>That powerful Lego letter to parents from the 1970s? It's real</t>
  </si>
  <si>
    <t>aa5b5f00-7409-11e4-99be-fb3662a4a6dd</t>
  </si>
  <si>
    <t>1b49da30-7409-11e4-99be-fb3662a4a6dd</t>
  </si>
  <si>
    <t>http://i100.independent.co.uk/article/that-powerful-lego-letter-to-parents-from-the-1970s-its-real--eJ9eAn1Vug</t>
  </si>
  <si>
    <t>A mechanical polar bear in the U.K. was threatened with an Anti-Social Behaviour Order ASBO</t>
  </si>
  <si>
    <t>No, a mechanical polar bear is not about to be given an Asbo</t>
  </si>
  <si>
    <t>ca0cff80-847f-11e4-b1b5-4f1bd36cbfc6</t>
  </si>
  <si>
    <t>b7f8dad0-847f-11e4-b1b5-4f1bd36cbfc6</t>
  </si>
  <si>
    <t>http://i100.independent.co.uk/article/no-a-mechanical-polar-bear-is-not-about-to-be-given-an-asbo--xkJyitBrKl</t>
  </si>
  <si>
    <t>Government fires employee who skipped work for 24 years</t>
  </si>
  <si>
    <t>88747320-98f5-11e4-bf59-1bb8b99952ce</t>
  </si>
  <si>
    <t>http://ibnlive.in.com/news/government-fires-employee-who-skipped-work-for-24-years/521958-3.html</t>
  </si>
  <si>
    <t>ibnlive.in.com</t>
  </si>
  <si>
    <t>The Digital Crown on the Apple Watch will come in different colors.</t>
  </si>
  <si>
    <t>Apple Watch Digital Crown -- Could It Color Adjusted?</t>
  </si>
  <si>
    <t>c3e697e0-c365-11e4-9435-a96703525a9e</t>
  </si>
  <si>
    <t>365b0910-c360-11e4-9435-a96703525a9e</t>
  </si>
  <si>
    <t>http://idevicedailys.com/apple-watch/apple-watch-digital-crown/</t>
  </si>
  <si>
    <t>idevicedailys.com</t>
  </si>
  <si>
    <t>J.J. Abrams Asks Disney To Move Up Star Wars: The Force Awakens Release Date</t>
  </si>
  <si>
    <t>a7ba3970-b2e2-11e4-9a23-0b6010caa867</t>
  </si>
  <si>
    <t>http://ikwiz.com/article.asp?id=9173&amp;name=J.J.+Abrams+Asks+Disney+To+Move+Up+%27Star+Wars%3A+The+Force+Awakens+Release%27+Date+</t>
  </si>
  <si>
    <t>ikwiz.com</t>
  </si>
  <si>
    <t>Amazon plans ad-supported video streaming service - NY post</t>
  </si>
  <si>
    <t>889f5860-7311-11e4-99be-fb3662a4a6dd</t>
  </si>
  <si>
    <t>http://in.reuters.com/article/2014/11/21/amazon-com-launch-idINKCN0J51TC20141121</t>
  </si>
  <si>
    <t>in.reuters.com</t>
  </si>
  <si>
    <t>839c5e30-98f5-11e4-bf59-1bb8b99952ce</t>
  </si>
  <si>
    <t>http://in.reuters.com/article/2015/01/08/india-sacking-idINKBN0KH0TW20150108</t>
  </si>
  <si>
    <t>CPWD official sacked for absence from duty for 25 years</t>
  </si>
  <si>
    <t>7e1f56b0-98f5-11e4-bf59-1bb8b99952ce</t>
  </si>
  <si>
    <t>http://indianexpress.com/article/cities/delhi/cpwd-official-sacked-for-absence-from-duty-for-25-years/</t>
  </si>
  <si>
    <t>indianexpress.com</t>
  </si>
  <si>
    <t>Cheese blamed for North Korean leader Kim Jong-un's broken ankles</t>
  </si>
  <si>
    <t>466f1700-4e3b-11e4-949b-f14041b20838</t>
  </si>
  <si>
    <t>http://indiatoday.intoday.in/story/kim-jong-un-north-korean-broken-ankles-cheese/1/394565.html</t>
  </si>
  <si>
    <t>indiatoday.intoday.in</t>
  </si>
  <si>
    <t>b9c01340-4e3a-11e4-949b-f14041b20838</t>
  </si>
  <si>
    <t>A Catholic priest who was declared clinically dead says he met God and she's a woman</t>
  </si>
  <si>
    <t>Dead for 48 minutes, this Catholic Priest claims God is female</t>
  </si>
  <si>
    <t>fdc039f0-ba9e-11e4-b073-ed15c88bfa1e</t>
  </si>
  <si>
    <t>f5891b80-ba9e-11e4-b073-ed15c88bfa1e</t>
  </si>
  <si>
    <t>http://indiatoday.intoday.in/story/dead-for-48-minutes-this-catholic-priest-claims-god-is-female/1/420203.html</t>
  </si>
  <si>
    <t>Govt fires employee who skipped work for 24 years</t>
  </si>
  <si>
    <t>8e43b950-98f5-11e4-bf59-1bb8b99952ce</t>
  </si>
  <si>
    <t>http://indiatoday.intoday.in/story/central-public-works-department-executive-engineer-fired/1/412206.html</t>
  </si>
  <si>
    <t>Jilted lover chops off his penis after girlfriend dumps him</t>
  </si>
  <si>
    <t>8d0a1ac0-5b92-11e4-a887-2324afc3f9a8</t>
  </si>
  <si>
    <t>http://indiatoday.intoday.in/story/jilted-lover-chops-off-penis-after-girlfriend-dumps-him/1/397309.html</t>
  </si>
  <si>
    <t>A Russian man met a woman for a drink in a sauna and woke up to find his testicles stolen</t>
  </si>
  <si>
    <t>Russian TV actor wakes up to find his testicles stolen</t>
  </si>
  <si>
    <t>b0d74dc0-bde8-11e4-bc4d-fff7a1fe3048</t>
  </si>
  <si>
    <t>5f587d40-bde6-11e4-bc4d-fff7a1fe3048</t>
  </si>
  <si>
    <t>http://indiatoday.intoday.in/story/russian-tv-actor-testicles-stolen-organ-gang/1/421147.html</t>
  </si>
  <si>
    <t>I aborted my baby because it was a boy</t>
  </si>
  <si>
    <t>3e81fbb0-b219-11e4-9a23-0b6010caa867</t>
  </si>
  <si>
    <t>http://injusticestories.com/i-aborted-my-baby-because-it-was-a-boy/</t>
  </si>
  <si>
    <t>injusticestories.com</t>
  </si>
  <si>
    <t>Seven underage Bosnian girls got pregnant on a school trip</t>
  </si>
  <si>
    <t>BiH: Seven Primary School Students Pregnant After Five-Day Excursion</t>
  </si>
  <si>
    <t>eb601ea0-8abb-11e4-adc5-33f8455b16a2</t>
  </si>
  <si>
    <t>197a19a0-8aba-11e4-adc5-33f8455b16a2</t>
  </si>
  <si>
    <t>http://inserbia.info/today/2014/12/bih-seven-primary-school-students-pregnant-after-five-day-excursion/</t>
  </si>
  <si>
    <t>inserbia.info</t>
  </si>
  <si>
    <t>4 ISIS Terrorists Caught at Southern Border in 36 Hrs</t>
  </si>
  <si>
    <t>34182b30-7683-11e4-b9e8-ab92b2da133c</t>
  </si>
  <si>
    <t>http://insider.foxnews.com/2014/10/10/are-isis-terrorists-sneaking-united-states-through-mexican-border</t>
  </si>
  <si>
    <t>insider.foxnews.com</t>
  </si>
  <si>
    <t>Wednesday Apple Rumors: Apple May Be Ready to Buy Path</t>
  </si>
  <si>
    <t>b99a6300-3ad7-11e4-bc0b-3f922b93930d</t>
  </si>
  <si>
    <t>http://investorplace.com/2014/09/apple-rumors-apple-aapl-path-ios-8-watch-battery/#.VBOGay5dWLE</t>
  </si>
  <si>
    <t>investorplace.com</t>
  </si>
  <si>
    <t>These LEGO Instructions from 1974 Are Awesome And Yes, They're Real</t>
  </si>
  <si>
    <t>3245fce0-740a-11e4-99be-fb3662a4a6dd</t>
  </si>
  <si>
    <t>http://io9.com/these-lego-instructions-from-1974-are-awesome-and-yes-1662169567</t>
  </si>
  <si>
    <t>io9.com</t>
  </si>
  <si>
    <t>No, A Spider Did Not Burrow Under A Man's Skin And Live There For Days</t>
  </si>
  <si>
    <t>29ed3930-565c-11e4-aaf5-a1ddcfbcd5a9</t>
  </si>
  <si>
    <t>http://io9.com/no-a-spider-did-not-burrow-under-a-mans-skin-and-live-1647314968</t>
  </si>
  <si>
    <t>A fourth-grade student from Texas was suspended after threatening another student with magic</t>
  </si>
  <si>
    <t>Texas Boy Suspended For Threatening Classmate With The One Ring</t>
  </si>
  <si>
    <t>d5c56170-ab0b-11e4-9a23-0b6010caa867</t>
  </si>
  <si>
    <t>0305ec60-ab0a-11e4-9a23-0b6010caa867</t>
  </si>
  <si>
    <t>http://io9.com/texas-boy-suspended-for-threatening-classmate-with-the-1683115174</t>
  </si>
  <si>
    <t>Oldest Time Capsule in U.S. Unearthed in Boston</t>
  </si>
  <si>
    <t>bdc92770-8287-11e4-b1b5-4f1bd36cbfc6</t>
  </si>
  <si>
    <t>http://io9.com/oldest-time-capsule-in-u-s-unearthed-in-boston-1670088294</t>
  </si>
  <si>
    <t>Doctor took selfie with Joan Rivers while star was under anesthesia, CNN says Read more at Jacksonville.com: http:jacksonville.comentertainment2014-09-16storydoctor-took-selfie-joan-rivers-while-star-was-under-anesthesia-cnnixzz3DZRmGLrZ</t>
  </si>
  <si>
    <t>ab2a6e70-3e09-11e4-bc0b-3f922b93930d</t>
  </si>
  <si>
    <t>http://jacksonville.com/entertainment/2014-09-16/story/doctor-took-selfie-joan-rivers-while-star-was-under-anesthesia-cnn</t>
  </si>
  <si>
    <t>jacksonville.com</t>
  </si>
  <si>
    <t>The Batmobile Might Have Been Stolen In Detroit UPDATE: Nope</t>
  </si>
  <si>
    <t>b22d0490-3ad4-11e4-bc0b-3f922b93930d</t>
  </si>
  <si>
    <t>http://jalopnik.com/report-the-batmobile-has-been-stolen-in-detroit-1634185043</t>
  </si>
  <si>
    <t>jalopnik.com</t>
  </si>
  <si>
    <t>President of Argentina Adopts Boy to Stop Him from Becoming a Werewolf</t>
  </si>
  <si>
    <t>ec666f40-8f96-11e4-9799-c7e75be2bcad</t>
  </si>
  <si>
    <t>http://jezebel.com/president-of-argentina-adopts-boy-to-stop-him-from-beco-1675893883</t>
  </si>
  <si>
    <t>jezebel.com</t>
  </si>
  <si>
    <t>Justin Bieber's Baby Saves Man From Violent Bear Attack</t>
  </si>
  <si>
    <t>4e55edd0-26c3-11e4-96be-dfc0d1eebaea</t>
  </si>
  <si>
    <t>http://jezebel.com/justin-biebers-baby-saves-man-from-violent-bear-attack-1616722146</t>
  </si>
  <si>
    <t>UPDATED 11 Men and 0 Women on Tonight's ESPN Domestic Violence Panel</t>
  </si>
  <si>
    <t>0fd62a00-47f9-11e4-9960-a165dd517bbb</t>
  </si>
  <si>
    <t>http://jezebel.com/11-men-and-0-women-on-tonights-espn-domestic-violence-p-1640280211</t>
  </si>
  <si>
    <t>Did Paul Rudd Help Tackle That Dallas Airport Gay-Basher?</t>
  </si>
  <si>
    <t>2098ad20-5e0d-11e4-a887-2324afc3f9a8</t>
  </si>
  <si>
    <t>http://jezebel.com/did-paul-rudd-help-tackle-that-dallas-airport-gay-bashe-1651369238</t>
  </si>
  <si>
    <t>Woman Bit By Scorpion on Alaska Airlines Flight Is Chill as Hell</t>
  </si>
  <si>
    <t>b758f230-b6d0-11e4-8507-b58af63d1078</t>
  </si>
  <si>
    <t>http://jezebel.com/woman-bit-by-scorpion-on-alaska-airlines-flight-is-chil-1686080846</t>
  </si>
  <si>
    <t>Transgender teenager Leelah Alcorn committed suicide and left a note on her Tumblr</t>
  </si>
  <si>
    <t>Trans Teen Dies by Suicide, Leaves Tumblr Note: There's No Way Out</t>
  </si>
  <si>
    <t>90e19a60-905d-11e4-9799-c7e75be2bcad</t>
  </si>
  <si>
    <t>567bf500-905d-11e4-9799-c7e75be2bcad</t>
  </si>
  <si>
    <t>http://jezebel.com/trans-teen-dies-by-suicide-leaves-tumblr-note-theres-1676351625</t>
  </si>
  <si>
    <t>Cosby Show actress Raven Symone accused Bill Cosby of rape</t>
  </si>
  <si>
    <t>Raven-Symon Slams Rumors That Bill Cosby Molested Her</t>
  </si>
  <si>
    <t>0b26ecc0-705c-11e4-8e10-b9c720c188ba</t>
  </si>
  <si>
    <t>f3b0d960-6ffd-11e4-8e10-b9c720c188ba</t>
  </si>
  <si>
    <t>http://jezebel.com/raven-symone-slams-rumors-that-bill-cosby-molested-her-1660918898</t>
  </si>
  <si>
    <t>Christmas Is Cancelled: Pumpkin Spice Condoms Are a Goddamn Hoax</t>
  </si>
  <si>
    <t>c0101440-3817-11e4-ae63-d5574342724c</t>
  </si>
  <si>
    <t>http://jezebel.com/christmas-is-cancelled-pumpkin-spice-condoms-are-a-god-1632151767</t>
  </si>
  <si>
    <t>Claim a Chinese man chopped off his own penis due to his frustration with not finding love</t>
  </si>
  <si>
    <t>Unlucky in love man chops off own penis</t>
  </si>
  <si>
    <t>26c0c500-a5c7-11e4-aa4f-ff16e52e0d56</t>
  </si>
  <si>
    <t>4893f040-a5c6-11e4-aa4f-ff16e52e0d56</t>
  </si>
  <si>
    <t>http://jjxzdwy.ktimes.co.kr/www/news/world/2014/01/182_145270.html</t>
  </si>
  <si>
    <t>jjxzdwy.ktimes.co.kr</t>
  </si>
  <si>
    <t>No, McPizza is not available in two US McDonald's Google Translate</t>
  </si>
  <si>
    <t>0d36fdc0-a7e3-11e4-a43b-f10f6756f801</t>
  </si>
  <si>
    <t>http://journalmetro.com/opinions/inspecteur-viral/709858/non-la-mcpizza-nest-pas-toujours-disponible-dans-deux-mcdonalds-americains/</t>
  </si>
  <si>
    <t>journalmetro.com</t>
  </si>
  <si>
    <t>Non, le lancement du nouveau Star Wars ne sera pas devanc cet t</t>
  </si>
  <si>
    <t>4c71c6d0-b2e4-11e4-9a23-0b6010caa867</t>
  </si>
  <si>
    <t>http://journalmetro.com/opinions/inspecteur-viral/719636/non-le-lancement-du-nouveau-star-wars-ne-sera-pas-devance-a-cet-ete/</t>
  </si>
  <si>
    <t>ISIS Leader Abu Bakr Al-Baghdadi Assassinated In U.S. Airstrike</t>
  </si>
  <si>
    <t>c42c71e0-3678-11e4-ae63-d5574342724c</t>
  </si>
  <si>
    <t>http://jpupdates.com/2014/09/07/report-isis-leader-abu-bakr-al-baghdadi-assassinated-u-s-airstrike/</t>
  </si>
  <si>
    <t>jpupdates.com</t>
  </si>
  <si>
    <t>ISIS online video shows beheading of U.S. journalist Steven Sotloff</t>
  </si>
  <si>
    <t>8484aed0-32cd-11e4-8453-710264d9a1f8</t>
  </si>
  <si>
    <t>http://kdvr.com/2014/09/02/online-video-claims-to-show-beheading-of-u-s-journalist-steven-sotloff-by-isis/</t>
  </si>
  <si>
    <t>kdvr.com</t>
  </si>
  <si>
    <t>I am lost for words, 5-year-old boy billed for missing friend's birthday party</t>
  </si>
  <si>
    <t>3373d1b0-a000-11e4-a353-5b831fe927be</t>
  </si>
  <si>
    <t>http://kfor.com/2015/01/19/i-am-lost-for-words-5-year-old-boy-billed-for-missing-friends-birthday-party/</t>
  </si>
  <si>
    <t>kfor.com</t>
  </si>
  <si>
    <t>A bird pooped on Vladimir Putin during a speech</t>
  </si>
  <si>
    <t>Vladimir Putin gives speech on dangers of military aggression</t>
  </si>
  <si>
    <t>53eb3d20-1bdf-11e4-8c09-cd48fe37674e</t>
  </si>
  <si>
    <t>26440980-1bd3-11e4-8c09-cd48fe37674e</t>
  </si>
  <si>
    <t>http://knowmore.washingtonpost.com/2014/08/04/bird-defecates-on-vladimir-putin-during-speech-video/</t>
  </si>
  <si>
    <t>knowmore.washingtonpost.com</t>
  </si>
  <si>
    <t>A South Korean woman's hair was accidentally eaten by a robot vacuum cleaner</t>
  </si>
  <si>
    <t>Korean Housewife's Hair Sucked Up into Robot Vacuum</t>
  </si>
  <si>
    <t>812b0cf0-b097-11e4-9a23-0b6010caa867</t>
  </si>
  <si>
    <t>4da6ba00-b097-11e4-9a23-0b6010caa867</t>
  </si>
  <si>
    <t>http://koreabizwire.com/korean-housewifes-hair-sucked-up-into-robot-vacuum/29441</t>
  </si>
  <si>
    <t>koreabizwire.com</t>
  </si>
  <si>
    <t>Kim Had Ankle Surgery: Source</t>
  </si>
  <si>
    <t>7189edc0-54c6-11e4-b6a0-9705a8f94440</t>
  </si>
  <si>
    <t>http://koreajoongangdaily.joins.com/news/article/Article.aspx?aid=2995983</t>
  </si>
  <si>
    <t>koreajoongangdaily.joins.com</t>
  </si>
  <si>
    <t>Microsoft Trying To Buy Mojang, Creators Of Minecraft</t>
  </si>
  <si>
    <t>f009a640-3879-11e4-ae63-d5574342724c</t>
  </si>
  <si>
    <t>http://kotaku.com/report-microsoft-trying-to-buy-mojang-creators-of-min-1632692098</t>
  </si>
  <si>
    <t>kotaku.com</t>
  </si>
  <si>
    <t>A man in England is wanted by police for slapping people who sneeze in public</t>
  </si>
  <si>
    <t>Police Looking For A Man That Slaps People When They Sneeze</t>
  </si>
  <si>
    <t>b7034110-d0fb-11e4-956e-77ab1bea7698</t>
  </si>
  <si>
    <t>de6ec400-d0fa-11e4-956e-77ab1bea7698</t>
  </si>
  <si>
    <t>http://ksfm.cbslocal.com/2015/03/20/police-looking-for-a-man-that-slaps-people-when-they-sneeze/</t>
  </si>
  <si>
    <t>ksfm.cbslocal.com</t>
  </si>
  <si>
    <t>New Audio Reveals Pause in Gunfire When Michael Brown Was Shot: Attorney</t>
  </si>
  <si>
    <t>ad144b60-2d66-11e4-89c5-1d389b94bc4b</t>
  </si>
  <si>
    <t>http://ktla.com/2014/08/26/new-audio-reveals-pause-in-gunfire-when-michael-brown-was-shot-attorney/</t>
  </si>
  <si>
    <t>ktla.com</t>
  </si>
  <si>
    <t>Catholic Priest Claims God Is Female After Clinically Dead Experience</t>
  </si>
  <si>
    <t>4d73f950-ba9f-11e4-b073-ed15c88bfa1e</t>
  </si>
  <si>
    <t>http://kvil.cbslocal.com/2015/02/21/catholic-priest-claims-god-is-female/</t>
  </si>
  <si>
    <t>kvil.cbslocal.com</t>
  </si>
  <si>
    <t>Crabzilla a 50-foot colossal conundrum</t>
  </si>
  <si>
    <t>1fbf6040-555e-11e4-aaf5-a1ddcfbcd5a9</t>
  </si>
  <si>
    <t>http://kxan.com/2014/10/14/crabzilla-a-50-foot-colossal-conundrum/</t>
  </si>
  <si>
    <t>kxan.com</t>
  </si>
  <si>
    <t>Don't Worry, The Breakfast Club Star Judd Nelson Is Not Dead</t>
  </si>
  <si>
    <t>8e907010-5d68-11e4-a887-2324afc3f9a8</t>
  </si>
  <si>
    <t>http://laist.com/2014/10/26/dont_worry_the_breakfast_club_star.php</t>
  </si>
  <si>
    <t>laist.com</t>
  </si>
  <si>
    <t>Do all dogs go to heaven? Pope tells grieving boy: Paradise is open to all of God's creatures</t>
  </si>
  <si>
    <t>09adaa90-8331-11e4-b1b5-4f1bd36cbfc6</t>
  </si>
  <si>
    <t>http://latino.foxnews.com/latino/lifestyle/2014/12/12/pope-stirs-controversy-telling-grieving-boy-paradise-is-open-to-all-gods/</t>
  </si>
  <si>
    <t>latino.foxnews.com</t>
  </si>
  <si>
    <t>In Moscow, police are looking for a felon, cut the male genitals</t>
  </si>
  <si>
    <t>3689c0d0-bde7-11e4-bc4d-fff7a1fe3048</t>
  </si>
  <si>
    <t>http://lifenews.ru/news/150348</t>
  </si>
  <si>
    <t>lifenews.ru</t>
  </si>
  <si>
    <t>Was Heart-Tugging Viral Video Of Generous Homeless Man All A Hoax?</t>
  </si>
  <si>
    <t>731078e0-9610-11e4-87a8-1d5d45e62193</t>
  </si>
  <si>
    <t>http://losangeles.cbslocal.com/2014/12/31/was-heart-tugging-viral-video-of-generous-homeless-man-all-a-hoax/</t>
  </si>
  <si>
    <t>losangeles.cbslocal.com</t>
  </si>
  <si>
    <t>CATCALLING IS NEVER FUNNY UNLESS IT'S THESE BROS TRICKED INTO CATCALLING THEIR MOTHERS</t>
  </si>
  <si>
    <t>914ac9b0-aa0a-11e4-9a23-0b6010caa867</t>
  </si>
  <si>
    <t>http://m.fastcocreate.com/3041499/catcalling-is-never-funny-unless-its-these-bros-tricked-into-catcalling-their-mothers</t>
  </si>
  <si>
    <t>m.fastcocreate.com</t>
  </si>
  <si>
    <t>Citi sees Apple Watch price points of 550 and 950 myriad accessories</t>
  </si>
  <si>
    <t>e673a5a0-c356-11e4-9435-a96703525a9e</t>
  </si>
  <si>
    <t>http://macdailynews.com/2015/02/27/citi-sees-apple-watch-price-points-of-550-and-950-myriad-accessories/</t>
  </si>
  <si>
    <t>macdailynews.com</t>
  </si>
  <si>
    <t>386e0b90-c355-11e4-9435-a96703525a9e</t>
  </si>
  <si>
    <t>How a Reddit user convinced Tim Cook to change Apple's on-hold music</t>
  </si>
  <si>
    <t>bf103250-19cc-11e4-88ab-e7f7e0fff656</t>
  </si>
  <si>
    <t>http://macdailynews.com/2014/07/14/how-a-reddit-user-convinced-tim-cook-to-change-apples-on-hold-music/</t>
  </si>
  <si>
    <t>KFC restaurants in Colorado will start selling marijuana</t>
  </si>
  <si>
    <t>YUM Serving Up Marijuana Fried Chicken</t>
  </si>
  <si>
    <t>897daa80-c2de-11e4-8747-5b024dd6dd6c</t>
  </si>
  <si>
    <t>09e08eb0-c2dd-11e4-8747-5b024dd6dd6c</t>
  </si>
  <si>
    <t>http://marijuanastocks.com/yum-serving-up-marijuana-fried-chicken/</t>
  </si>
  <si>
    <t>marijuanastocks.com</t>
  </si>
  <si>
    <t>Apple Watch Power Reserve feature will save battery life, report says</t>
  </si>
  <si>
    <t>4cd79b70-c1b4-11e4-8747-5b024dd6dd6c</t>
  </si>
  <si>
    <t>http://mashable.com/2015/03/02/apple-watch-power-reserve/</t>
  </si>
  <si>
    <t>mashable.com</t>
  </si>
  <si>
    <t>Lucille Clerc's powerful message of perseverance goes viral after a fake Banksy account reposts it</t>
  </si>
  <si>
    <t>a6948e90-96dd-11e4-87a8-1d5d45e62193</t>
  </si>
  <si>
    <t>http://mashable.com/2015/01/07/banksy-instagram-paris-tribute/?utm_cid=mash-com-Tw-main-link</t>
  </si>
  <si>
    <t>A man in Frisco, Texas being examined for Ebola came into direct contact with Ebola victim Thomas E. Duncan</t>
  </si>
  <si>
    <t>Man With Ebola-Like Symptoms Claims Contact With Patient Zero in Texas</t>
  </si>
  <si>
    <t>3745b980-4f28-11e4-949b-f14041b20838</t>
  </si>
  <si>
    <t>488d31a0-4f23-11e4-949b-f14041b20838</t>
  </si>
  <si>
    <t>http://mashable.com/2014/10/08/frisco-ebola-symptoms/</t>
  </si>
  <si>
    <t>RIPFidel fuels false rumors of Cuban leader's death after another Fidel Castro dies</t>
  </si>
  <si>
    <t>aebca030-98fe-11e4-bf59-1bb8b99952ce</t>
  </si>
  <si>
    <t>http://mashable.com/2015/01/10/ripfidel-fidel-castro/</t>
  </si>
  <si>
    <t>Saudi airline rep denies plan to separate men and women on flights</t>
  </si>
  <si>
    <t>d8d08c90-9478-11e4-b6bf-fdc8b7e3bcff</t>
  </si>
  <si>
    <t>http://mashable.com/2015/01/02/saudia-gender-seating/</t>
  </si>
  <si>
    <t>Nasty iOS 8 Bug Could Erase Your iCloud Drive Documents</t>
  </si>
  <si>
    <t>8e89c390-48d3-11e4-9960-a165dd517bbb</t>
  </si>
  <si>
    <t>http://mashable.com/2014/09/30/ios-8-bug-erase-icloud-drive-documents/</t>
  </si>
  <si>
    <t>The iPhone 6 Hairgate Is Not a Thing</t>
  </si>
  <si>
    <t>445522c0-4e5e-11e4-949b-f14041b20838</t>
  </si>
  <si>
    <t>http://mashable.com/2014/10/06/iphone-6-hairgate/</t>
  </si>
  <si>
    <t>ISIS Claims to Have Intercepted Supplies From U.S. Airdrop</t>
  </si>
  <si>
    <t>01c341a0-5965-11e4-aaf5-a1ddcfbcd5a9</t>
  </si>
  <si>
    <t>http://mashable.com/2014/10/21/islamic-state-airdrop/</t>
  </si>
  <si>
    <t>Islamic Militants Post Video Claiming to Show Beheading of U.S. Journalist</t>
  </si>
  <si>
    <t>04c54e90-2803-11e4-a916-bf0b27b73ad5</t>
  </si>
  <si>
    <t>http://mashable.com/2014/08/19/islamic-state-militants-beheads-american-journalist/</t>
  </si>
  <si>
    <t>Kim Jong-un Broke Both Ankles and Is Hospitalized, Report Claims</t>
  </si>
  <si>
    <t>4ca22220-48d7-11e4-9960-a165dd517bbb</t>
  </si>
  <si>
    <t>http://mashable.com/2014/09/30/kim-jong-un-broke-ankles/?utm_cid=mash-com-Tw-main-link</t>
  </si>
  <si>
    <t>Duped again: Macaulay Culkin is not dead</t>
  </si>
  <si>
    <t>4a7e3e50-67b0-11e4-b528-9d5aa2d2e8e7</t>
  </si>
  <si>
    <t>http://mashable.com/2014/11/08/macaulay-culkin-not-dead/?utm_campaign=Feed%3A+Mashable+%28Mashable%29&amp;utm_cid=Mash-Prod-RSS-Feedburner-All-Partial&amp;utm_medium=twitter&amp;utm_source=twitterfeed</t>
  </si>
  <si>
    <t>Airline passenger freaks out over crew's Merry Christmas greeting</t>
  </si>
  <si>
    <t>45e325d0-8c64-11e4-9799-c7e75be2bcad</t>
  </si>
  <si>
    <t>http://mashable.com/2014/12/25/not-a-merry-christmas/?utm_campaign=Feed%3A+Mashable+%28Mashable%29&amp;utm_cid=Mash-Prod-RSS-Feedburner-All-Partial&amp;utm_medium=twitter&amp;utm_source=twitterfeed</t>
  </si>
  <si>
    <t>3 Afghan Soldiers Detained at Canadian Border After Leaving U.S. Base</t>
  </si>
  <si>
    <t>bdfc35e0-427f-11e4-9e78-ff09d5b0049d</t>
  </si>
  <si>
    <t>http://mashable.com/2014/09/22/afghan-soldiers-missing/</t>
  </si>
  <si>
    <t>North Korea plans to open a restaurant in Scotland</t>
  </si>
  <si>
    <t>North Korea denies plans to open a restaurant in Scotland</t>
  </si>
  <si>
    <t>66ed6fe0-9b16-11e4-bf59-1bb8b99952ce</t>
  </si>
  <si>
    <t>d3814380-9b15-11e4-bf59-1bb8b99952ce</t>
  </si>
  <si>
    <t>http://mashable.com/2015/01/12/north-korea-restaurant-scotland/</t>
  </si>
  <si>
    <t>NYPD to issue tickets instead of arrest for weed possession, report says</t>
  </si>
  <si>
    <t>494ee8f0-6917-11e4-b528-9d5aa2d2e8e7</t>
  </si>
  <si>
    <t>http://mashable.com/2014/11/09/nypd-marijuana-possession/</t>
  </si>
  <si>
    <t>Selfie-Taking Doc's Unauthorized Biopsy May Have Killed Joan Rivers</t>
  </si>
  <si>
    <t>22e7c910-3e57-11e4-bc0b-3f922b93930d</t>
  </si>
  <si>
    <t>http://mashable.com/2014/09/16/reports-joan-rivers-death-may-have-been-triggered-by-unauthorized-biopsy/</t>
  </si>
  <si>
    <t>Seth Rogen reportedly nabs Steve Wozniak role in Steve Jobs filmSteve Jobs Iconic Moments</t>
  </si>
  <si>
    <t>f05713c0-611a-11e4-b6e9-e5f029e25965</t>
  </si>
  <si>
    <t>http://mashable.com/2014/10/30/seth-rogen-steve-wozniak-steve-jobs-film/</t>
  </si>
  <si>
    <t>CNN Plays Alleged Audiotape of Michael Brown ShootingMilitarization Of Police</t>
  </si>
  <si>
    <t>f6445d20-2d70-11e4-89c5-1d389b94bc4b</t>
  </si>
  <si>
    <t>http://mashable.com/2014/08/26/michael-brown-shooting-audio-tape/</t>
  </si>
  <si>
    <t>Texas plumber baffled after truck ends up in the hands of Syrian rebels</t>
  </si>
  <si>
    <t>ba53db30-8787-11e4-b1b5-4f1bd36cbfc6</t>
  </si>
  <si>
    <t>http://mashable.com/2014/12/18/texas-truck-syrian-rebels/</t>
  </si>
  <si>
    <t>A man paid 300 for surgery for his constipated goldfish</t>
  </si>
  <si>
    <t>A really devoted man spent 460 on surgery for his constipated goldfish</t>
  </si>
  <si>
    <t>7f3a48a0-92cb-11e4-b271-b1de57982894</t>
  </si>
  <si>
    <t>1dc0f9c0-92cb-11e4-b271-b1de57982894</t>
  </si>
  <si>
    <t>http://mashable.com/2015/01/02/constipated-goldfish/</t>
  </si>
  <si>
    <t>A woman lost her eye after being hit with a bean bag shot by police in Ferguson</t>
  </si>
  <si>
    <t>Pregnant St. Louis woman loses eye after police fire non-lethal round: reports</t>
  </si>
  <si>
    <t>d84234a0-773f-11e4-94c6-4131d5b705e4</t>
  </si>
  <si>
    <t>01b83440-75e4-11e4-99be-fb3662a4a6dd</t>
  </si>
  <si>
    <t>http://mashable.com/2014/11/28/pregnant-woman-blinded-ferguson-st-louis/</t>
  </si>
  <si>
    <t>Someone vandalized a Bugatti sportscar with a penis drawing</t>
  </si>
  <si>
    <t>Penis Spray-Painted on a 2.5 Million Car Was Just for a Prank Video</t>
  </si>
  <si>
    <t>15178e30-4ff3-11e4-b6a0-9705a8f94440</t>
  </si>
  <si>
    <t>fffc6b10-4ff2-11e4-b6a0-9705a8f94440</t>
  </si>
  <si>
    <t>http://mashable.com/2014/10/09/penis-bugatti-spray-paint-prank/</t>
  </si>
  <si>
    <t>A widower heard his dead wife's voice again after a company managed to recover a deleted voicemail recording</t>
  </si>
  <si>
    <t>Man breaks down in tears when a lost recording of his deceased wife resurfaces</t>
  </si>
  <si>
    <t>130eafb0-a8a4-11e4-a133-7514623ae047</t>
  </si>
  <si>
    <t>2fc039e0-a8a3-11e4-a133-7514623ae047</t>
  </si>
  <si>
    <t>http://mashable.com/2015/01/30/lost-voicemail/</t>
  </si>
  <si>
    <t>Iraqi media says ISIS militants have contracted Ebola</t>
  </si>
  <si>
    <t>0a35a690-9298-11e4-b271-b1de57982894</t>
  </si>
  <si>
    <t>http://mashable.com/2014/12/31/isis-islamic-state-ebola/</t>
  </si>
  <si>
    <t>Kim Jong Un's sister has been put in charge of the country</t>
  </si>
  <si>
    <t>What We Know About Kim Yo Jong, Who May Control North Korea</t>
  </si>
  <si>
    <t>d15457a0-4e85-11e4-949b-f14041b20838</t>
  </si>
  <si>
    <t>d2c92bf0-4b25-11e4-9960-a165dd517bbb</t>
  </si>
  <si>
    <t>http://mashable.com/2014/10/07/kim-jong-un-sister-north-korea/</t>
  </si>
  <si>
    <t>Boko Haram denies cease-fire, leader says he married off kidnapped girls</t>
  </si>
  <si>
    <t>0bdbe240-6221-11e4-b3d8-a32d8ec8ad5e</t>
  </si>
  <si>
    <t>http://mashable.com/2014/11/01/boko-haram-denies-cease-fire/</t>
  </si>
  <si>
    <t>Iraqi airstrike kills key ISIL leader</t>
  </si>
  <si>
    <t>5b1da8d0-3796-11e4-ae63-d5574342724c</t>
  </si>
  <si>
    <t>http://mawtani.al-shorfa.com/en_GB/articles/iii/features/2014/09/08/feature-01</t>
  </si>
  <si>
    <t>mawtani.al-shorfa.com</t>
  </si>
  <si>
    <t>Ferguson protester shot in the eye with rubber bullet by police</t>
  </si>
  <si>
    <t>182308e0-75e4-11e4-99be-fb3662a4a6dd</t>
  </si>
  <si>
    <t>http://mediablackoutusa.com/2014/11/26/ferguson-protester-shot-in-the-eye-with-rubber-bullet-by-police/</t>
  </si>
  <si>
    <t>mediablackoutusa.com</t>
  </si>
  <si>
    <t>Categorically False: DHS Debunks Right-Wing Fiction That ISIS Attempted To Cross The U.S.- Mexico Border</t>
  </si>
  <si>
    <t>ede0f000-4fc9-11e4-b6a0-9705a8f94440</t>
  </si>
  <si>
    <t>http://mediamatters.org/blog/2014/10/08/categorically-false-dhs-debunks-right-wing-fict/201082</t>
  </si>
  <si>
    <t>mediamatters.org</t>
  </si>
  <si>
    <t>American Predator Drone Circling Islamic State's Stronghold</t>
  </si>
  <si>
    <t>03a268e0-36ea-11e4-ae63-d5574342724c</t>
  </si>
  <si>
    <t>https://medium.com/war-is-boring/american-predator-drone-circling-islamic-states-stronghold-4c18b088952a</t>
  </si>
  <si>
    <t>medium.com</t>
  </si>
  <si>
    <t>400 men were castrated on the orders of an Indian spiritual guru</t>
  </si>
  <si>
    <t>400 men cut their testicles off believing it would help them meet God</t>
  </si>
  <si>
    <t>f2e15cc0-c080-11e4-8747-5b024dd6dd6c</t>
  </si>
  <si>
    <t>e3ab2ab0-c080-11e4-8747-5b024dd6dd6c</t>
  </si>
  <si>
    <t>http://metro.co.uk/2015/02/27/400-men-cut-their-testicles-off-believing-it-would-help-them-meet-god-5082965/</t>
  </si>
  <si>
    <t>metro.co.uk</t>
  </si>
  <si>
    <t>President of Argentina adopts godson to stop him from turning into a werewolf</t>
  </si>
  <si>
    <t>e69b95e0-8f96-11e4-9799-c7e75be2bcad</t>
  </si>
  <si>
    <t>http://metro.co.uk/2014/12/28/president-of-argentina-adopts-godson-to-stop-him-from-turning-into-a-werewolf-5001512/</t>
  </si>
  <si>
    <t>Teacher had sex with 16-year-old</t>
  </si>
  <si>
    <t>Boy, 16, secretly films sex with teacher then uploads it to WhatsApp</t>
  </si>
  <si>
    <t>a8b03540-c7f6-11e4-883c-a7fa7a3c5066</t>
  </si>
  <si>
    <t>fe3a51a0-c7f4-11e4-883c-a7fa7a3c5066</t>
  </si>
  <si>
    <t>http://metro.co.uk/2014/11/03/boy-16-secretly-films-sex-with-teacher-then-uploads-it-to-whatsapp-4933699/</t>
  </si>
  <si>
    <t>Seven girls as young as 13 become pregnant on a school trip</t>
  </si>
  <si>
    <t>60e63fd0-8aba-11e4-adc5-33f8455b16a2</t>
  </si>
  <si>
    <t>http://metro.co.uk/2014/12/23/parents-are-outraged-as-seven-girls-aged-13-15-become-pregnant-on-a-school-trip-4997369/</t>
  </si>
  <si>
    <t>Spurned wife leaves cheating husband and her twin naked in busy car park</t>
  </si>
  <si>
    <t>Spurned wife leaves cheating husband and twin naked in busy car park</t>
  </si>
  <si>
    <t>46bbe9e0-9ffd-11e4-a353-5b831fe927be</t>
  </si>
  <si>
    <t>1ff5eb30-9ffd-11e4-a353-5b831fe927be</t>
  </si>
  <si>
    <t>https://metro.co.uk/2014/12/16/spurned-wife-leaves-cheating-husband-and-twin-naked-in-busy-car-park-4988779/</t>
  </si>
  <si>
    <t>Weatherman caught peeing live on camera</t>
  </si>
  <si>
    <t>a09bbcc0-645b-11e4-b3d8-a32d8ec8ad5e</t>
  </si>
  <si>
    <t>http://metro.co.uk/2014/11/02/weatherman-caught-peeing-live-on-camera-4931447/</t>
  </si>
  <si>
    <t>Feminist says she aborted baby because it was a boy</t>
  </si>
  <si>
    <t>9afa9570-b20d-11e4-9a23-0b6010caa867</t>
  </si>
  <si>
    <t>http://metro.co.uk/2015/02/10/feminist-aborted-baby-because-it-was-a-boy-5056982/</t>
  </si>
  <si>
    <t>A crowd chopped off a man's penis after he was caught trying to rape a woman</t>
  </si>
  <si>
    <t>Would-be rapist has penis severed by angry mob</t>
  </si>
  <si>
    <t>5ce0c8c0-a4c7-11e4-aa4f-ff16e52e0d56</t>
  </si>
  <si>
    <t>9ad13f60-a4c3-11e4-aa4f-ff16e52e0d56</t>
  </si>
  <si>
    <t>http://metro.co.uk/2014/10/13/would-be-rapist-has-penis-severed-by-angry-mob-4901016/</t>
  </si>
  <si>
    <t>From bendgate to hairgate: Now iPhone 6 users complain the device is ripping out their hair</t>
  </si>
  <si>
    <t>67e380a0-4e5f-11e4-949b-f14041b20838</t>
  </si>
  <si>
    <t>http://metro.co.uk/2014/10/06/from-bendgate-to-hairgate-now-iphone-6-users-complain-the-device-is-ripping-out-their-hair-4893923/</t>
  </si>
  <si>
    <t>ISIS gave a Kurdish woman a meal and told her she'd eaten her own son</t>
  </si>
  <si>
    <t>Isis tells mother on rescue mission :You've just eaten your son</t>
  </si>
  <si>
    <t>72f2a5a0-c11b-11e4-8747-5b024dd6dd6c</t>
  </si>
  <si>
    <t>2be71600-c11b-11e4-8747-5b024dd6dd6c</t>
  </si>
  <si>
    <t>http://metro.co.uk/2015/03/02/isis-tells-mother-on-rescue-mission-youve-just-eaten-your-son-5084957/</t>
  </si>
  <si>
    <t>Nun who gave birth had no idea she was pregnant</t>
  </si>
  <si>
    <t>b76885e0-a435-11e4-aa4f-ff16e52e0d56</t>
  </si>
  <si>
    <t>http://metro.co.uk/2015/01/23/nun-who-gave-birth-had-no-idea-she-was-pregnant-5034246/</t>
  </si>
  <si>
    <t>Jihadi John is a Londoner named Mohammed Emwazi</t>
  </si>
  <si>
    <t>Jihadi John identified as British man from West London</t>
  </si>
  <si>
    <t>695e0900-bdb8-11e4-b073-ed15c88bfa1e</t>
  </si>
  <si>
    <t>dea6f6f0-bdb2-11e4-b073-ed15c88bfa1e</t>
  </si>
  <si>
    <t>http://metro.co.uk/2015/02/26/jihadi-john-identified-as-british-man-from-west-london-5080220/</t>
  </si>
  <si>
    <t>Kim Jong-un is so fat from eating cheese that he has broken his ankles</t>
  </si>
  <si>
    <t>1703cbc0-497a-11e4-9960-a165dd517bbb</t>
  </si>
  <si>
    <t>http://metro.co.uk/2014/10/01/kim-jong-un-is-so-fat-from-eating-cheese-that-he-has-broken-his-ankles-4888448/</t>
  </si>
  <si>
    <t>Kim Jong Un is drinking cobra wine to help restore his virility</t>
  </si>
  <si>
    <t>Kim Jong-un relying on cobra wine after problems with trouser snake</t>
  </si>
  <si>
    <t>22804b10-74c5-11e4-99be-fb3662a4a6dd</t>
  </si>
  <si>
    <t>1db46b20-74c5-11e4-99be-fb3662a4a6dd</t>
  </si>
  <si>
    <t>https://metro.co.uk/2014/11/24/kim-jong-un-relying-on-cobra-wine-after-problems-with-trouser-snake-4960393/</t>
  </si>
  <si>
    <t>Poster girl in fight against ISIS is beheaded by terror group</t>
  </si>
  <si>
    <t>c6b9efb0-5eea-11e4-a887-2324afc3f9a8</t>
  </si>
  <si>
    <t>https://metro.co.uk/2014/10/27/leading-female-kurdish-fighter-beheaded-by-isis-4923513/</t>
  </si>
  <si>
    <t>These egalitarian Lego instructions from the 1970s are pretty cool, but are they real?</t>
  </si>
  <si>
    <t>a2574200-740a-11e4-99be-fb3662a4a6dd</t>
  </si>
  <si>
    <t>http://metro.co.uk/2014/11/23/these-egalitarian-lego-instructions-from-the-1970s-are-pretty-cool-but-are-they-real-4959094/</t>
  </si>
  <si>
    <t>Macaulay Culkin dead: Actor is victim of another death hoax</t>
  </si>
  <si>
    <t>2d6ec030-67b2-11e4-b528-9d5aa2d2e8e7</t>
  </si>
  <si>
    <t>http://metro.co.uk/2014/11/08/macaulay-culkin-dead-actor-is-victim-of-another-death-hoax-4940498/</t>
  </si>
  <si>
    <t>This boy nearly died, now he has a superpower like Marvel's Magneto</t>
  </si>
  <si>
    <t>baa779c0-702b-11e4-8e10-b9c720c188ba</t>
  </si>
  <si>
    <t>https://metro.co.uk/2014/11/19/this-boy-nearly-died-now-he-has-a-superpower-like-marvels-magneto-4954956/</t>
  </si>
  <si>
    <t>Heartwarming video shows son revealing he's paid off parents mortgage as a Christmas gift</t>
  </si>
  <si>
    <t>61b7ef70-8d72-11e4-9799-c7e75be2bcad</t>
  </si>
  <si>
    <t>http://metro.co.uk/2014/12/26/heartwarming-video-shows-son-revealing-hes-paid-off-parents-mortgage-as-a-christmas-gift-5000028/</t>
  </si>
  <si>
    <t>Man who slaps people around the head for sneezing hunted by police</t>
  </si>
  <si>
    <t>69a55890-d0fb-11e4-956e-77ab1bea7698</t>
  </si>
  <si>
    <t>http://metro.co.uk/2015/03/20/man-who-slaps-people-around-the-head-for-sneezing-hunted-by-police-5113998/</t>
  </si>
  <si>
    <t>Video shows a U.S. Marine surviving being shot in the helmet</t>
  </si>
  <si>
    <t>Watch marine take sniper shot to the head and live</t>
  </si>
  <si>
    <t>625c30a0-5549-11e4-b6a0-9705a8f94440</t>
  </si>
  <si>
    <t>74b32120-553d-11e4-b6a0-9705a8f94440</t>
  </si>
  <si>
    <t>http://metro.co.uk/2014/10/16/watch-marine-take-sniper-shot-to-the-head-and-live-4908043/</t>
  </si>
  <si>
    <t>Cannibal mother tries to eat her newborn baby after giving birth</t>
  </si>
  <si>
    <t>32ebb8b0-7bdf-11e4-b794-93ed794d7b91</t>
  </si>
  <si>
    <t>https://metro.co.uk/2014/12/04/cannibal-mother-tries-to-eat-her-newborn-baby-after-giving-birth-4974132/</t>
  </si>
  <si>
    <t>9-year-old girl pens touching letter to teacher who came out as gay</t>
  </si>
  <si>
    <t>bae00c60-8618-11e4-b1b5-4f1bd36cbfc6</t>
  </si>
  <si>
    <t>http://metro.co.uk/2014/12/16/9-year-old-girl-pens-touching-letter-to-teacher-who-came-out-as-gay-4989984/</t>
  </si>
  <si>
    <t>North Korean dictator Kim Jong-Un to open restaurant in Scotland</t>
  </si>
  <si>
    <t>26f231f0-9b16-11e4-bf59-1bb8b99952ce</t>
  </si>
  <si>
    <t>http://metro.co.uk/2015/01/12/north-korean-dictator-kim-jong-un-to-open-restaurant-in-scotland-5018901/</t>
  </si>
  <si>
    <t>Loggers cut down the world's oldest tree</t>
  </si>
  <si>
    <t>Loggers have NOT accidentally cut down world's oldest tree</t>
  </si>
  <si>
    <t>35ac3e40-807f-11e4-8faa-9748b2fc07a1</t>
  </si>
  <si>
    <t>e01c6770-807e-11e4-8faa-9748b2fc07a1</t>
  </si>
  <si>
    <t>http://metro.co.uk/2014/12/10/loggers-have-not-accidentally-cut-down-worlds-oldest-tree-4981558/</t>
  </si>
  <si>
    <t>Girl poured acid on boyfriend's penis after he released sex tape</t>
  </si>
  <si>
    <t>c813e370-abe3-11e4-9a23-0b6010caa867</t>
  </si>
  <si>
    <t>http://metro.co.uk/2015/02/03/girl-poured-acid-on-boyfriends-penis-after-he-released-sex-tape-5047162/</t>
  </si>
  <si>
    <t>Mechanical polar bear threatened with ASBO for singing Christmas songs</t>
  </si>
  <si>
    <t>cdb6cda0-847f-11e4-b1b5-4f1bd36cbfc6</t>
  </si>
  <si>
    <t>http://metro.co.uk/2014/12/14/mechanical-polar-bear-threatened-with-asbo-for-singing-christmas-songs-4986590/</t>
  </si>
  <si>
    <t>Priest died and met God and she's a woman</t>
  </si>
  <si>
    <t>52d131e0-baa1-11e4-b073-ed15c88bfa1e</t>
  </si>
  <si>
    <t>http://metro.co.uk/2015/02/22/priest-who-died-for-48-minutes-says-he-met-god-and-shes-a-woman-5073797/</t>
  </si>
  <si>
    <t>Michael Phelps girlfriend reveals she was born a man and never told the swimmer</t>
  </si>
  <si>
    <t>e6433370-70db-11e4-8e10-b9c720c188ba</t>
  </si>
  <si>
    <t>https://metro.co.uk/2014/11/20/michael-phelps-girlfriend-reveals-she-was-born-a-man-and-never-told-the-swimmer-4955349/</t>
  </si>
  <si>
    <t>Woman pays 20,000 for third breast to make herself LESS attractive to men</t>
  </si>
  <si>
    <t>1916e720-4291-11e4-9e78-ff09d5b0049d</t>
  </si>
  <si>
    <t>http://metro.co.uk/2014/09/22/woman-pays-20000-for-third-breast-to-make-herself-less-attractive-to-men-4877634/</t>
  </si>
  <si>
    <t>Woman with three breasts was a fake who has tricked people online before</t>
  </si>
  <si>
    <t>287b64e0-6c01-11e4-b528-9d5aa2d2e8e7</t>
  </si>
  <si>
    <t>http://metro.co.uk/2014/09/23/woman-with-three-breasts-was-a-fake-who-has-tricked-people-online-before-4878913/</t>
  </si>
  <si>
    <t>A man caught stealing women's underwear was forced to wear it and walk around in public</t>
  </si>
  <si>
    <t>Public shaming: Underwear thief forced to walk around the block wearing the bras he stole</t>
  </si>
  <si>
    <t>fd361510-9cd3-11e4-bf59-1bb8b99952ce</t>
  </si>
  <si>
    <t>f44f2ea0-9cd3-11e4-bf59-1bb8b99952ce</t>
  </si>
  <si>
    <t>http://metro.co.uk/2015/01/14/public-shaming-underwear-thief-forced-to-walk-around-the-block-wearing-the-bras-he-stole-5021898/</t>
  </si>
  <si>
    <t>A developer quit his job with an X-rated message inserted in a video game called Electric Boogie</t>
  </si>
  <si>
    <t>This resignation letter in a video-game could be the greatest ever</t>
  </si>
  <si>
    <t>56ac9ae0-8539-11e4-b1b5-4f1bd36cbfc6</t>
  </si>
  <si>
    <t>e873bf40-8538-11e4-b1b5-4f1bd36cbfc6</t>
  </si>
  <si>
    <t>http://metro.co.uk/2014/12/14/this-resignation-letter-in-a-video-game-could-be-the-greatest-ever-4986715/</t>
  </si>
  <si>
    <t>Jilted lover spends a week in KFC to try and get over her ex</t>
  </si>
  <si>
    <t>be05e280-9ff8-11e4-a353-5b831fe927be</t>
  </si>
  <si>
    <t>http://metro.co.uk/2014/10/22/jilted-lover-spends-a-week-in-kfc-to-try-and-get-over-her-ex-4916143/</t>
  </si>
  <si>
    <t>A woman woke up during brain surgery and talked about cats, asked the surgeons How's it going?</t>
  </si>
  <si>
    <t>Teen wakes up mid-brain surgery and asks doctors How's it going?</t>
  </si>
  <si>
    <t>897fb420-93bc-11e4-b6bf-fdc8b7e3bcff</t>
  </si>
  <si>
    <t>7ca09170-93bc-11e4-b6bf-fdc8b7e3bcff</t>
  </si>
  <si>
    <t>http://metro.co.uk/2015/01/03/teen-wakes-up-mid-brain-surgery-and-asks-doctors-hows-it-going-5008019/</t>
  </si>
  <si>
    <t>ISIS leader Abu Bakr al-Baghdadi was wounded in U.S. Airstrike</t>
  </si>
  <si>
    <t>Isis leader injured in airstrike during meeting in Iraq</t>
  </si>
  <si>
    <t>d77bd060-68e6-11e4-b528-9d5aa2d2e8e7</t>
  </si>
  <si>
    <t>a48c4360-68e6-11e4-b528-9d5aa2d2e8e7</t>
  </si>
  <si>
    <t>http://metro.co.uk/2014/11/10/isis-leader-injured-in-airstrike-during-meeting-in-iraq-4942126/</t>
  </si>
  <si>
    <t>11 aircraft are missing from terrorist-held Tripoli airport ahead of 911 anniversary</t>
  </si>
  <si>
    <t>7f4104f0-33cc-11e4-8453-710264d9a1f8</t>
  </si>
  <si>
    <t>http://metro.co.uk/2014/09/03/11-aircraft-are-missing-from-terrorist-held-tripoli-airport-ahead-of-911-anniversary-4855212/</t>
  </si>
  <si>
    <t>Cruel aunt cuts off three-year-old nephew's penis after he walks in on her using the loo</t>
  </si>
  <si>
    <t>ea7067b0-a4f7-11e4-aa4f-ff16e52e0d56</t>
  </si>
  <si>
    <t>http://metro.co.uk/2014/11/18/cruel-aunt-cuts-off-three-year-old-nephews-penis-after-he-walks-in-on-her-using-the-loo-4952464/</t>
  </si>
  <si>
    <t>Vandal paints penis on 1.5million Bugatti Veyron</t>
  </si>
  <si>
    <t>0aaf37e0-4ff3-11e4-b6a0-9705a8f94440</t>
  </si>
  <si>
    <t>http://metro.co.uk/2014/10/08/vandal-paints-penis-on-1-5-million-bugatti-veyron-4897317/</t>
  </si>
  <si>
    <t>IBM to sack 111,800 employees in record mass layoff</t>
  </si>
  <si>
    <t>cdd4bff0-a57b-11e4-aa4f-ff16e52e0d56</t>
  </si>
  <si>
    <t>http://metro.co.uk/2015/01/26/ibm-to-sack-111800-employees-in-record-mass-layoff-5036553/</t>
  </si>
  <si>
    <t>A hermaphrodite cat in Newfoundland is getting gender assignment surgery</t>
  </si>
  <si>
    <t>Hermaphroditic cat awaits a gender reassignment surgery to become a boy</t>
  </si>
  <si>
    <t>604ab7e0-a43c-11e4-aa4f-ff16e52e0d56</t>
  </si>
  <si>
    <t>43af4330-a43c-11e4-aa4f-ff16e52e0d56</t>
  </si>
  <si>
    <t>http://metro.co.uk/2015/01/22/hermaphroditic-cat-awaits-a-gender-reassignment-surgery-to-become-a-boy-5031554/</t>
  </si>
  <si>
    <t>More than 200 kidnapped Nigerian girls to be released after deal reached with Boko Haram</t>
  </si>
  <si>
    <t>21901170-5636-11e4-aaf5-a1ddcfbcd5a9</t>
  </si>
  <si>
    <t>http://metro.co.uk/2014/10/17/more-than-200-kidnapped-nigerian-girls-to-be-released-after-deal-reached-with-boko-haram-4910042/</t>
  </si>
  <si>
    <t>Saudi Arabia outlaws tempting eyes</t>
  </si>
  <si>
    <t>dcdfafc0-6b45-11e4-b528-9d5aa2d2e8e7</t>
  </si>
  <si>
    <t>http://metro.co.uk/2014/11/04/saudi-arabia-outlaws-tempting-eyes-4935034/</t>
  </si>
  <si>
    <t>Man chops off his own penis after girlfriend told him he was no good in bed</t>
  </si>
  <si>
    <t>786cb320-5b92-11e4-a887-2324afc3f9a8</t>
  </si>
  <si>
    <t>http://metro.co.uk/2014/10/23/man-chops-off-his-own-penis-after-girlfriend-told-him-he-was-no-good-in-bed-4918361/</t>
  </si>
  <si>
    <t>A snowy owl killed her mate because his penis was too small</t>
  </si>
  <si>
    <t>Owl kills mate because he has a small penis</t>
  </si>
  <si>
    <t>b7b89260-b001-11e4-9a23-0b6010caa867</t>
  </si>
  <si>
    <t>d5968ea0-b000-11e4-9a23-0b6010caa867</t>
  </si>
  <si>
    <t>http://metro.co.uk/2015/02/08/owl-kills-mate-because-he-has-a-small-penis-5054093/</t>
  </si>
  <si>
    <t>Married TV actor wakes up to find his testicles have been stolen after kissing young woman in sauna</t>
  </si>
  <si>
    <t>50f16590-bde7-11e4-bc4d-fff7a1fe3048</t>
  </si>
  <si>
    <t>http://metro.co.uk/2015/02/26/married-tv-actor-wakes-up-to-find-his-testicles-have-been-stolen-after-kissing-young-woman-in-sauna-5080139/</t>
  </si>
  <si>
    <t>Argentina's President Just Adopted a Son So He Won't Turn into a Werewolf</t>
  </si>
  <si>
    <t>d310d6c0-8f96-11e4-9799-c7e75be2bcad</t>
  </si>
  <si>
    <t>http://mic.com/articles/107330/argentina-s-president-has-been-watching-too-much-30-rock</t>
  </si>
  <si>
    <t>mic.com</t>
  </si>
  <si>
    <t>ESPN's Domestic Violence Panel Is Missing Something Important</t>
  </si>
  <si>
    <t>d1119750-47f8-11e4-9960-a165dd517bbb</t>
  </si>
  <si>
    <t>http://mic.com/articles/99982/espn-s-domestic-violence-panel-is-missing-something-important</t>
  </si>
  <si>
    <t>Saudi Arabia May Be Taking Misogyny to the Skies</t>
  </si>
  <si>
    <t>ecb37670-947b-11e4-b6bf-fdc8b7e3bcff</t>
  </si>
  <si>
    <t>http://mic.com/articles/107604/saudi-arabia-may-be-taking-misogyny-to-the-skies</t>
  </si>
  <si>
    <t>Ferguson and Hong Kong Have One Important Thing in Common</t>
  </si>
  <si>
    <t>cd6978e0-47e2-11e4-9960-a165dd517bbb</t>
  </si>
  <si>
    <t>http://mic.com/articles/99988/ferguson-and-hong-kong-have-one-important-thing-in-common</t>
  </si>
  <si>
    <t>A Letter Lego Sent to Parents in 1974 Holds an Important Message for the Parents of 2014</t>
  </si>
  <si>
    <t>a53418a0-7409-11e4-99be-fb3662a4a6dd</t>
  </si>
  <si>
    <t>http://mic.com/articles/104894/this-1970s-lego-set-letters-to-parents-holds-an-important-message-on-gender-equality</t>
  </si>
  <si>
    <t>Caught a catfish record in Po: 127 kg and 2.67 meters</t>
  </si>
  <si>
    <t>df162630-bd33-11e4-b073-ed15c88bfa1e</t>
  </si>
  <si>
    <t>http://milano.corriere.it/notizie/cronaca/15_febbraio_25/pescato-siluro-record-po-127-kg-267-metri-5f263728-bcdc-11e4-ad0c-cca964a9a2a1.shtml?cmpid=SF020103COR</t>
  </si>
  <si>
    <t>milano.corriere.it</t>
  </si>
  <si>
    <t>Vice Media CEO Shane Smith paid 300,000 for a Las Vegas dinner</t>
  </si>
  <si>
    <t>Vice Media Chief Said to Pay 300,000 for Dinner for 30</t>
  </si>
  <si>
    <t>5d276ee0-b874-11e4-b073-ed15c88bfa1e</t>
  </si>
  <si>
    <t>d56a3f10-b872-11e4-b073-ed15c88bfa1e</t>
  </si>
  <si>
    <t>http://mobile.nytimes.com/blogs/dealbook/2015/02/18/vice-media-chief-said-to-pay-300000-for-dinner-for-30/?smid=tw-nytimesbusiness&amp;_r=0&amp;referrer=</t>
  </si>
  <si>
    <t>mobile.nytimes.com</t>
  </si>
  <si>
    <t>Developers have limited access to Apple Watch sensors and features, to make simpler apps that don't drain battery</t>
  </si>
  <si>
    <t>Apple Watch Developers Told to Limit Features to Save Battery Life</t>
  </si>
  <si>
    <t>c4f1b000-c349-11e4-8747-5b024dd6dd6c</t>
  </si>
  <si>
    <t>13284580-c2ab-11e4-8747-5b024dd6dd6c</t>
  </si>
  <si>
    <t>http://mobilemarketingmagazine.com/apple-watch-limits-features</t>
  </si>
  <si>
    <t>mobilemarketingmagazine.com</t>
  </si>
  <si>
    <t>Apple to keep gold Watch Editions in special in-store safes</t>
  </si>
  <si>
    <t>d32a2600-bfb8-11e4-8747-5b024dd6dd6c</t>
  </si>
  <si>
    <t>http://mobilesyrup.com/2015/02/02/apple-to-keep-gold-watch-editions-in-special-in-store-safes/</t>
  </si>
  <si>
    <t>mobilesyrup.com</t>
  </si>
  <si>
    <t>Yes, we're being bought by Microsoft</t>
  </si>
  <si>
    <t>dd0ce900-3cdc-11e4-bc0b-3f922b93930d</t>
  </si>
  <si>
    <t>https://mojang.com/2014/09/yes-were-being-bought-by-microsoft/</t>
  </si>
  <si>
    <t>mojang.com</t>
  </si>
  <si>
    <t>The Greater Gaza Plan: Is Israel trying to force Palestinians into Sinai?</t>
  </si>
  <si>
    <t>d0e15f60-4a44-11e4-9960-a165dd517bbb</t>
  </si>
  <si>
    <t>http://mondoweiss.net/2014/09/greater-trying-palestinians</t>
  </si>
  <si>
    <t>mondoweiss.net</t>
  </si>
  <si>
    <t>The group behind the Sony hack sent a message to company execs praising their decision to pull The Interview</t>
  </si>
  <si>
    <t>Source: Hackers send new message to Sony</t>
  </si>
  <si>
    <t>a10665c0-8797-11e4-a13d-d9bce527941d</t>
  </si>
  <si>
    <t>9e769320-8797-11e4-a13d-d9bce527941d</t>
  </si>
  <si>
    <t>http://money.cnn.com/2014/12/19/media/insde-sony-hack-interview/index.html</t>
  </si>
  <si>
    <t>money.cnn.com</t>
  </si>
  <si>
    <t>Customer: I was fired for Comcast complaint</t>
  </si>
  <si>
    <t>31a8efc0-54e0-11e4-b6a0-9705a8f94440</t>
  </si>
  <si>
    <t>http://money.cnn.com/2014/10/10/technology/comcast-customer-fired/</t>
  </si>
  <si>
    <t>iPhone 6s ... transfiguration Nurse</t>
  </si>
  <si>
    <t>1afe0ce0-9dc6-11e4-a353-5b831fe927be</t>
  </si>
  <si>
    <t>http://money.udn.com/storypage.php?sub_id=5615&amp;art_id=638904</t>
  </si>
  <si>
    <t>money.udn.com</t>
  </si>
  <si>
    <t>What they earn: Vice CEO Shane Smith's 300,000 steak dinner</t>
  </si>
  <si>
    <t>53a22590-b874-11e4-b073-ed15c88bfa1e</t>
  </si>
  <si>
    <t>http://moneyweek.com/what-they-earn-vice-ceo-shane-smiths-300000-steak-dinner/</t>
  </si>
  <si>
    <t>moneyweek.com</t>
  </si>
  <si>
    <t>Star Wars VII for a New SUMMER Release Date?</t>
  </si>
  <si>
    <t>ac757790-b2e2-11e4-9a23-0b6010caa867</t>
  </si>
  <si>
    <t>http://moviepilot.com/posts/2015/02/09/star-wars-vii-for-a-new-summer-release-date-2676558?lt_source=external,manual,manual,manual,manual,manual</t>
  </si>
  <si>
    <t>moviepilot.com</t>
  </si>
  <si>
    <t>BATMAN VS. SUPERMAN BATMOBILE STOLEN</t>
  </si>
  <si>
    <t>ecc77460-3aba-11e4-bc0b-3f922b93930d</t>
  </si>
  <si>
    <t>http://movies.cosmicbooknews.com/content/batman-vs-superman-batmobile-stolen</t>
  </si>
  <si>
    <t>movies.cosmicbooknews.com</t>
  </si>
  <si>
    <t>Country Music Legend Willie Nelson Dies at Age 81</t>
  </si>
  <si>
    <t>dcf4af00-bc31-11e4-b073-ed15c88bfa1e</t>
  </si>
  <si>
    <t>http://msmbc.co/iconic-country-star-willie-nelson-dies-at-81.php</t>
  </si>
  <si>
    <t>msmbc.co</t>
  </si>
  <si>
    <t>Breaking News: Macaulay Culkin Found Dead at Age 34</t>
  </si>
  <si>
    <t>c93b9360-67af-11e4-b528-9d5aa2d2e8e7</t>
  </si>
  <si>
    <t>http://msnbc.website/macaulay-culkin-found-dead-at-age-34.html</t>
  </si>
  <si>
    <t>msnbc.website</t>
  </si>
  <si>
    <t>Sources: Guns N Roses Frontman Axl Rose Found Dead in West Hollywood Home at Age 52</t>
  </si>
  <si>
    <t>8ef5ef60-7b06-11e4-b794-93ed794d7b91</t>
  </si>
  <si>
    <t>http://msnbc.website/axl-rose-found-dead-hollywood-home.html</t>
  </si>
  <si>
    <t>Is Kim Jong-Un Really Opening a Restaurant in Scotland?</t>
  </si>
  <si>
    <t>a852b690-9b41-11e4-bf59-1bb8b99952ce</t>
  </si>
  <si>
    <t>http://munchies.vice.com/articles/is-kim-jong-un-really-opening-a-restaurant-in-scotland</t>
  </si>
  <si>
    <t>munchies.vice.com</t>
  </si>
  <si>
    <t>Elon University has banned use of the term freshman</t>
  </si>
  <si>
    <t>Elon University has not banned the term freshman, despite rumors</t>
  </si>
  <si>
    <t>85ef30b0-730a-11e4-99be-fb3662a4a6dd</t>
  </si>
  <si>
    <t>811f5920-730a-11e4-99be-fb3662a4a6dd</t>
  </si>
  <si>
    <t>http://myfox8.com/2014/11/22/elon-university-has-not-banned-the-term-freshman-despite-rumors/</t>
  </si>
  <si>
    <t>myfox8.com</t>
  </si>
  <si>
    <t>A video of bigfoot was shot in southwestern Russia</t>
  </si>
  <si>
    <t>Russians Bag Better Bigfoot Footage</t>
  </si>
  <si>
    <t>68ec6810-9d22-11e4-bf59-1bb8b99952ce</t>
  </si>
  <si>
    <t>50467080-9d22-11e4-bf59-1bb8b99952ce</t>
  </si>
  <si>
    <t>http://mysteriousuniverse.org/2015/01/russians-bag-better-bigfoot-footage/</t>
  </si>
  <si>
    <t>mysteriousuniverse.org</t>
  </si>
  <si>
    <t>Abdel-Majed Abdel Bary beheaded James Wright Foley</t>
  </si>
  <si>
    <t>Senior Western Intelligence Official Confirms London Rapper Abdel Majed Abdel Bary Is A Suspect In The Foley Killing</t>
  </si>
  <si>
    <t>927cd7a0-2bf3-11e4-89c5-1d389b94bc4b</t>
  </si>
  <si>
    <t>98933d20-2bec-11e4-89c5-1d389b94bc4b</t>
  </si>
  <si>
    <t>http://nation.foxnews.com/2014/08/24/senior-western-intelligence-official-confirms-london-rapper-abdel-majed-abdel-bary</t>
  </si>
  <si>
    <t>nation.foxnews.com</t>
  </si>
  <si>
    <t>Hermaphrodite cat named Mittens to get gender reassignment</t>
  </si>
  <si>
    <t>9e3a9570-a43c-11e4-aa4f-ff16e52e0d56</t>
  </si>
  <si>
    <t>http://national.suntimes.com/national-world-news/7/72/514843/mittens-hermaphrodite-cat-gender-reassignment</t>
  </si>
  <si>
    <t>national.suntimes.com</t>
  </si>
  <si>
    <t>President Obama ordered the Federal Reserve to adopt the Euro</t>
  </si>
  <si>
    <t>Obama Orders Fed To Adopt Euro Currency</t>
  </si>
  <si>
    <t>b9d1e340-771b-11e4-94c6-4131d5b705e4</t>
  </si>
  <si>
    <t>ab9f8ca0-771b-11e4-94c6-4131d5b705e4</t>
  </si>
  <si>
    <t>http://nationalreport.net/obama-orders-fed-adopt-euro-currency/</t>
  </si>
  <si>
    <t>nationalreport.net</t>
  </si>
  <si>
    <t>Graffiti Artist Banksy Arrested In London Identity Revealed</t>
  </si>
  <si>
    <t>8b52f920-5856-11e4-aaf5-a1ddcfbcd5a9</t>
  </si>
  <si>
    <t>http://nationalreport.net/banksy-arrested-identity-revealed/#sthash.JBpE0Utc.dpuf</t>
  </si>
  <si>
    <t>There was a terrorist plot to target Black Friday shopppers</t>
  </si>
  <si>
    <t>Terrorist Plot Targeting Black Friday Shoppers Uncovered</t>
  </si>
  <si>
    <t>0d2e8550-757a-11e4-99be-fb3662a4a6dd</t>
  </si>
  <si>
    <t>fc989c30-7579-11e4-99be-fb3662a4a6dd</t>
  </si>
  <si>
    <t>http://nationalreport.net/terror-plot-targeting-black-friday-shoppers-uncovered/</t>
  </si>
  <si>
    <t>The town of Purdon, Texas was quarantined after a family of five tested positive for Ebola</t>
  </si>
  <si>
    <t>Texas Town Quarantined After Family Of Five Test Positive For The Ebola Virus</t>
  </si>
  <si>
    <t>4931abd0-5401-11e4-b6a0-9705a8f94440</t>
  </si>
  <si>
    <t>447e5cf0-5401-11e4-b6a0-9705a8f94440</t>
  </si>
  <si>
    <t>http://nationalreport.net/texas-town-quarantined-family-five-test-positive-ebola-virus/</t>
  </si>
  <si>
    <t>An Arizona boy was charged with self-rape after his mother caught him masturbating</t>
  </si>
  <si>
    <t>Mom Calls 911 On Masturbating Teenage Son Boy Arrested, Charged With New Self-Rape State Law</t>
  </si>
  <si>
    <t>d25b9e10-749b-11e4-99be-fb3662a4a6dd</t>
  </si>
  <si>
    <t>ba730310-749b-11e4-99be-fb3662a4a6dd</t>
  </si>
  <si>
    <t>http://nationalreport.net/mom-calls-911-on-son-new-self-rape-law/</t>
  </si>
  <si>
    <t>BREAKING: Playboy Tycoon Hugh Hefner Passes Away at Age of 88</t>
  </si>
  <si>
    <t>a3f4b960-8f69-11e4-9799-c7e75be2bcad</t>
  </si>
  <si>
    <t>http://nbctoday.co/playboy-tycoon-hugh-hefner-passes-away-age-88.html</t>
  </si>
  <si>
    <t>nbctoday.co</t>
  </si>
  <si>
    <t>Catholic Priest Dies for 48 Minutes, Comes Back to Life and Claims God Is Female</t>
  </si>
  <si>
    <t>0c33df50-ba9f-11e4-b073-ed15c88bfa1e</t>
  </si>
  <si>
    <t>http://netloid.com/news/catholic-priest-dies-for-48-minutes-comes-back-to-life-and-claims-god-is-female</t>
  </si>
  <si>
    <t>netloid.com</t>
  </si>
  <si>
    <t>Founding Fathers-Era Time Capsule Found in Boston</t>
  </si>
  <si>
    <t>8cdac1a0-8287-11e4-b1b5-4f1bd36cbfc6</t>
  </si>
  <si>
    <t>http://news.discovery.com/history/us-history/founding-fathers-era-time-capsule-found-in-boston-141212.htm</t>
  </si>
  <si>
    <t>news.discovery.com</t>
  </si>
  <si>
    <t>What This Homeless Guy Did With 100 Completely Stunned The Man Who Gave It To Him</t>
  </si>
  <si>
    <t>121d41b0-9225-11e4-9799-c7e75be2bcad</t>
  </si>
  <si>
    <t>http://news.distractify.com/beth-buczynski/homeless-guy-hundred-dollar-prank/</t>
  </si>
  <si>
    <t>news.distractify.com</t>
  </si>
  <si>
    <t>Robot vacuum cleaner ate a woman's hair Google Translate</t>
  </si>
  <si>
    <t>c6859130-b097-11e4-9a23-0b6010caa867</t>
  </si>
  <si>
    <t>http://news.khan.co.kr/kh_news/khan_art_view.html?artid=201502051134421&amp;code=620100</t>
  </si>
  <si>
    <t>news.khan.co.kr</t>
  </si>
  <si>
    <t>Unverified video shows beheading of aid worker David Haines</t>
  </si>
  <si>
    <t>1b745e00-3cd1-11e4-bc0b-3f922b93930d</t>
  </si>
  <si>
    <t>http://news.msn.co.nz/worldnews/8905611/unverified-video-shows-beheading-of-aid-worker-david-haines</t>
  </si>
  <si>
    <t>news.msn.co.nz</t>
  </si>
  <si>
    <t>App brush list actually do so sister you tired it?</t>
  </si>
  <si>
    <t>2d75c190-ad6d-11e4-9a23-0b6010caa867</t>
  </si>
  <si>
    <t>http://news.mydrivers.com/1/380/380909.htm</t>
  </si>
  <si>
    <t>news.mydrivers.com</t>
  </si>
  <si>
    <t>NASA Raises Doubts About Reports of Nicaraguan Meteorite</t>
  </si>
  <si>
    <t>c96c0e60-383d-11e4-ae63-d5574342724c</t>
  </si>
  <si>
    <t>http://news.nationalgeographic.com/news/2014/09/140908-managua-meteor-nasa-science/</t>
  </si>
  <si>
    <t>news.nationalgeographic.com</t>
  </si>
  <si>
    <t>The cub of Baghdadi: ISIS reports its youngest jihadist got martyred in battle</t>
  </si>
  <si>
    <t>74eba390-50da-11e4-b6a0-9705a8f94440</t>
  </si>
  <si>
    <t>http://news.nationalpost.com/2014/10/09/the-cub-of-bagdadi-isis-reports-its-youngest-jihadist-got-martyred-in-battle/</t>
  </si>
  <si>
    <t>news.nationalpost.com</t>
  </si>
  <si>
    <t>Jordanian airstrike killed American aid worker held hostage by ISIS according to statement by militants</t>
  </si>
  <si>
    <t>01099200-ae3d-11e4-9a23-0b6010caa867</t>
  </si>
  <si>
    <t>http://news.nationalpost.com/2015/02/06/jordanian-airstrike-killed-american-aid-worker-held-hostage-by-isis-according-to-statement-by-militants/</t>
  </si>
  <si>
    <t>Video showing American journalist beheaded believed real, officials and family say</t>
  </si>
  <si>
    <t>6de2bb50-285e-11e4-a916-bf0b27b73ad5</t>
  </si>
  <si>
    <t>http://news.nationalpost.com/2014/08/19/white-house-says-it-has-not-confirmed-authenticity-of-video-purportedly-showing-isis-beheading-of-american-journalist/</t>
  </si>
  <si>
    <t>North Korean leader Kim Jong-un's mystery illness actually two broken ankles, newspaper says</t>
  </si>
  <si>
    <t>53d8e030-48da-11e4-9960-a165dd517bbb</t>
  </si>
  <si>
    <t>http://news.nationalpost.com/2014/09/30/north-korean-leader-kim-jong-uns-mystery-illness-actually-two-broken-ankles-newspaper-says/</t>
  </si>
  <si>
    <t>Michael Zehaf-Bibeau was shot nearly a dozen times before Kevin Vickers fatally wounded him</t>
  </si>
  <si>
    <t>14b628c0-5c32-11e4-a887-2324afc3f9a8</t>
  </si>
  <si>
    <t>http://news.nationalpost.com/2014/10/24/michael-zehaf-bibeau-was-shot-nearly-a-dozen-times-before-kevin-vickers-fatally-wounded-him/</t>
  </si>
  <si>
    <t>Video shows dramatic moment bullet strikes U.S. Marine's head and he survives thanks to kevlar helmet</t>
  </si>
  <si>
    <t>67c19170-5549-11e4-b6a0-9705a8f94440</t>
  </si>
  <si>
    <t>http://news.nationalpost.com/2014/10/16/video-shows-dramatic-moment-bullet-strikes-u-s-marines-head-and-he-survives-thanks-to-kevlar-helmet/</t>
  </si>
  <si>
    <t>Armed U.S. drones spotted flying over Syria in possible hunt for ISIS leader</t>
  </si>
  <si>
    <t>d7b37390-3901-11e4-ae63-d5574342724c</t>
  </si>
  <si>
    <t>http://news.nationalpost.com/2014/09/08/armed-u-s-drones-spotted-flying-over-syria-in-hunt-for-isis-leader/</t>
  </si>
  <si>
    <t>Parents billed 29 for a no-show fee after five-year-old son misses birthday party</t>
  </si>
  <si>
    <t>1c28db00-a068-11e4-a353-5b831fe927be</t>
  </si>
  <si>
    <t>http://news.nationalpost.com/2015/01/19/parents-billed-24-for-a-no-show-fee-after-5-year-old-son-misses-birthday-party/</t>
  </si>
  <si>
    <t>RCMP release security footage of Michael Zehaf Bibeau during attack, say he shot soldier in back</t>
  </si>
  <si>
    <t>ce3807f0-5b74-11e4-a887-2324afc3f9a8</t>
  </si>
  <si>
    <t>http://news.nationalpost.com/2014/10/23/rcmp-release-security-footage-of-michael-zahef-bibeau-during-attack-say-he-shot-soldier-in-back/</t>
  </si>
  <si>
    <t>Jihadist Khalil al-Britani was killed</t>
  </si>
  <si>
    <t>British Jihadi Killed In US Airstrike - Reports</t>
  </si>
  <si>
    <t>1188b2f0-443e-11e4-94c0-515d9d816ec6</t>
  </si>
  <si>
    <t>426a9310-43e5-11e4-ba57-5b750603f392</t>
  </si>
  <si>
    <t>http://news.sky.com/story/1341590/british-jihadi-killed-in-us-airstrike-reports</t>
  </si>
  <si>
    <t>news.sky.com</t>
  </si>
  <si>
    <t>Hostage David Haines Murder Evil, PM Says</t>
  </si>
  <si>
    <t>308eed10-3c9e-11e4-bc0b-3f922b93930d</t>
  </si>
  <si>
    <t>http://news.sky.com/story/1335482/hostage-david-haines-murder-evil-pm-says</t>
  </si>
  <si>
    <t>IBM To Cut More Than 110,000 Jobs, Report Says</t>
  </si>
  <si>
    <t>c7ba06f0-a57d-11e4-aa4f-ff16e52e0d56</t>
  </si>
  <si>
    <t>http://news.sky.com/story/1415024/ibm-to-cut-more-than-110000-jobs-report-says</t>
  </si>
  <si>
    <t>Video: Islamic State Claims to Have Captured US Weapons Airdrop Near Kobane</t>
  </si>
  <si>
    <t>ef3d4850-5964-11e4-aaf5-a1ddcfbcd5a9</t>
  </si>
  <si>
    <t>https://news.vice.com/article/video-islamic-state-claims-to-have-captured-us-weapons-airdrop-near-kobane</t>
  </si>
  <si>
    <t>news.vice.com</t>
  </si>
  <si>
    <t>Islamic State Militants Claim to Have Beheaded US Journalist James Wright Foley</t>
  </si>
  <si>
    <t>513b32f0-2801-11e4-a916-bf0b27b73ad5</t>
  </si>
  <si>
    <t>https://news.vice.com/article/islamic-state-militants-claim-to-have-beheaded-us-journalist-james-wright-foley</t>
  </si>
  <si>
    <t>Israel caused flooding in Gaza by opening river dams</t>
  </si>
  <si>
    <t>Israel opens dams, floods Gaza</t>
  </si>
  <si>
    <t>de796450-bc5f-11e4-b073-ed15c88bfa1e</t>
  </si>
  <si>
    <t>3d27a920-bc5c-11e4-b073-ed15c88bfa1e</t>
  </si>
  <si>
    <t>http://news.xinhuanet.com/english/world/2015-02/22/c_134011634.htm</t>
  </si>
  <si>
    <t>news.xinhuanet.com</t>
  </si>
  <si>
    <t>Passenger Wears A Hazmat Suit To Dulles Airport</t>
  </si>
  <si>
    <t>a54d3cf0-54af-11e4-b6a0-9705a8f94440</t>
  </si>
  <si>
    <t>http://news.yahoo.com/passenger-wears-hazmat-suit-dulles-airport-photo-174813614.html</t>
  </si>
  <si>
    <t>news.yahoo.com</t>
  </si>
  <si>
    <t>8f9b15e0-6124-11e4-b6e9-e5f029e25965</t>
  </si>
  <si>
    <t>http://news.yahoo.com/apple-quietly-fixed-iphone-6-plus-bendgate-problem-141055738.html</t>
  </si>
  <si>
    <t>ISIS fighter Jihadi John was injured in an airstrike</t>
  </si>
  <si>
    <t>IS executioner Jihadi John injured in air strike: reports</t>
  </si>
  <si>
    <t>6718d620-6d36-11e4-8e10-b9c720c188ba</t>
  </si>
  <si>
    <t>e31f4890-6d35-11e4-8e10-b9c720c188ba</t>
  </si>
  <si>
    <t>https://news.yahoo.com/executioner-jihadi-john-injured-air-strike-reports-000116151.html</t>
  </si>
  <si>
    <t>Mass grave found in Mexico holds bodies of missing students</t>
  </si>
  <si>
    <t>Bodies found in Mexico town where students vanished</t>
  </si>
  <si>
    <t>d6990210-4cb9-11e4-949b-f14041b20838</t>
  </si>
  <si>
    <t>39506bb0-4cb9-11e4-949b-f14041b20838</t>
  </si>
  <si>
    <t>http://news.yahoo.com/mexico-checks-43-missing-students-mass-grave-155925756.html</t>
  </si>
  <si>
    <t>Experts: More facts needed on purported audio recording of Michael Brown shooting</t>
  </si>
  <si>
    <t>b16e3380-2ec2-11e4-89c5-1d389b94bc4b</t>
  </si>
  <si>
    <t>http://news.yahoo.com/alleged-audio-recording-may-have-captured-fatal-shooting-of-michael-brown-193717404.html</t>
  </si>
  <si>
    <t>An audio recording of the Michael Brown shooting has reportedly surfaced</t>
  </si>
  <si>
    <t>17a54d50-2d6a-11e4-89c5-1d389b94bc4b</t>
  </si>
  <si>
    <t>http://news.yahoo.com/audio-recording-michael-brown-shooting-reportedly-surfaced-110200309.html</t>
  </si>
  <si>
    <t>WHO says reports of suspected Ebola cases in Iraq are untrue</t>
  </si>
  <si>
    <t>70167590-95ca-11e4-87a8-1d5d45e62193</t>
  </si>
  <si>
    <t>http://news.yahoo.com/says-reports-suspected-ebola-cases-iraq-untrue-133339703.html</t>
  </si>
  <si>
    <t>Chugging eggnog sends Utah man to hospital</t>
  </si>
  <si>
    <t>46b71f50-8afe-11e4-beeb-cde7b534e8de</t>
  </si>
  <si>
    <t>http://news.yahoo.com/chugging-eggnog-sends-utah-man-hospital-181219654.html;_ylt=AwrBEiSM.plUgR0ACinQtDMD</t>
  </si>
  <si>
    <t>Nigeria claims deal with Boko Haram on ceasefire, kidnapped girls</t>
  </si>
  <si>
    <t>fa1800d0-5635-11e4-aaf5-a1ddcfbcd5a9</t>
  </si>
  <si>
    <t>http://news.yahoo.com/nigeria-claims-deal-boko-haram-ceasefire-kidnapped-girls-142403491.html</t>
  </si>
  <si>
    <t>Fence-jumper ran through much of main floor of White House: report</t>
  </si>
  <si>
    <t>06030730-489b-11e4-9960-a165dd517bbb</t>
  </si>
  <si>
    <t>http://news.yahoo.com/fence-jumper-ran-much-main-floor-white-house-212405509.html</t>
  </si>
  <si>
    <t>Back-from-the-dead Catholic priest claims God is a female</t>
  </si>
  <si>
    <t>93506ce0-baa1-11e4-b073-ed15c88bfa1e</t>
  </si>
  <si>
    <t>http://newsafricanow.com/net-extra-back-from-the-dead-catholic-priest-claims-god-is-a-female/</t>
  </si>
  <si>
    <t>newsafricanow.com</t>
  </si>
  <si>
    <t>Zombie Cat Claws Way Out of Grave Five Days After Being Buried Alive</t>
  </si>
  <si>
    <t>56222420-a675-11e4-aa4f-ff16e52e0d56</t>
  </si>
  <si>
    <t>http://newsfeed.gawker.com/zombie-cat-claws-way-out-of-grave-five-days-after-being-1682125160?utm_campaign=socialflow_gawker_twitter&amp;utm_source=gawker_twitter&amp;utm_medium=socialflow</t>
  </si>
  <si>
    <t>newsfeed.gawker.com</t>
  </si>
  <si>
    <t>The woman behind the hugely popular DC Toys Collector Disney Collector YouTube channel is a former porn star</t>
  </si>
  <si>
    <t>REVEALED: Woman Behind 5 Million Per Year Youtube Channel Is a Former Porn Star Read more at: http:nextshark.comrevealed-woman-behind-5-million-per-year-youtube-channel-is-a-former-porn-starrmns</t>
  </si>
  <si>
    <t>79627a40-bd39-11e4-b073-ed15c88bfa1e</t>
  </si>
  <si>
    <t>6c3b2070-bd38-11e4-b073-ed15c88bfa1e</t>
  </si>
  <si>
    <t>http://nextshark.com/revealed-woman-behind-5-million-per-year-youtube-channel-is-a-former-porn-star/</t>
  </si>
  <si>
    <t>nextshark.com</t>
  </si>
  <si>
    <t>0bf2fd60-89d9-11e4-adc5-33f8455b16a2</t>
  </si>
  <si>
    <t>http://notallowedto.com/mcdonalds-removing-big-mac-apple-pies-eliminating-large-size-options/</t>
  </si>
  <si>
    <t>notallowedto.com</t>
  </si>
  <si>
    <t>The Case of the Stolen Batmobile Has Been Solved</t>
  </si>
  <si>
    <t>aed900d0-3c43-11e4-bc0b-3f922b93930d</t>
  </si>
  <si>
    <t>http://nukethefridge.com/2014/09/13/case-stolen-batmobile-solved/</t>
  </si>
  <si>
    <t>nukethefridge.com</t>
  </si>
  <si>
    <t>Has J.J. Abrams Asked for THE FORCE AWAKENS Release Date to be Moved Up?</t>
  </si>
  <si>
    <t>c44c1130-b2e2-11e4-9a23-0b6010caa867</t>
  </si>
  <si>
    <t>http://nukethefridge.com/2015/02/11/has-j-j-abrams-asked-for-the-force-awakens-release-date-to-be-moved-up/</t>
  </si>
  <si>
    <t>James Foley Killer Jihadi John Believed to Be Former London Rapper Abdel-Majed Abdel Bary</t>
  </si>
  <si>
    <t>f5251140-36c2-11e4-ae63-d5574342724c</t>
  </si>
  <si>
    <t>http://nymag.com/daily/intelligencer/2014/08/foley-killer-jihadi-john-abdel-majed-abdel-bary.html</t>
  </si>
  <si>
    <t>nymag.com</t>
  </si>
  <si>
    <t>Brian Williams Insists NBC News Meteorologist Did Not Pee in the Snow While on Air</t>
  </si>
  <si>
    <t>05f3de60-645a-11e4-b3d8-a32d8ec8ad5e</t>
  </si>
  <si>
    <t>http://nymag.com/daily/intelligencer/2014/11/brian-williams-weatherman-didnt-pee-in-snow.html</t>
  </si>
  <si>
    <t>What's Happening in Hong Kong? Stunning Images From the Occupy-Inspired, Ferguson-Tinged Protests</t>
  </si>
  <si>
    <t>95116be0-47e4-11e4-9960-a165dd517bbb</t>
  </si>
  <si>
    <t>http://nymag.com/daily/intelligencer/2014/09/whats-happening-in-hong-kong-protest-explainer.html</t>
  </si>
  <si>
    <t>ISIS Seemingly Beheaded American Journalist James Wright Foley Updated</t>
  </si>
  <si>
    <t>1692ada0-2800-11e4-a916-bf0b27b73ad5</t>
  </si>
  <si>
    <t>http://nymag.com/daily/intelligencer/2014/08/isis-beheaded-journalist-james-wright-foley.html</t>
  </si>
  <si>
    <t>Soon Marijuana May Lead to Ticket, Not Arrest, in New York</t>
  </si>
  <si>
    <t>4dfb5a00-6917-11e4-b528-9d5aa2d2e8e7</t>
  </si>
  <si>
    <t>http://nymag.com/daily/intelligencer/2014/11/soon-weed-may-lead-to-ticket-not-arrest-in-nyc.html</t>
  </si>
  <si>
    <t>Alleged Audio of Michael Brown Shooting Doesn't Sound Good for Officer Darren Wilson</t>
  </si>
  <si>
    <t>d7a08ef0-2d68-11e4-89c5-1d389b94bc4b</t>
  </si>
  <si>
    <t>http://nymag.com/daily/intelligencer/2014/08/audio-michael-brown-shooting-cnn.html</t>
  </si>
  <si>
    <t>The Story of the 3-Boobed Lady Is As Fake As Her Third Boob</t>
  </si>
  <si>
    <t>1cc9fb80-6bfb-11e4-b528-9d5aa2d2e8e7</t>
  </si>
  <si>
    <t>http://nymag.com/daily/intelligencer/2014/09/jasmine-tridevil-3-boobs-hoax.html</t>
  </si>
  <si>
    <t>The Story of a Woman Getting a Third Boob to Appear Unattractive to Men Is a Hoax Updated</t>
  </si>
  <si>
    <t>231f98a0-428e-11e4-9e78-ff09d5b0049d</t>
  </si>
  <si>
    <t>http://nymag.com/daily/intelligencer/2014/09/jasmine-tridevil-woman-gets-third-breast.html</t>
  </si>
  <si>
    <t>Now the Vogue Rats Are Chewing Through Couture</t>
  </si>
  <si>
    <t>6145ef50-75ae-11e4-99be-fb3662a4a6dd</t>
  </si>
  <si>
    <t>http://nymag.com/thecut/2014/11/now-the-vogue-rats-are-chewing-through-couture.html</t>
  </si>
  <si>
    <t>So, There Might Be a Rat Infestation at Vogue</t>
  </si>
  <si>
    <t>aa79d730-737f-11e4-99be-fb3662a4a6dd</t>
  </si>
  <si>
    <t>http://nymag.com/thecut/2014/11/there-might-be-a-rat-infestation-at-vogue.html</t>
  </si>
  <si>
    <t>Accountant Claims Comcast Got Him Fired From His Job for Reporting a Customer Service Issue</t>
  </si>
  <si>
    <t>51f23570-4ee6-11e4-949b-f14041b20838</t>
  </si>
  <si>
    <t>http://nymag.com/daily/intelligencer/2014/10/accountant-claims-comcast-got-him-fired.html</t>
  </si>
  <si>
    <t>Journalist Matt Taibbi has left First Look Media</t>
  </si>
  <si>
    <t>Matt Taibbi Leaves Omidyar's First Look Media Updated</t>
  </si>
  <si>
    <t>8fda3a90-5edb-11e4-a887-2324afc3f9a8</t>
  </si>
  <si>
    <t>83b87470-5edb-11e4-a887-2324afc3f9a8</t>
  </si>
  <si>
    <t>http://nymag.com/daily/intelligencer/2014/10/matt-taibbi-disappears-from-omidyars-first-look.html</t>
  </si>
  <si>
    <t>Nigeria Claims Boko Haram Will Release the Kidnapped Schoolgirls</t>
  </si>
  <si>
    <t>688aff40-5636-11e4-aaf5-a1ddcfbcd5a9</t>
  </si>
  <si>
    <t>http://nymag.com/daily/intelligencer/2014/10/nigeria-boko-haram-will-release-kidnapped-girls.html</t>
  </si>
  <si>
    <t>The Pumpkin-Spice Condom Is Just a Figment of Your Own Gross Imagination</t>
  </si>
  <si>
    <t>367d31f0-3785-11e4-ae63-d5574342724c</t>
  </si>
  <si>
    <t>http://nymag.com/daily/intelligencer/2014/09/durex-isnt-making-a-pumpkin-spice-condom.html?mid=twitter_nymag</t>
  </si>
  <si>
    <t>British rapper a suspect in ISIS beheading</t>
  </si>
  <si>
    <t>88ba7df0-2bf6-11e4-89c5-1d389b94bc4b</t>
  </si>
  <si>
    <t>http://nypost.com/2014/08/23/british-rapper-a-suspect-in-journalists-beheading-by-isis/?utm_campaign=SocialFlow&amp;utm_source=NYPTwitter&amp;utm_medium=SocialFlow</t>
  </si>
  <si>
    <t>nypost.com</t>
  </si>
  <si>
    <t>Justin Bieber saves man from bear attack</t>
  </si>
  <si>
    <t>02a1ee20-1ce6-11e4-8c09-cd48fe37674e</t>
  </si>
  <si>
    <t>http://nypost.com/2014/08/05/justin-bieber-saves-man-from-bear-attack/</t>
  </si>
  <si>
    <t>Seven teenage girls get pregnant on school trip</t>
  </si>
  <si>
    <t>5b5191a0-8aba-11e4-adc5-33f8455b16a2</t>
  </si>
  <si>
    <t>http://nypost.com/2014/12/22/seven-teenage-girls-get-pregnant-on-school-trip/</t>
  </si>
  <si>
    <t>Woman catches husband cheating with her twin, humiliates them</t>
  </si>
  <si>
    <t>64cb60f0-9ffd-11e4-a353-5b831fe927be</t>
  </si>
  <si>
    <t>http://nypost.com/2014/12/18/woman-catches-husband-cheating-with-her-twin-humiliates-them/</t>
  </si>
  <si>
    <t>6 Islamist militants killed in US attack in Somalia</t>
  </si>
  <si>
    <t>4d7eceb0-351c-11e4-a3fd-07e9a9d397df</t>
  </si>
  <si>
    <t>http://nypost.com/2014/09/02/us-military-attacks-islamist-network-in-somalia/</t>
  </si>
  <si>
    <t>Somali terrorist leader dead after US airstrike</t>
  </si>
  <si>
    <t>05ffb230-351b-11e4-a3fd-07e9a9d397df</t>
  </si>
  <si>
    <t>http://nypost.com/2014/09/05/terrorist-leader-confirmed-dead-after-us-airstrike/</t>
  </si>
  <si>
    <t>Man Sets College On Fire With Marriage Proposal</t>
  </si>
  <si>
    <t>Student accidentally sets college on fire during fireworks proposal</t>
  </si>
  <si>
    <t>c73cf9e0-9ffa-11e4-a353-5b831fe927be</t>
  </si>
  <si>
    <t>a1bee480-9ffa-11e4-a353-5b831fe927be</t>
  </si>
  <si>
    <t>http://nypost.com/2014/10/28/student-accidentally-sets-college-on-fire-during-fireworks-proposal/</t>
  </si>
  <si>
    <t>High school student scores 72M playing the stock market</t>
  </si>
  <si>
    <t>181f51a0-8485-11e4-b1b5-4f1bd36cbfc6</t>
  </si>
  <si>
    <t>http://nypost.com/2014/12/14/stuyvesant-hs-student-nets-72m-on-the-stock-market/</t>
  </si>
  <si>
    <t>Savages: Islamic State executes American journalist</t>
  </si>
  <si>
    <t>3eaa35c0-2804-11e4-a916-bf0b27b73ad5</t>
  </si>
  <si>
    <t>http://nypost.com/2014/08/19/islamic-state-claims-to-have-beheaded-american-journalist/</t>
  </si>
  <si>
    <t>ISIS militants trick mother into eating her kidnapped son</t>
  </si>
  <si>
    <t>bb1f7830-c125-11e4-8747-5b024dd6dd6c</t>
  </si>
  <si>
    <t>http://nypost.com/2015/03/02/isis-militants-trick-woman-into-eating-her-kidnapped-son/</t>
  </si>
  <si>
    <t>ISIS wants 1M for Foley's body</t>
  </si>
  <si>
    <t>28b500a0-8138-11e4-8faa-9748b2fc07a1</t>
  </si>
  <si>
    <t>http://nypost.com/2014/12/11/isis-wants-1m-for-james-foleys-headless-body/</t>
  </si>
  <si>
    <t>Meet Magneto Boy, the kid who attracts metal with his body</t>
  </si>
  <si>
    <t>80a29200-702b-11e4-8e10-b9c720c188ba</t>
  </si>
  <si>
    <t>http://nypost.com/2014/11/19/meet-magneto-boy-the-kid-who-attracts-metal-with-his-body/?utm_campaign=SocialFlow&amp;utm_source=NYPTwitter&amp;utm_medium=SocialFlow</t>
  </si>
  <si>
    <t>Passenger tossed after flipping out over staff's Merry Christmas</t>
  </si>
  <si>
    <t>60ee3350-8c60-11e4-9799-c7e75be2bcad</t>
  </si>
  <si>
    <t>http://nypost.com/2014/12/25/plane-passenger-tossed-after-angry-reaction-to-merry-christmas/</t>
  </si>
  <si>
    <t>Charles Manson's fiance wanted to marry him for his corpse: source</t>
  </si>
  <si>
    <t>07dd1440-b11b-11e4-9a23-0b6010caa867</t>
  </si>
  <si>
    <t>http://nypost.com/2015/02/08/charles-mansons-fiancee-wanted-to-marry-him-for-his-corpse-source/</t>
  </si>
  <si>
    <t>Dead cat claws out of grave 5 days later</t>
  </si>
  <si>
    <t>fc201990-a689-11e4-aa4f-ff16e52e0d56</t>
  </si>
  <si>
    <t>http://nypost.com/2015/01/27/cat-survives-being-buried-alive-for-5-days/</t>
  </si>
  <si>
    <t>New policy could reduce marijuana possession arrests</t>
  </si>
  <si>
    <t>9b8f2a20-6918-11e4-b528-9d5aa2d2e8e7</t>
  </si>
  <si>
    <t>http://nypost.com/2014/11/10/new-policy-could-reduce-marijuana-possession-arrests/</t>
  </si>
  <si>
    <t>NYPD to stop arrests for small amounts of marijuana</t>
  </si>
  <si>
    <t>2c826b30-69b1-11e4-b528-9d5aa2d2e8e7</t>
  </si>
  <si>
    <t>http://nypost.com/2014/11/10/nyc-may-stop-making-arrests-for-small-amounts-of-marijuana/</t>
  </si>
  <si>
    <t>ISIS claims to behead US reporter Steven Sotloff in new video</t>
  </si>
  <si>
    <t>2d216d00-32cc-11e4-8453-710264d9a1f8</t>
  </si>
  <si>
    <t>http://nypost.com/2014/09/02/isis-video-appears-to-show-beheading-of-us-reporter-steven-sotloff/</t>
  </si>
  <si>
    <t>Texas plumber threatened over jihadis using his old truck</t>
  </si>
  <si>
    <t>de0e13c0-8777-11e4-b1b5-4f1bd36cbfc6</t>
  </si>
  <si>
    <t>http://nypost.com/2014/12/17/outrage-after-islamic-militants-seen-using-texas-plumbers-truck/</t>
  </si>
  <si>
    <t>Meet the 3-boobed woman</t>
  </si>
  <si>
    <t>36025090-4291-11e4-9e78-ff09d5b0049d</t>
  </si>
  <si>
    <t>http://nypost.com/2014/09/22/meet-the-3-boobed-woman/</t>
  </si>
  <si>
    <t>Three-boobed woman: They're not fake</t>
  </si>
  <si>
    <t>757106f0-6c07-11e4-b528-9d5aa2d2e8e7</t>
  </si>
  <si>
    <t>http://nypost.com/2014/09/24/three-boobed-woman-theyre-not-fake/</t>
  </si>
  <si>
    <t>Tiger Woods selling Swedish villa island included</t>
  </si>
  <si>
    <t>7f7fe610-9a7f-11e4-bf59-1bb8b99952ce</t>
  </si>
  <si>
    <t>http://nypost.com/2015/01/07/tiger-woods-selling-swedish-villa-island-included/</t>
  </si>
  <si>
    <t>Heartbroken girl spends week in KFC after getting dumped</t>
  </si>
  <si>
    <t>b72e5410-9ff8-11e4-a353-5b831fe927be</t>
  </si>
  <si>
    <t>http://nypost.com/2014/10/22/heartbroken-girl-spends-week-in-kfc-after-getting-dumped/</t>
  </si>
  <si>
    <t>Pregnant woman loses eye after Ferguson cops fire bean bag</t>
  </si>
  <si>
    <t>6d4dd5a0-773f-11e4-94c6-4131d5b705e4</t>
  </si>
  <si>
    <t>http://nypost.com/2014/11/28/pregnant-woman-loses-eye-after-ferguson-cops-fire-beanbag-at-car/</t>
  </si>
  <si>
    <t>Teen wakes up during brain surgery, asks how it's going</t>
  </si>
  <si>
    <t>b68bfdc0-93bc-11e4-b6bf-fdc8b7e3bcff</t>
  </si>
  <si>
    <t>http://nypost.com/2015/01/02/teen-wakes-up-during-brain-surgery-asks-doctors-how-its-going/</t>
  </si>
  <si>
    <t>Amazon plans a streaming-video alternative</t>
  </si>
  <si>
    <t>f5886d60-730f-11e4-99be-fb3662a4a6dd</t>
  </si>
  <si>
    <t>http://nypost.com/2014/11/21/amazon-plans-a-streaming-video-alternative/</t>
  </si>
  <si>
    <t>WHO probing whether ISIS fighters got Ebola</t>
  </si>
  <si>
    <t>3019fd20-936f-11e4-b6bf-fdc8b7e3bcff</t>
  </si>
  <si>
    <t>http://nypost.com/2015/01/02/isis-fighters-may-have-come-down-with-ebola-report/</t>
  </si>
  <si>
    <t>Hermaphroditic cat to undergo gender reassignment surgery</t>
  </si>
  <si>
    <t>5a181c00-a43c-11e4-aa4f-ff16e52e0d56</t>
  </si>
  <si>
    <t>http://nypost.com/2015/01/22/hermaphroditic-cat-to-undergo-gender-reassignment-surgery/</t>
  </si>
  <si>
    <t>Boko Haram denies truce to release kidnapped schoolgirls</t>
  </si>
  <si>
    <t>9358b840-6223-11e4-b3d8-a32d8ec8ad5e</t>
  </si>
  <si>
    <t>http://nypost.com/2014/11/01/boko-haram-denies-truce-to-release-kidnapped-schoolgirls/</t>
  </si>
  <si>
    <t>Rumor Fatigue Sets In at False Alarms of Castro's Death</t>
  </si>
  <si>
    <t>02adbaf0-98da-11e4-bf59-1bb8b99952ce</t>
  </si>
  <si>
    <t>http://nytimes.com/2015/01/10/us/rumor-fatigue-sets-in-at-false-alarms-of-fidel-castros-death.html</t>
  </si>
  <si>
    <t>nytimes.com</t>
  </si>
  <si>
    <t>Attention children of the 90s: you can still get McDonald's pizza</t>
  </si>
  <si>
    <t>8fdb7810-a7e2-11e4-a43b-f10f6756f801</t>
  </si>
  <si>
    <t>http://o.canada.com/life/food-drink/attention-children-of-the-90s-you-can-still-get-mcdonalds-pizza</t>
  </si>
  <si>
    <t>o.canada.com</t>
  </si>
  <si>
    <t>Three-Boobed Girl probably a hoax, because obviously</t>
  </si>
  <si>
    <t>0ee87870-6c05-11e4-b528-9d5aa2d2e8e7</t>
  </si>
  <si>
    <t>http://o.canada.com/news/oddities/boobs-still-come-in-pairs-518166</t>
  </si>
  <si>
    <t>Florida woman claims to have surgically added third breast</t>
  </si>
  <si>
    <t>2eef3fc0-4291-11e4-9e78-ff09d5b0049d</t>
  </si>
  <si>
    <t>http://o.canada.com/news/oddities/photo-florida-woman-claims-to-have-surgically-added-third-breast</t>
  </si>
  <si>
    <t>Ottawa gunman identified as 32-year-old Michael Zehaf-Bibeau</t>
  </si>
  <si>
    <t>1aef8480-5a47-11e4-aaf5-a1ddcfbcd5a9</t>
  </si>
  <si>
    <t>http://o.canada.com/news/ottawa-gunman-identified-as-32-year-old-michael-zehaf-bibeau</t>
  </si>
  <si>
    <t>EXCLUSIVE: New York Mag's Boy Genius Investor Made It All Up</t>
  </si>
  <si>
    <t>d87453c0-84ca-11e4-b1b5-4f1bd36cbfc6</t>
  </si>
  <si>
    <t>http://observer.com/2014/12/exclusive-new-york-mags-boy-genius-investor-made-it-all-up/#.VI-XwPAkITQ.twitter</t>
  </si>
  <si>
    <t>observer.com</t>
  </si>
  <si>
    <t>An oil pipeline exploded in Saudi Arabia</t>
  </si>
  <si>
    <t>BREAKING: Huge Explosion At Saudi Aramco Oil Pipeline Evokes Conspiracy Theories Photos</t>
  </si>
  <si>
    <t>3349d290-6507-11e4-b3d8-a32d8ec8ad5e</t>
  </si>
  <si>
    <t>d33afb10-6504-11e4-b3d8-a32d8ec8ad5e</t>
  </si>
  <si>
    <t>http://oilpro.com/post/8250/developing-huge-explosion-saudi-aramco-oil-pipeline-photos</t>
  </si>
  <si>
    <t>oilpro.com</t>
  </si>
  <si>
    <t>Omsk schoolboy turned into a man-magnet after shock</t>
  </si>
  <si>
    <t>3da91d50-702d-11e4-8e10-b9c720c188ba</t>
  </si>
  <si>
    <t>http://omskgazzeta.ru/interes/omskiy_shkolnik_stal_chelovekom_magnitom_posle_udara_tokom</t>
  </si>
  <si>
    <t>omskgazzeta.ru</t>
  </si>
  <si>
    <t>A wife and child of ISIS leader Abu Bakr al-Baghdadi were detained in Lebanon</t>
  </si>
  <si>
    <t>Iraq Says Arrested Woman Is Not The Wife of ISIS Leader al-Baghdadi</t>
  </si>
  <si>
    <t>cb04f9a0-7af3-11e4-b794-93ed794d7b91</t>
  </si>
  <si>
    <t>899afb60-7af1-11e4-b794-93ed794d7b91</t>
  </si>
  <si>
    <t>http://online.wsj.com/articles/iraq-says-arrested-woman-is-not-the-wife-of-isis-leader-al-baghdadi-1417600450</t>
  </si>
  <si>
    <t>online.wsj.com</t>
  </si>
  <si>
    <t>Amazon to Open First Brick-and-Mortar Site</t>
  </si>
  <si>
    <t>fda47ce0-4fe8-11e4-b6a0-9705a8f94440</t>
  </si>
  <si>
    <t>http://online.wsj.com/articles/amazon-to-open-first-store-1412879124</t>
  </si>
  <si>
    <t>Hewlett-Packard Plans to Break in Two</t>
  </si>
  <si>
    <t>308bb670-4cbd-11e4-949b-f14041b20838</t>
  </si>
  <si>
    <t>http://online.wsj.com/articles/hewlett-packard-plans-to-break-in-two-1412530028?mod=WSJ_hp_LEFTTopStories</t>
  </si>
  <si>
    <t>Hewlett-Packard Announces Plans To Break Up Company</t>
  </si>
  <si>
    <t>1c5045b0-4d51-11e4-949b-f14041b20838</t>
  </si>
  <si>
    <t>http://online.wsj.com/articles/hewlett-packard-to-split-into-two-companies-1412592132</t>
  </si>
  <si>
    <t>Islamic State Training Pilots in Military Jets, Monitors Say</t>
  </si>
  <si>
    <t>d70299f0-5628-11e4-aaf5-a1ddcfbcd5a9</t>
  </si>
  <si>
    <t>http://online.wsj.com/articles/islamic-state-training-pilots-in-military-jets-monitors-say-1413550318</t>
  </si>
  <si>
    <t>Microsoft Near Deal to Buy Minecraft Maker Mojang</t>
  </si>
  <si>
    <t>f5966530-3879-11e4-ae63-d5574342724c</t>
  </si>
  <si>
    <t>http://online.wsj.com/articles/microsoft-near-deal-to-buy-minecraft-1410300213</t>
  </si>
  <si>
    <t>Oil Futures Jump on Rumored Pipeline Explosion in Saudi Arabia</t>
  </si>
  <si>
    <t>864f6a20-6509-11e4-b3d8-a32d8ec8ad5e</t>
  </si>
  <si>
    <t>http://online.wsj.com/articles/oil-futures-extend-losses-1415187523</t>
  </si>
  <si>
    <t>Tesla to Choose Nevada for Battery Factory</t>
  </si>
  <si>
    <t>d98d9d20-33a3-11e4-8453-710264d9a1f8</t>
  </si>
  <si>
    <t>http://online.wsj.com/articles/tesla-to-choose-nevada-for-battery-factory-1409773118</t>
  </si>
  <si>
    <t>Boko Haram Denies Nigeria Cease-Fire Claim</t>
  </si>
  <si>
    <t>358634d0-6224-11e4-b3d8-a32d8ec8ad5e</t>
  </si>
  <si>
    <t>http://online.wsj.com/articles/boko-haram-denies-nigeria-cease-fire-claim-1414846770</t>
  </si>
  <si>
    <t>BREAKING: Soldier shot at War Memorial in Ottawa</t>
  </si>
  <si>
    <t>8a5bbe60-59f7-11e4-aaf5-a1ddcfbcd5a9</t>
  </si>
  <si>
    <t>http://ottawacitizen.com/news/national/soldier-shot-at-war-memorial-in-ottawa</t>
  </si>
  <si>
    <t>ottawacitizen.com</t>
  </si>
  <si>
    <t>7e551950-ae15-11e4-9a23-0b6010caa867</t>
  </si>
  <si>
    <t>http://pagesix.com/2015/02/05/tom-brokaw-wants-brian-williams-fired/</t>
  </si>
  <si>
    <t>pagesix.com</t>
  </si>
  <si>
    <t>Robert Plant ripped up an 800 million contract offer to reunite Led Zeppelin</t>
  </si>
  <si>
    <t>Robert Plant ripped up 800M Led Zeppelin reunion contract</t>
  </si>
  <si>
    <t>8eece500-68fa-11e4-b528-9d5aa2d2e8e7</t>
  </si>
  <si>
    <t>9ff81aa0-68f9-11e4-b528-9d5aa2d2e8e7</t>
  </si>
  <si>
    <t>http://pagesix.com/2014/11/09/robert-plant-ripped-up-800m-led-zeppelin-reunion-contract/</t>
  </si>
  <si>
    <t>Joan Rivers doctor snapped a selfie before biopsy surgery</t>
  </si>
  <si>
    <t>9a136e70-3e09-11e4-bc0b-3f922b93930d</t>
  </si>
  <si>
    <t>http://pagesix.com/2014/09/16/joan-rivers-doctor-snapped-a-selfie-before-biopsy-surgery/</t>
  </si>
  <si>
    <t>WTC rats scare off Anna Wintour</t>
  </si>
  <si>
    <t>d58cccd0-7306-11e4-99be-fb3662a4a6dd</t>
  </si>
  <si>
    <t>http://pagesix.com/2014/11/21/anna-wintour-refuses-to-work-at-wtc-due-to-rats/?_ga=1.8184693.616992624.1411490926</t>
  </si>
  <si>
    <t>Rats are still running around at Vogue</t>
  </si>
  <si>
    <t>dc8ce080-b2f1-11e4-9a23-0b6010caa867</t>
  </si>
  <si>
    <t>http://pagesix.com/2015/02/11/theres-still-a-rat-problem-at-vogues-new-wtc-offices/</t>
  </si>
  <si>
    <t>Source: Apple set to acquire Path in an attempt to bolster iOS social cred</t>
  </si>
  <si>
    <t>734e06a0-3914-11e4-ae63-d5574342724c</t>
  </si>
  <si>
    <t>http://pando.com/2014/09/09/source-apple-set-to-acquire-path-in-an-attempt-to-bolster-ios-social-cred/</t>
  </si>
  <si>
    <t>pando.com</t>
  </si>
  <si>
    <t>Morin goes back on transparency pledge, refuses to confirm or deny report that Apple is buying Path</t>
  </si>
  <si>
    <t>aa7f48c0-3a84-11e4-825a-ad6fdaf9d74f</t>
  </si>
  <si>
    <t>http://pando.com/2014/09/10/morin-goes-back-on-transparency-pledge-refuses-to-confirm-or-deny-report-that-apple-is-buying-path/</t>
  </si>
  <si>
    <t>Taibbi takes time out from First Look after disagreements. Can I publish our emails now, Matt?</t>
  </si>
  <si>
    <t>0b829200-5edc-11e4-a887-2324afc3f9a8</t>
  </si>
  <si>
    <t>http://pando.com/2014/10/28/taibbi-takes-time-out-from-first-look-after-disagreements-can-i-publish-our-emails-now-matt/</t>
  </si>
  <si>
    <t>Did Argentina's President Adopt A Jewish Baby To Stop It From Becoming A Werewolf??</t>
  </si>
  <si>
    <t>111d3cc0-9036-11e4-9799-c7e75be2bcad</t>
  </si>
  <si>
    <t>http://perezhilton.com/2014-12-29-argentina-president-adopt-jewish-baby-save-werewolf-seventh-son/?from=post</t>
  </si>
  <si>
    <t>perezhilton.com</t>
  </si>
  <si>
    <t>This Selfless Homeless Man Receives 100 Doesn't Spend A Dime On Himself</t>
  </si>
  <si>
    <t>d45efb70-9224-11e4-9799-c7e75be2bcad</t>
  </si>
  <si>
    <t>http://perezhilton.com/2014-12-24-homeless-man-gets-100-dollars-spends-money-on-others#.VKX83orF9HE</t>
  </si>
  <si>
    <t>Was The Video Of That Homeless Man Doing Good Deeds With 100 All An Elaborate Hoax?</t>
  </si>
  <si>
    <t>32c41430-921f-11e4-9799-c7e75be2bcad</t>
  </si>
  <si>
    <t>http://perezhilton.com/2014-12-31-homeless-man-gets-100-dollars-good-deed-fake</t>
  </si>
  <si>
    <t>Joan Rivers Personal Doctor Allegedly Took A Selfie During Her Throat Procedure</t>
  </si>
  <si>
    <t>b80a0db0-3e06-11e4-bc0b-3f922b93930d</t>
  </si>
  <si>
    <t>http://perezhilton.com/2014-09-16-joan-rivers-personal-doctor-took-selfie-during-throat-procedure-anesthesia#.VBjeJS5dWLE</t>
  </si>
  <si>
    <t>Transgender Teen Commits Suicide Pens A Heartbreaking Note Urging The World To Change</t>
  </si>
  <si>
    <t>95dd15d0-905d-11e4-9799-c7e75be2bcad</t>
  </si>
  <si>
    <t>http://perezhilton.com/2014-12-30-transgender-teen-commits-suicide-pens-heartbreaking-suicide-note#.VKMCjsA8</t>
  </si>
  <si>
    <t>Media Fooled Again? Story Claims 7 of 28 Girls On School Trip Came Home Pregnant</t>
  </si>
  <si>
    <t>af4d41a0-8abf-11e4-adc5-33f8455b16a2</t>
  </si>
  <si>
    <t>http://pjmedia.com/tatler/2014/12/23/media-fooled-again/</t>
  </si>
  <si>
    <t>pjmedia.com</t>
  </si>
  <si>
    <t>Pure Evil: Islamic State Beheads American Journalist James Wright Foley</t>
  </si>
  <si>
    <t>3c75f6d0-27e7-11e4-96be-dfc0d1eebaea</t>
  </si>
  <si>
    <t>http://pjmedia.com/tatler/2014/08/19/pure-evil-islamic-state-beheads-american-journalist-james-wright-foley/</t>
  </si>
  <si>
    <t>The cub of Baghdadi: Has this boy become the youngest victim of Isis's use of child soldiers?</t>
  </si>
  <si>
    <t>4f2d1dc0-4fb1-11e4-949b-f14041b20838</t>
  </si>
  <si>
    <t>https://plus.google.com/+DonieOSullivan1/posts/1vJxsKTBAdS</t>
  </si>
  <si>
    <t>plus.google.com</t>
  </si>
  <si>
    <t>We took a look at the photo said to show the body of Islamic State leader Abu Bakr Al-Baghdadi right and found it was really an ethnic Albanian militant killed in 2013</t>
  </si>
  <si>
    <t>7a042030-36ec-11e4-ae63-d5574342724c</t>
  </si>
  <si>
    <t>https://plus.google.com/115475968265107730893/posts/5Ar6pW6t87A</t>
  </si>
  <si>
    <t>PopWatch Teenager fights for the right to be recognized as Teletubbies smiling sun-baby</t>
  </si>
  <si>
    <t>ba4f2d50-8b16-11e4-9799-c7e75be2bcad</t>
  </si>
  <si>
    <t>http://popwatch.ew.com/2014/12/23/teletubbies-baby-sun-jess-smith/</t>
  </si>
  <si>
    <t>popwatch.ew.com</t>
  </si>
  <si>
    <t>17-yr-old girl pours acid on boyfriend's penis after he leaked their sex tape</t>
  </si>
  <si>
    <t>6ed81ba0-abe3-11e4-9a23-0b6010caa867</t>
  </si>
  <si>
    <t>http://pulse.ng/gist/cruel-revenge-17-yr-old-girl-pours-acid-on-boyfriend-s-penis-after-he-leaked-their-sex-tape-id3456437.html</t>
  </si>
  <si>
    <t>pulse.ng</t>
  </si>
  <si>
    <t>Catholic priest dies for 48 mins, wakes up claiming God is a woman</t>
  </si>
  <si>
    <t>9cdf6fa0-baa0-11e4-b073-ed15c88bfa1e</t>
  </si>
  <si>
    <t>http://pulse.ng/religion/in-america-catholic-priest-dies-for-48-mins-wakes-up-claiming-god-is-a-woman-id3503570.html</t>
  </si>
  <si>
    <t>Michael Brown shooting audio caught on tape?</t>
  </si>
  <si>
    <t>43b7adf0-2d67-11e4-89c5-1d389b94bc4b</t>
  </si>
  <si>
    <t>http://q13fox.com/2014/08/26/new-clues-to-michael-browns-shooting/</t>
  </si>
  <si>
    <t>q13fox.com</t>
  </si>
  <si>
    <t>Hands up, don't shoot comes to Hong Kong's pro-democracy movement</t>
  </si>
  <si>
    <t>8fb958e0-47e1-11e4-9960-a165dd517bbb</t>
  </si>
  <si>
    <t>http://qz.com/272630/hands-up-dont-shoot-comes-to-hong-kongs-pro-democracy-protest-movement/</t>
  </si>
  <si>
    <t>qz.com</t>
  </si>
  <si>
    <t>Forty years ago, Lego wrote a powerful letter to parents about how gender works</t>
  </si>
  <si>
    <t>83462ee0-7409-11e4-99be-fb3662a4a6dd</t>
  </si>
  <si>
    <t>http://qz.com/301397/forty-years-ago-lego-explained-to-parents-why-some-boys-like-dollhouses-and-some-girls-like-spaceships/</t>
  </si>
  <si>
    <t>Vice Media's CEO blew 300,000 on dinner, and a Vegas casino boss blabbed about it</t>
  </si>
  <si>
    <t>d046bde0-b8a1-11e4-b073-ed15c88bfa1e</t>
  </si>
  <si>
    <t>http://qz.com/346940/vice-medias-ceo-blew-300000-on-dinner-and-a-vegas-casino-boss-blabbed-about-it/</t>
  </si>
  <si>
    <t>Durex shuts down rumors of a pumpkin spice condom</t>
  </si>
  <si>
    <t>326502b0-3766-11e4-ae63-d5574342724c</t>
  </si>
  <si>
    <t>http://qz.com/261233/durex-is-not-confirming-or-denying-rumors-of-a-pumpkin-spice-condom/</t>
  </si>
  <si>
    <t>In Vogue vs Rats War, the Rats Are Winning</t>
  </si>
  <si>
    <t>d4107cc0-83bf-11e4-b1b5-4f1bd36cbfc6</t>
  </si>
  <si>
    <t>http://racked.com/archives/2014/12/12/vogue-rats-anna-wintour-graydon-carter.php</t>
  </si>
  <si>
    <t>racked.com</t>
  </si>
  <si>
    <t>Disgusting Joan Rivers Doc Gwen Korovin's Sick Selfie EXPOSED Last Photo Of Comic Icon, When She Was Under Anesthesia, At Center Of Medical Investigation</t>
  </si>
  <si>
    <t>c6ae9be0-3f6b-11e4-bc0b-3f922b93930d</t>
  </si>
  <si>
    <t>http://radaronline.com/exclusives/2014/09/joan-rivers-doctor-gwen-korovin-selfie-revealed/</t>
  </si>
  <si>
    <t>radaronline.com</t>
  </si>
  <si>
    <t>Explosive New Details Of Joan Rivers Medical Crisis: Doctor Snapped Selfie With Legendary Comic Performed Unauthorized Biopsy While She Was Under Anesthesia</t>
  </si>
  <si>
    <t>3e5436d0-3e5b-11e4-bc0b-3f922b93930d</t>
  </si>
  <si>
    <t>http://radaronline.com/exclusives/2014/09/joan-rivers-doctor-selfie-biopsy/</t>
  </si>
  <si>
    <t>CNN Broadcasts Purported Audio Containing Gunshots That Felled Michael Brown Jr. Leaders, Celebrities Fill Pews At Teen's Funeral</t>
  </si>
  <si>
    <t>4b93da20-2d72-11e4-89c5-1d389b94bc4b</t>
  </si>
  <si>
    <t>http://radaronline.com/exclusives/2014/08/michael-brown-jr-riots-ferguson-missouri-tapes-audio-recording-gunshots-don-lemon/</t>
  </si>
  <si>
    <t>Michael Phelps Sex Scandal: Troubled Olympian's Girlfriend Was Born A Man</t>
  </si>
  <si>
    <t>43b96610-70db-11e4-8e10-b9c720c188ba</t>
  </si>
  <si>
    <t>http://radaronline.com/exclusives/2014/11/michael-phelps-taylor-lianne-chandler-girlfriend-born-man/</t>
  </si>
  <si>
    <t>Kimye's Fault? Anna Wintour's NYC Vogue Offices Hit With Disgusting Rat Infestation: Rat Droppings On Desks</t>
  </si>
  <si>
    <t>eb1e14e0-7307-11e4-99be-fb3662a4a6dd</t>
  </si>
  <si>
    <t>http://radaronline.com/exclusives/2014/11/anna-wintour-vogue-rat-infestation/?utm_source=skimlinks.com&amp;utm_medium=referral&amp;utm_campaign=skimlinks.com</t>
  </si>
  <si>
    <t>Another Victim? Raven-Symon Reveals What Really Happened On Cosby Show Set</t>
  </si>
  <si>
    <t>06b3b420-705c-11e4-8e10-b9c720c188ba</t>
  </si>
  <si>
    <t>http://radaronline.com/exclusives/2014/11/bill-cosby-sex-scandal-claims-raven-symone-the-cosby-show/</t>
  </si>
  <si>
    <t>Saudi Airline Considering Separating Passengers By Gender</t>
  </si>
  <si>
    <t>c7eff3f0-947a-11e4-b6bf-fdc8b7e3bcff</t>
  </si>
  <si>
    <t>http://radio.foxnews.com/2015/01/03/saudi-airline-considering-separating-passengers-by-gender/</t>
  </si>
  <si>
    <t>radio.foxnews.com</t>
  </si>
  <si>
    <t>Watch: ISIS Claims to Have Captured U.S. Airdropped Weapons</t>
  </si>
  <si>
    <t>f67b39b0-5964-11e4-aaf5-a1ddcfbcd5a9</t>
  </si>
  <si>
    <t>http://reason.com/24-7/2014/10/21/watch-isis-claims-to-have-captured-us-ai</t>
  </si>
  <si>
    <t>reason.com</t>
  </si>
  <si>
    <t>CodeRed: Apple Watch Battery Life Charge Nightly</t>
  </si>
  <si>
    <t>1324a130-c299-11e4-8747-5b024dd6dd6c</t>
  </si>
  <si>
    <t>http://recode.net/2014/09/10/codered-apple-watch-battery-life-charge-nightly/</t>
  </si>
  <si>
    <t>recode.net</t>
  </si>
  <si>
    <t>Apple's Beats Music Brand May Go Away. Apple's Beats Music Service is Sticking Around.</t>
  </si>
  <si>
    <t>08dbce90-4299-11e4-9e78-ff09d5b0049d</t>
  </si>
  <si>
    <t>http://recode.net/2014/09/22/apples-beats-music-brand-may-go-away-apples-beats-music-service-is-sticking-around/</t>
  </si>
  <si>
    <t>Doctors confirmed the first case of death from ingesting GMOs</t>
  </si>
  <si>
    <t>09165410-c602-11e4-883c-a7fa7a3c5066</t>
  </si>
  <si>
    <t>http://reseauinternational.net/des-medecins-confirment-le-premier-cas-de-deces-lie-a-lingestion-dogm/</t>
  </si>
  <si>
    <t>reseauinternational.net</t>
  </si>
  <si>
    <t>Saudi national airline may introduce gender segregation on its flights</t>
  </si>
  <si>
    <t>7ea8afb0-947b-11e4-b6bf-fdc8b7e3bcff</t>
  </si>
  <si>
    <t>http://rt.com/news/219283-saudi-airline-gender-segregation/</t>
  </si>
  <si>
    <t>rt.com</t>
  </si>
  <si>
    <t>ISIS organ harvesting must be probed by Security Council Iraqi envoy</t>
  </si>
  <si>
    <t>8e968d60-b777-11e4-8507-b58af63d1078</t>
  </si>
  <si>
    <t>http://rt.com/news/233295-isis-organ-harvesting-unsc/</t>
  </si>
  <si>
    <t>Islamic State militants claim to behead missing American journalist</t>
  </si>
  <si>
    <t>739416b0-2805-11e4-a916-bf0b27b73ad5</t>
  </si>
  <si>
    <t>http://rt.com/usa/181484-islamic-state-beheads-american-journalism/</t>
  </si>
  <si>
    <t>Palestine accuses Israel of opening dams, flooding Gaza, forcing evacuations</t>
  </si>
  <si>
    <t>da0da5c0-bc5f-11e4-b073-ed15c88bfa1e</t>
  </si>
  <si>
    <t>http://rt.com/news/234611-israel-dam-floodgates-gaza/</t>
  </si>
  <si>
    <t>Jihadi John identified: ISIS killer named as Mohammed Emwazi from West London</t>
  </si>
  <si>
    <t>76e109a0-bdb4-11e4-b073-ed15c88bfa1e</t>
  </si>
  <si>
    <t>http://rt.com/uk/235727-jihadi-john-identified-londoner/</t>
  </si>
  <si>
    <t>Large space object slams Nicaragua's capital as asteroid passes Earth</t>
  </si>
  <si>
    <t>d57395c0-383d-11e4-ae63-d5574342724c</t>
  </si>
  <si>
    <t>http://rt.com/news/185844-nicaragua-meteorite-managua-airport/</t>
  </si>
  <si>
    <t>ISIS chlorine attack on security forces confirmed Iraq officials</t>
  </si>
  <si>
    <t>8f5aab30-5b76-11e4-a887-2324afc3f9a8</t>
  </si>
  <si>
    <t>http://rt.com/news/198796-isis-chlorine-attack-report/</t>
  </si>
  <si>
    <t>ISIS cracks down on five confirmed Ebola cases among fighters: official</t>
  </si>
  <si>
    <t>4fcac760-954c-11e4-87a8-1d5d45e62193</t>
  </si>
  <si>
    <t>http://rudaw.net/english/middleeast/iraq/04012015</t>
  </si>
  <si>
    <t>rudaw.net</t>
  </si>
  <si>
    <t>Hugh Hefner Dead Rumors Not True</t>
  </si>
  <si>
    <t>8d3a1d70-8f71-11e4-9799-c7e75be2bcad</t>
  </si>
  <si>
    <t>http://rumorfix.com/2014/12/hugh-hefner-dead-rumors-not-true/</t>
  </si>
  <si>
    <t>rumorfix.com</t>
  </si>
  <si>
    <t>Zack Snyder Makes Fun of Stolen Batmobile Rumor with New Image</t>
  </si>
  <si>
    <t>89ca3290-3c44-11e4-bc0b-3f922b93930d</t>
  </si>
  <si>
    <t>http://screenrant.com/batman-v-superman-stolen-batmobile-zack-snyder-image/</t>
  </si>
  <si>
    <t>screenrant.com</t>
  </si>
  <si>
    <t>Scorpion Sting Delays Oregon State Flight</t>
  </si>
  <si>
    <t>e4bca010-b6cf-11e4-8507-b58af63d1078</t>
  </si>
  <si>
    <t>http://seattle.cbslocal.com/2015/02/16/scorpion-sting-delays-oregon-state-flight/</t>
  </si>
  <si>
    <t>seattle.cbslocal.com</t>
  </si>
  <si>
    <t>Apple Watch to sell 15M units in 2015 and ignite global smartwatch market</t>
  </si>
  <si>
    <t>8475c090-c41e-11e4-883c-a7fa7a3c5066</t>
  </si>
  <si>
    <t>http://siliconangle.com/blog/2015/03/06/apple-watch-to-sell-15m-units-in-2015-and-ignite-global-smartwatch-market/</t>
  </si>
  <si>
    <t>siliconangle.com</t>
  </si>
  <si>
    <t>The NHL will announce an expansion to Las Vegas in 2014</t>
  </si>
  <si>
    <t>NHL expansion to include Toronto, Quebec City, Seattle and Las Vegas: Report</t>
  </si>
  <si>
    <t>40192a30-2e06-11e4-89c5-1d389b94bc4b</t>
  </si>
  <si>
    <t>582341d0-2e04-11e4-89c5-1d389b94bc4b</t>
  </si>
  <si>
    <t>http://slam.canoe.ca/Slam/Hockey/NHL/2014/08/26/21900441.html</t>
  </si>
  <si>
    <t>slam.canoe.ca</t>
  </si>
  <si>
    <t>Macaulay Culkin Dead? Another Death Hoax Circulates On Facebook</t>
  </si>
  <si>
    <t>4f9b4420-67b3-11e4-b528-9d5aa2d2e8e7</t>
  </si>
  <si>
    <t>http://socialnewsdaily.com/45032/macaulay-culkin-dead-another-death-hoax-circulates-on-facebook/</t>
  </si>
  <si>
    <t>socialnewsdaily.com</t>
  </si>
  <si>
    <t>Dylan Thomas Finds Tropical Spider Burrowed Under Skin</t>
  </si>
  <si>
    <t>3435d280-565c-11e4-aaf5-a1ddcfbcd5a9</t>
  </si>
  <si>
    <t>http://socialnewsdaily.com/44352/dylan-thomas-finds-tropical-spider-burrowed-under-skin/</t>
  </si>
  <si>
    <t>Bugatti Veyron Vandalized With Penis Graffiti? Viral Photo Isn't What It Seems</t>
  </si>
  <si>
    <t>8efa3ca0-4ffa-11e4-b6a0-9705a8f94440</t>
  </si>
  <si>
    <t>http://socialnewsdaily.com/44112/bugatti-veyron-vandalized-with-penis-graffiti-viral-photo-isnt-what-it-seems/</t>
  </si>
  <si>
    <t>Video: Marine survives Taliban sniper headshot thanks to helmet</t>
  </si>
  <si>
    <t>2b52e460-5543-11e4-b6a0-9705a8f94440</t>
  </si>
  <si>
    <t>http://sploid.gizmodo.com/scary-video-marine-survives-taliban-sniper-headshot-th-1647002116</t>
  </si>
  <si>
    <t>sploid.gizmodo.com</t>
  </si>
  <si>
    <t>Four new NHL expansion teams? Vegas, Seattle, Toronto and Quebec by 2017: Report</t>
  </si>
  <si>
    <t>867116b0-2e05-11e4-89c5-1d389b94bc4b</t>
  </si>
  <si>
    <t>http://sports.yahoo.com/blogs/nhl-puck-daddy/nhl-expansion-to-las-vegas-and-the-dumb-deal-on--done-deal-065603703.html</t>
  </si>
  <si>
    <t>sports.yahoo.com</t>
  </si>
  <si>
    <t>South African dog fighters forced children to mimic dog fighting, placed bets</t>
  </si>
  <si>
    <t>UPDATE: Children used as dogs in fights</t>
  </si>
  <si>
    <t>60e1e010-a1d1-11e4-a353-5b831fe927be</t>
  </si>
  <si>
    <t>d52f2890-a1ce-11e4-a353-5b831fe927be</t>
  </si>
  <si>
    <t>http://springsadvertiser.co.za/109532/update-children-used-dogs-fights/</t>
  </si>
  <si>
    <t>springsadvertiser.co.za</t>
  </si>
  <si>
    <t>Vice CEO Throws Down 300K on Lavish Vegas Dinner</t>
  </si>
  <si>
    <t>e3714bb0-b88d-11e4-b073-ed15c88bfa1e</t>
  </si>
  <si>
    <t>http://sputniknews.com/news/20150219/1018455754.html</t>
  </si>
  <si>
    <t>sputniknews.com</t>
  </si>
  <si>
    <t>Alleged New Audio of Michael Brown Shooting</t>
  </si>
  <si>
    <t>3f0712a0-2d71-11e4-89c5-1d389b94bc4b</t>
  </si>
  <si>
    <t>http://stlouis.cbslocal.com/2014/08/26/report-alleged-new-audio-of-michael-brown-shooting/</t>
  </si>
  <si>
    <t>stlouis.cbslocal.com</t>
  </si>
  <si>
    <t>Pregnant Woman Loses Eye During Ferguson Riots After Officer Shoots Bean Bag Round At Car</t>
  </si>
  <si>
    <t>763cd260-773f-11e4-94c6-4131d5b705e4</t>
  </si>
  <si>
    <t>http://stlouis.cbslocal.com/2014/11/28/pregnant-woman-loses-eye-during-ferguson-riots-after-officer-shoots-bean-bag-round-at-car/</t>
  </si>
  <si>
    <t>Islamic State executed two of its militants in the city of al- Bokamal.</t>
  </si>
  <si>
    <t>54f31c40-552f-11e4-b6a0-9705a8f94440</t>
  </si>
  <si>
    <t>http://syriahr.com/en/2014/09/islamic-state-executed-two-of-its-militants-in-the-city-of-al-bokamal/</t>
  </si>
  <si>
    <t>syriahr.com</t>
  </si>
  <si>
    <t>New Audio Recording From Ferguson May Capture Michael Brown Shooting</t>
  </si>
  <si>
    <t>590954f0-2d68-11e4-89c5-1d389b94bc4b</t>
  </si>
  <si>
    <t>http://talkingpointsmemo.com/livewire/audio-allegedly-shows-at-least-10-shots-fired-michael-brown</t>
  </si>
  <si>
    <t>talkingpointsmemo.com</t>
  </si>
  <si>
    <t>ISIS Reportedly Beheads A Second American Journalist</t>
  </si>
  <si>
    <t>440ed160-32c7-11e4-8453-710264d9a1f8</t>
  </si>
  <si>
    <t>http://talkingpointsmemo.com/livewire/steven-sotloff-isis-murder</t>
  </si>
  <si>
    <t>Florida Woman Has Surgery To Add Third Breast To Her Chest</t>
  </si>
  <si>
    <t>1c82e8f0-4291-11e4-9e78-ff09d5b0049d</t>
  </si>
  <si>
    <t>http://tampa.cbslocal.com/2014/09/22/florida-woman-has-surgery-to-add-third-breast-to-her-chest/</t>
  </si>
  <si>
    <t>tampa.cbslocal.com</t>
  </si>
  <si>
    <t>Woman Who Claimed To Have Surgery To Add Third Breast Exposed As Hoaxer</t>
  </si>
  <si>
    <t>107190d0-6c02-11e4-b528-9d5aa2d2e8e7</t>
  </si>
  <si>
    <t>http://tampa.cbslocal.com/2014/09/23/woman-who-claimed-to-have-surgery-to-add-third-breast-exposed-as-hoaxer/</t>
  </si>
  <si>
    <t>LG Display, Samsung unit to supply Apple Watch screens: Report</t>
  </si>
  <si>
    <t>09b9bbf0-c210-11e4-8747-5b024dd6dd6c</t>
  </si>
  <si>
    <t>http://tech.firstpost.com/news-analysis/lg-display-samsung-unit-to-supply-apple-watch-screens-report-256894.html</t>
  </si>
  <si>
    <t>tech.firstpost.com</t>
  </si>
  <si>
    <t>The Next MacBook Air Will Be A 12-Inch Beauty With An Edge-To-Edge Keyboard</t>
  </si>
  <si>
    <t>8b91c470-969f-11e4-87a8-1d5d45e62193</t>
  </si>
  <si>
    <t>http://techcrunch.com/2015/01/06/the-next-macbook-air-will-be-a-12-inch-beauty-with-an-edge-to-edge-keyboard/</t>
  </si>
  <si>
    <t>techcrunch.com</t>
  </si>
  <si>
    <t>Apple Plans To Shut Down Beats Music</t>
  </si>
  <si>
    <t>dd0b20f0-4292-11e4-9e78-ff09d5b0049d</t>
  </si>
  <si>
    <t>http://techcrunch.com/2014/09/22/apple-plans-to-shut-down-beats-music/</t>
  </si>
  <si>
    <t>The Washington Post is developing a new app that will be pre-installed on the new Kindle Fire</t>
  </si>
  <si>
    <t>The Washington Post Is Now Free On Amazon Kindles</t>
  </si>
  <si>
    <t>0c3ff060-54dd-11e4-b6a0-9705a8f94440</t>
  </si>
  <si>
    <t>0a4804e0-4d72-11e4-949b-f14041b20838</t>
  </si>
  <si>
    <t>http://techcrunch.com/2014/10/06/the-washington-post-is-now-free-on-amazon-kindles/</t>
  </si>
  <si>
    <t>The gold Apple Watch Edition will cost 1,200</t>
  </si>
  <si>
    <t>The Gold Apple Watch Could Cost As Much As 1,200</t>
  </si>
  <si>
    <t>00f14460-c34c-11e4-8747-5b024dd6dd6c</t>
  </si>
  <si>
    <t>f45dd0b0-c34b-11e4-8747-5b024dd6dd6c</t>
  </si>
  <si>
    <t>http://techcrunch.com/2014/09/12/the-gold-apple-watch-could-cost-as-much-as-1200/</t>
  </si>
  <si>
    <t>A federal judge ruled that black women do not have independent naming rights for their children</t>
  </si>
  <si>
    <t>Federal Judge: Enough With the Stupid Names</t>
  </si>
  <si>
    <t>3e490090-ae17-11e4-9a23-0b6010caa867</t>
  </si>
  <si>
    <t>8343ce10-ae16-11e4-9a23-0b6010caa867</t>
  </si>
  <si>
    <t>http://the-peoplesnews.com/2008/03/02/federal-judge-enough-with-the-stupid-names/</t>
  </si>
  <si>
    <t>the-peoplesnews.com</t>
  </si>
  <si>
    <t>KFC Locations In Colorado To Begin Selling Marijuana</t>
  </si>
  <si>
    <t>7ca84bd0-c2de-11e4-8747-5b024dd6dd6c</t>
  </si>
  <si>
    <t>http://theantimedia.org/kfc-locations-in-colorado-to-begin-selling-marijuana/</t>
  </si>
  <si>
    <t>theantimedia.org</t>
  </si>
  <si>
    <t>Jose Canseco Accidentally Shot Himself in the Hand UPDATE - Shot Off Middle Finger</t>
  </si>
  <si>
    <t>1b4b7b70-5f0e-11e4-a887-2324afc3f9a8</t>
  </si>
  <si>
    <t>http://thebiglead.com/2014/10/28/jose-canseco-accidentally-shot-himself-in-the-hand/</t>
  </si>
  <si>
    <t>thebiglead.com</t>
  </si>
  <si>
    <t>PGA Spokesman and Tiger Woods Agent Deny Drug Suspension Allegations</t>
  </si>
  <si>
    <t>25f4fd00-c104-11e4-8747-5b024dd6dd6c</t>
  </si>
  <si>
    <t>http://thebiglead.com/2015/03/02/pga-spokesman-and-tiger-woods-agent-deny-drug-suspension-allegations/</t>
  </si>
  <si>
    <t>Did NBC Nightly News Go Live To A Man Who Was Taking A Piss?</t>
  </si>
  <si>
    <t>b9a52680-645a-11e4-b3d8-a32d8ec8ad5e</t>
  </si>
  <si>
    <t>http://theconcourse.deadspin.com/did-nbc-nightly-news-go-live-to-a-man-who-was-taking-a-1653677899</t>
  </si>
  <si>
    <t>theconcourse.deadspin.com</t>
  </si>
  <si>
    <t>Kim Jong-Un's Sister Takes Control in North Korea</t>
  </si>
  <si>
    <t>81463560-4b26-11e4-9960-a165dd517bbb</t>
  </si>
  <si>
    <t>http://thediplomat.com/2014/10/kim-jong-uns-sister-takes-control-in-north-korea/</t>
  </si>
  <si>
    <t>thediplomat.com</t>
  </si>
  <si>
    <t>Former PGA Tour player: Tiger Woods suspended for drug test failure</t>
  </si>
  <si>
    <t>5b67ddb0-c0fd-11e4-8747-5b024dd6dd6c</t>
  </si>
  <si>
    <t>http://thegolfnewsnet.com/golfnewsnetteam/2015/03/02/pga-tour-player-tiger-woods-suspended-drug-test-failure-9987/</t>
  </si>
  <si>
    <t>thegolfnewsnet.com</t>
  </si>
  <si>
    <t>EXCLUSIVE: Apple To Unveil The Long-Awaited Retina MacBook Air At Its Spring Forward Event</t>
  </si>
  <si>
    <t>ebaa7d90-c370-11e4-9435-a96703525a9e</t>
  </si>
  <si>
    <t>http://themichaelreport.com/2015/03/04/exclusive-retina-macbook-air-spring-forward/</t>
  </si>
  <si>
    <t>themichaelreport.com</t>
  </si>
  <si>
    <t>Back-from-the-dead Catholic priest claims God is a female...</t>
  </si>
  <si>
    <t>daf1faf0-baa1-11e4-b073-ed15c88bfa1e</t>
  </si>
  <si>
    <t>http://thenet.ng/2015/02/net-extra-back-from-the-dead-catholic-priest-claims-god-is-a-female/</t>
  </si>
  <si>
    <t>thenet.ng</t>
  </si>
  <si>
    <t>The Apple Watch will launch outside the US in April too</t>
  </si>
  <si>
    <t>483afe50-c1b3-11e4-8747-5b024dd6dd6c</t>
  </si>
  <si>
    <t>http://thenextweb.com/insider/2015/03/02/the-apple-watch-will-launch-outside-the-us-in-april-too/</t>
  </si>
  <si>
    <t>thenextweb.com</t>
  </si>
  <si>
    <t>Seth Rogen reported to play Woz in the upcoming Steve Jobs movie</t>
  </si>
  <si>
    <t>9a5d7740-611d-11e4-b6e9-e5f029e25965</t>
  </si>
  <si>
    <t>http://thenextweb.com/insider/2014/10/30/seth-rogen-reported-play-woz-upcoming-steve-jobs-movie/</t>
  </si>
  <si>
    <t>KFC Gets Occupational Business License To Sell Marijuana In Colorado Restaurants KFC Gets Occupational Business License To Sell Marijuana In Colorado Restaurants</t>
  </si>
  <si>
    <t>147461d0-c2dd-11e4-8747-5b024dd6dd6c</t>
  </si>
  <si>
    <t>http://theracketreport.com/kfc-gets-occupational-business-license-to-sell-marijuana-in-colorado-restaurants/</t>
  </si>
  <si>
    <t>theracketreport.com</t>
  </si>
  <si>
    <t>Update: Frisco paramedics transporting patient believed to be exhibiting Ebola-like symptoms</t>
  </si>
  <si>
    <t>eeb3e9f0-4f25-11e4-949b-f14041b20838</t>
  </si>
  <si>
    <t>http://thescoopblog.dallasnews.com/2014/10/frisco-officials-say-patient-exhibiting-ebola-like-symptoms-claims-to-have-had-contact-with-thomas-eric-duncan.html/</t>
  </si>
  <si>
    <t>thescoopblog.dallasnews.com</t>
  </si>
  <si>
    <t>A Pregnant Woman Has Lost Her Eye After Being Shot W Bean Bag In Ferguson</t>
  </si>
  <si>
    <t>f6aa2160-773e-11e4-94c6-4131d5b705e4</t>
  </si>
  <si>
    <t>http://thesource.com/2014/11/28/a-pregnant-woman-has-lost-her-eye-after-being-shot-w-rubber-bullet-in-ferguson/</t>
  </si>
  <si>
    <t>thesource.com</t>
  </si>
  <si>
    <t>Amazon is opening its first physical store</t>
  </si>
  <si>
    <t>d862ded0-4fe9-11e4-b6a0-9705a8f94440</t>
  </si>
  <si>
    <t>http://theweek.com/speedreads/index/269609/speedreads-amazon-is-opening-its-first-physical-store</t>
  </si>
  <si>
    <t>theweek.com</t>
  </si>
  <si>
    <t>Justin Bieber ringtone saves man being mauled by bear</t>
  </si>
  <si>
    <t>2c79fce0-1ce8-11e4-8c09-cd48fe37674e</t>
  </si>
  <si>
    <t>http://theweek.com/speedreads/index/265866/speedreads-justin-bieber-ringtone-saves-man-being-mauled-by-bear</t>
  </si>
  <si>
    <t>No, a bird didn't poop on Vladimir Putin</t>
  </si>
  <si>
    <t>53d05f20-1c00-11e4-8c09-cd48fe37674e</t>
  </si>
  <si>
    <t>http://theweek.com/speedreads/index/265763/speedreads-no-a-bird-didnt-poop-on-vladimir-putin</t>
  </si>
  <si>
    <t>The US threatened to prosecute the family of slain journalist James Foley</t>
  </si>
  <si>
    <t>White House denies it threatened families of slain American journalists</t>
  </si>
  <si>
    <t>762027b0-42ff-11e4-9e78-ff09d5b0049d</t>
  </si>
  <si>
    <t>e25b87a0-3b96-11e4-bc0b-3f922b93930d</t>
  </si>
  <si>
    <t>http://theweek.com/speedreads/index/268110/speedreads-white-house-denies-it-threatened-families-of-slain-american-journalists</t>
  </si>
  <si>
    <t>Florida woman reportedly gets third breast surgically implanted</t>
  </si>
  <si>
    <t>3289a490-4291-11e4-9e78-ff09d5b0049d</t>
  </si>
  <si>
    <t>http://theweek.com/speedreads/index/268531/speedreads-florida-woman-gets-third-breast-implanted</t>
  </si>
  <si>
    <t>DNA Tests Confirm Lebanon Is Holding ISIS Leader's Child</t>
  </si>
  <si>
    <t>b9a6e250-7d13-11e4-8faa-9748b2fc07a1</t>
  </si>
  <si>
    <t>http://time.com/3619718/isis-al-baghdadi-wife-child-dna/</t>
  </si>
  <si>
    <t>time.com</t>
  </si>
  <si>
    <t>Sugarhill Gang Rapper Big Bank Hank Dies at 57</t>
  </si>
  <si>
    <t>6ce6f8d0-69de-11e4-b528-9d5aa2d2e8e7</t>
  </si>
  <si>
    <t>http://time.com/3578591/big-bank-hank-sugarhill-gang-dies/</t>
  </si>
  <si>
    <t>WATCH: Bird Launches Airstrike on Putin's Shoulder UPDATED</t>
  </si>
  <si>
    <t>b5402d90-1bff-11e4-8c09-cd48fe37674e</t>
  </si>
  <si>
    <t>http://time.com/3079511/vladimir-putin-bird-poop/</t>
  </si>
  <si>
    <t>High School Student Rumored to Have Made 72 Million Trading Stocks</t>
  </si>
  <si>
    <t>adfa5c80-84c4-11e4-b1b5-4f1bd36cbfc6</t>
  </si>
  <si>
    <t>http://time.com/money/3633433/72-million-high-school-stock-trader/</t>
  </si>
  <si>
    <t>Video Shows Beheading of American Journalist</t>
  </si>
  <si>
    <t>beabe720-2802-11e4-a916-bf0b27b73ad5</t>
  </si>
  <si>
    <t>https://time.com/3145747/james-foley-isis-iraq-steven-sotloff/</t>
  </si>
  <si>
    <t>Newly Discovered Mass Grave Linked to Missing Mexican Students</t>
  </si>
  <si>
    <t>3dc10c40-4cb9-11e4-949b-f14041b20838</t>
  </si>
  <si>
    <t>http://time.com/3471796/mexico-missing-students-mass-grave/?utm_source=twitterfeed&amp;utm_medium=twitter&amp;utm_campaign=Feed%3A+time%2Fworld+%28TIME%3A+Top+World+Stories%29</t>
  </si>
  <si>
    <t>Here Are the 2 Places Left Where You Can Find That Taste of the 90s, McDonald's Pizza</t>
  </si>
  <si>
    <t>f70ad540-a7e1-11e4-a43b-f10f6756f801</t>
  </si>
  <si>
    <t>http://time.com/3675896/mcdonalds-pizza-millennials-90s/</t>
  </si>
  <si>
    <t>See the Crater a Meteorite Made in Nicaragua</t>
  </si>
  <si>
    <t>89061c30-3847-11e4-ae63-d5574342724c</t>
  </si>
  <si>
    <t>http://time.com/3302473/see-the-crater-a-meteorite-made-in-nicaragua/</t>
  </si>
  <si>
    <t>Marijuana May Soon Spark Just a Ticket in New York</t>
  </si>
  <si>
    <t>43695ba0-6917-11e4-b528-9d5aa2d2e8e7</t>
  </si>
  <si>
    <t>http://time.com/3575707/marijuana-pot-arrest-ticket-new-york/</t>
  </si>
  <si>
    <t>No, That Wasn't Paul Rudd Tackling an Airport Homophobe</t>
  </si>
  <si>
    <t>87bb0670-5e16-11e4-a887-2324afc3f9a8</t>
  </si>
  <si>
    <t>http://time.com/3542013/paul-rudd-airport-homophobe-scuffle/</t>
  </si>
  <si>
    <t>Watch Two Guys Appear to Get Tricked Into Catcalling Their Own Moms</t>
  </si>
  <si>
    <t>25067950-a660-11e4-aa4f-ff16e52e0d56</t>
  </si>
  <si>
    <t>http://time.com/3683643/cat-callers-disguise-lima-moms-peru-sexual-harassment/</t>
  </si>
  <si>
    <t>Guantanamo Detainee Exchanged for American POW Attempts a Return to Battle</t>
  </si>
  <si>
    <t>f6bd4e40-a8a1-11e4-a133-7514623ae047</t>
  </si>
  <si>
    <t>http://time.com/3689193/ex-gitmo-detainee-trying-to-return-to-battle/</t>
  </si>
  <si>
    <t>Time Capsule from Paul Revere and Samuel Adams Discovered in Boston</t>
  </si>
  <si>
    <t>a59ec880-8287-11e4-b1b5-4f1bd36cbfc6</t>
  </si>
  <si>
    <t>http://time.com/3631454/time-capsule-boston/</t>
  </si>
  <si>
    <t>Woman Spends Entire Week In KFC After Getting Dumped By Her Boyfriend</t>
  </si>
  <si>
    <t>e49c45b0-9ff8-11e4-a353-5b831fe927be</t>
  </si>
  <si>
    <t>http://time.com/3531520/woman-spends-week-in-kfc-after-getting-dumped/</t>
  </si>
  <si>
    <t>ISIS Leader Injured in Air Strike, Iraqi Officials Say</t>
  </si>
  <si>
    <t>8f34efb0-68e8-11e4-b528-9d5aa2d2e8e7</t>
  </si>
  <si>
    <t>http://time.com/3574895/isis-leader-injured-abu-bakr-al-baghdadi/</t>
  </si>
  <si>
    <t>Aaron Sorkin Confirms Christian Bale Will Play Steve Jobs</t>
  </si>
  <si>
    <t>f24dcc10-5ab6-11e4-aaf5-a1ddcfbcd5a9</t>
  </si>
  <si>
    <t>http://time.com/3533899/steve-jobs-christian-bale-sorkin/</t>
  </si>
  <si>
    <t>Nigeria Says Boko Haram Cease-Fire May Lead to Release of Kidnapped Girls</t>
  </si>
  <si>
    <t>f4f01e30-5635-11e4-aaf5-a1ddcfbcd5a9</t>
  </si>
  <si>
    <t>http://time.com/3516883/boko-haram-cease-fire-nigeria-school-girls/</t>
  </si>
  <si>
    <t>DNA test confirms child is IS head Abu Bakr al-Baghdadi's daughter</t>
  </si>
  <si>
    <t>d041d770-7c3e-11e4-b794-93ed794d7b91</t>
  </si>
  <si>
    <t>http://timesofindia.indiatimes.com/world/middle-east/DNA-test-confirms-child-is-IS-head-Abu-Bakr-al-Baghdadis-daughter/articleshow/45374080.cms</t>
  </si>
  <si>
    <t>timesofindia.indiatimes.com</t>
  </si>
  <si>
    <t>New iOS 8 bug can delete all of your iCloud documents</t>
  </si>
  <si>
    <t>ac736320-48d3-11e4-9960-a165dd517bbb</t>
  </si>
  <si>
    <t>http://timesofindia.indiatimes.com/tech/tech-news/New-iOS-8-bug-can-delete-all-of-your-iCloud-documents/articleshow/43911969.cms</t>
  </si>
  <si>
    <t>Next-generation Apple iPhones features leaked</t>
  </si>
  <si>
    <t>61b257f0-9dca-11e4-a353-5b831fe927be</t>
  </si>
  <si>
    <t>http://timesofindia.indiatimes.com/tech/tech-news/Next-generation-Apple-iPhones-features-leaked/articleshow/45899755.cms</t>
  </si>
  <si>
    <t>Nasa's six days of total darkness in December 2014 is a hoax</t>
  </si>
  <si>
    <t>8780f5b0-5efd-11e4-a887-2324afc3f9a8</t>
  </si>
  <si>
    <t>http://timesofindia.indiatimes.com/home/science/Nasas-six-days-of-total-darkness-in-December-2014-is-a-hoax/articleshow/44963012.cms</t>
  </si>
  <si>
    <t>An Indian bride married a guest at her wedding after her fiance had a seizure and collapsed</t>
  </si>
  <si>
    <t>Groom unwell, bride weds guest in fit of rage</t>
  </si>
  <si>
    <t>81a2a0d0-b790-11e4-8507-b58af63d1078</t>
  </si>
  <si>
    <t>1a2eef00-b78e-11e4-8507-b58af63d1078</t>
  </si>
  <si>
    <t>http://timesofindia.indiatimes.com/City/Bareilly/Groom-unwell-bride-weds-guest-in-fit-of-rage/articleshow/46277810.cms</t>
  </si>
  <si>
    <t>Rumors of ISIS leader's death debunked</t>
  </si>
  <si>
    <t>85d33980-384c-11e4-ae63-d5574342724c</t>
  </si>
  <si>
    <t>http://townhall.com/news/around-the-web/2014/09/08/rumors-of-isis-leaders-death-debunked-n1888740</t>
  </si>
  <si>
    <t>townhall.com</t>
  </si>
  <si>
    <t>BREAKING: ISIS Beheads American Journalist James Wright Foley</t>
  </si>
  <si>
    <t>5839ede0-2800-11e4-a916-bf0b27b73ad5</t>
  </si>
  <si>
    <t>http://townhall.com/tipsheet/katiepavlich/2014/08/19/isis-beheads-american-journalist-n1880674</t>
  </si>
  <si>
    <t>A man got completely naked when passing through metal detectors at a Russian airport</t>
  </si>
  <si>
    <t>Airport worker strips naked at security scanner in protest against guards</t>
  </si>
  <si>
    <t>237c9780-b6d3-11e4-8507-b58af63d1078</t>
  </si>
  <si>
    <t>0eaf62c0-b6d2-11e4-8507-b58af63d1078</t>
  </si>
  <si>
    <t>http://travel.aol.co.uk/2015/02/17/airport-worker-strips-naked-security-scanner-protest-guards/</t>
  </si>
  <si>
    <t>travel.aol.co.uk</t>
  </si>
  <si>
    <t>Managua explosion not a meteorite, NASA suggests</t>
  </si>
  <si>
    <t>ced882c0-38fb-11e4-ae63-d5574342724c</t>
  </si>
  <si>
    <t>http://tucson.com/news/blogs/scientific-bent/managua-explosion-not-a-meteorite-nasa-suggests/article_25bb169c-e643-59f6-ab2f-f52c94f571c1.html</t>
  </si>
  <si>
    <t>tucson.com</t>
  </si>
  <si>
    <t>Was James Foley's murderer released from Guantanamo Bay?</t>
  </si>
  <si>
    <t>19d13540-2a0d-11e4-a916-bf0b27b73ad5</t>
  </si>
  <si>
    <t>http://twitchy.com/2014/08/20/was-james-foleys-murderer-released-from-guantanamo-bay/</t>
  </si>
  <si>
    <t>twitchy.com</t>
  </si>
  <si>
    <t>Evil straight from the pits of hell: American journalist James Foley reportedly beheaded by ISIS</t>
  </si>
  <si>
    <t>043a2130-27e5-11e4-96be-dfc0d1eebaea</t>
  </si>
  <si>
    <t>http://twitchy.com/2014/08/19/evil-straight-from-the-pits-of-hell-american-journalist-james-foley-reportedly-beheaded-by-isis/</t>
  </si>
  <si>
    <t>A photo shows Vladimir Putin traveled in a penis-shaped motorcade</t>
  </si>
  <si>
    <t>Evocative shape: Is Vladimir Putin trolling the world with his motorcade formation?</t>
  </si>
  <si>
    <t>e0564f30-68f0-11e4-b528-9d5aa2d2e8e7</t>
  </si>
  <si>
    <t>7bbd97e0-68f0-11e4-b528-9d5aa2d2e8e7</t>
  </si>
  <si>
    <t>http://twitchy.com/2014/11/08/evocative-shape-is-vladimir-putin-trolling-the-world-with-his-motorcade-formation/</t>
  </si>
  <si>
    <t>Michelle Obama's Hair Appeared Totally Uncensored on Saudi TV</t>
  </si>
  <si>
    <t>381513b0-a699-11e4-aa4f-ff16e52e0d56</t>
  </si>
  <si>
    <t>antiviral.gawker.com/michelle-obamas-hair-appeared-totally-uncensored-on-sau-1682141292?utm_source=dlvr.it&amp;utm_medium=twitter</t>
  </si>
  <si>
    <t>twitter</t>
  </si>
  <si>
    <t>Islamic State, in video titled A Message to America, beheads American journalist James Wright Foley who was kidnapped in 2012</t>
  </si>
  <si>
    <t>3c93f860-27e2-11e4-96be-dfc0d1eebaea</t>
  </si>
  <si>
    <t>https://twitter.com/BNONews/status/501831309065715712</t>
  </si>
  <si>
    <t>twitter.com</t>
  </si>
  <si>
    <t>BREAKING: Islamic State, in video, beheads American journalist James Wright Foley who was kidnapped in 2012 -BNONews</t>
  </si>
  <si>
    <t>61f955a0-27e2-11e4-96be-dfc0d1eebaea</t>
  </si>
  <si>
    <t>https://twitter.com/World_Mic/status/501832582884249601</t>
  </si>
  <si>
    <t>ISIS beheads photojournalist James Wright Foley in a massage to US to end its intervention in Iraq.</t>
  </si>
  <si>
    <t>bd4e55f0-27e1-11e4-96be-dfc0d1eebaea</t>
  </si>
  <si>
    <t>https://twitter.com/zaidbenjamin/status/501827465032237056</t>
  </si>
  <si>
    <t>Islamic State releases video of beheading of U.S. hostage Steven Sotloff: site intelligence monitoring service</t>
  </si>
  <si>
    <t>7dd1f530-32c7-11e4-8453-710264d9a1f8</t>
  </si>
  <si>
    <t>https://twitter.com/Reuters/status/506850713822298112</t>
  </si>
  <si>
    <t>We just found out the Ferguson Protester who claim she was shot in the eye with a rubber bullet was a false story guys. Smh..</t>
  </si>
  <si>
    <t>0a2432d0-763b-11e4-99be-fb3662a4a6dd</t>
  </si>
  <si>
    <t>https://twitter.com/MediaBlackoutUS/status/537810294471659520</t>
  </si>
  <si>
    <t>Schoolboy who got electric shock from lamppost claims he now has magnetic powers</t>
  </si>
  <si>
    <t>78b7c200-702f-11e4-8e10-b9c720c188ba</t>
  </si>
  <si>
    <t>https://uk.news.yahoo.com/schoolboy-who-got-electric-shock-from-lamppost-claims-he-now-has-magnetic-powers-142342071.html</t>
  </si>
  <si>
    <t>uk.news.yahoo.com</t>
  </si>
  <si>
    <t>U.S., Brent crude jump on rumor of oil pipeline blast in Saudi Arabia</t>
  </si>
  <si>
    <t>7fb44fd0-6506-11e4-b3d8-a32d8ec8ad5e</t>
  </si>
  <si>
    <t>http://uk.reuters.com/article/2014/11/05/us-brent-crude-crude-futures-extend-gain-idUKL1N0SV28A20141105</t>
  </si>
  <si>
    <t>uk.reuters.com</t>
  </si>
  <si>
    <t>This Is The Most Epic Way To Quit Your Job</t>
  </si>
  <si>
    <t>3646f570-8552-11e4-b1b5-4f1bd36cbfc6</t>
  </si>
  <si>
    <t>http://uniladmag.com/articles/this-is-the-most-epic-way-to-quit-your-job/</t>
  </si>
  <si>
    <t>uniladmag.com</t>
  </si>
  <si>
    <t>Another Mossad victim? Police Chief, Helric Fredou, investigating Charlie Hebdo Commits Suicide</t>
  </si>
  <si>
    <t>1047b9c0-99f9-11e4-bf59-1bb8b99952ce</t>
  </si>
  <si>
    <t>https://uprootedpalestinians.wordpress.com/2015/01/09/another-mossad-victim-police-chief-helric-fredou-investigating-charlie-hebdo-commits-suicide/</t>
  </si>
  <si>
    <t>uprootedpalestinians.wordpress.com</t>
  </si>
  <si>
    <t>People Actually Believed Argentina's President Adopted A Jewish Boy To Stop His Change Into A Werewolf</t>
  </si>
  <si>
    <t>19e286e0-9035-11e4-9799-c7e75be2bcad</t>
  </si>
  <si>
    <t>http://uproxx.com/webculture/2014/12/people-actually-believed-argentinas-president-adopted-a-jewish-boy-to-stop-his-change-into-a-werewolf/</t>
  </si>
  <si>
    <t>uproxx.com</t>
  </si>
  <si>
    <t>Everybody Relax, Banksy Wasn't Arrested And Exposed As A 35-Year-Old Man</t>
  </si>
  <si>
    <t>6bafaff0-5888-11e4-aaf5-a1ddcfbcd5a9</t>
  </si>
  <si>
    <t>http://uproxx.com/webculture/2014/10/everybody-relax-banksy-wasnt-arrested-and-exposed-as-a-35-year-old-man/</t>
  </si>
  <si>
    <t>This Woman Exposed Her Cheating Boyfriend With A Brilliant Christmas Gift</t>
  </si>
  <si>
    <t>73278ad0-8fa3-11e4-9799-c7e75be2bcad</t>
  </si>
  <si>
    <t>http://uproxx.com/webculture/2014/12/this-woman-exposed-her-cheating-boyfriend-with-a-brilliant-christmas-gift/</t>
  </si>
  <si>
    <t>Robert Plant Literally Ripped Up An 800 Million Contract To Reunite Led Zeppelin</t>
  </si>
  <si>
    <t>cf6d5880-68fa-11e4-b528-9d5aa2d2e8e7</t>
  </si>
  <si>
    <t>http://uproxx.com/music/2014/11/robert-plant-literally-ripped-up-an-800-million-contract-to-reunite-led-zeppelin/</t>
  </si>
  <si>
    <t>This Is What It Looks Like When A Son Pays Off His Parents Mortgage As A Christmas Present</t>
  </si>
  <si>
    <t>763c02b0-8d72-11e4-9799-c7e75be2bcad</t>
  </si>
  <si>
    <t>http://uproxx.com/webculture/2014/12/video-man-pays-off-parents-mortgage-for-christmas/</t>
  </si>
  <si>
    <t>This Zombie Cat Returned Home Five Days After Being Buried By Its Owner</t>
  </si>
  <si>
    <t>284389d0-a68a-11e4-aa4f-ff16e52e0d56</t>
  </si>
  <si>
    <t>http://uproxx.com/webculture/2015/01/zombie-cat-returns-home-five-days-after-being-buried-by-its-owners/</t>
  </si>
  <si>
    <t>Joan Rivers Personal Doctor Allegedly Took A Selfie Before Her Biopsy And Cardiac Arrest</t>
  </si>
  <si>
    <t>fcd35fc0-3e59-11e4-bc0b-3f922b93930d</t>
  </si>
  <si>
    <t>http://uproxx.com/media/2014/09/joan-rivers-personal-doctor-allegedly-took-a-selfie-and-a-biopsy-before-her-cardiac-arrest/</t>
  </si>
  <si>
    <t>TBS Is Probably Speeding Up Seinfeld Reruns To Fit In More Commercials</t>
  </si>
  <si>
    <t>8bd891d0-b6a6-11e4-8507-b58af63d1078</t>
  </si>
  <si>
    <t>http://uproxx.com/tv/2015/02/turns-out-that-tbs-is-probably-speeding-up-seinfeld-reruns-to-fit-in-more-commercials/</t>
  </si>
  <si>
    <t>Meet The College Student Who Claims She Was The Teletubbies Sun Baby</t>
  </si>
  <si>
    <t>35e07a50-8b17-11e4-9799-c7e75be2bcad</t>
  </si>
  <si>
    <t>http://uproxx.com/tv/2014/12/meet-the-college-student-who-claims-she-was-the-teletubbies-sun-baby/</t>
  </si>
  <si>
    <t>The Internet Tried To Make Axl Rose Its Latest Death Hoax Victim</t>
  </si>
  <si>
    <t>a12987e0-7b93-11e4-b794-93ed794d7b91</t>
  </si>
  <si>
    <t>http://uproxx.com/webculture/2014/12/the-internet-tried-to-make-axl-rose-its-latest-death-hoax-victim/</t>
  </si>
  <si>
    <t>Is Durex Planning To Release A Pumpkin Spice Condom?</t>
  </si>
  <si>
    <t>8c069ef0-376b-11e4-ae63-d5574342724c</t>
  </si>
  <si>
    <t>http://uproxx.com/webculture/2014/09/is-durex-planning-to-release-a-pumpkin-spice-condom/</t>
  </si>
  <si>
    <t>This Soap Opera Star Reportedly Had His Testicles Stolen By An Attractive Blonde Organ Trafficker</t>
  </si>
  <si>
    <t>55a9bd80-bde7-11e4-bc4d-fff7a1fe3048</t>
  </si>
  <si>
    <t>http://uproxx.com/tv/2015/02/a-soap-opera-star-reportedly-had-his-balls-stolen-by-an-attractive-blonde-organ-trafficker/</t>
  </si>
  <si>
    <t>Priest Dies, Wakes Up, Claims God Is a Woman. Huh?</t>
  </si>
  <si>
    <t>90ac82b0-bb75-11e4-b073-ed15c88bfa1e</t>
  </si>
  <si>
    <t>http://urbanlegends.about.com/od/Fake-News/ss/Priest-Dies-Claims-God-Is-a-Woman.htm</t>
  </si>
  <si>
    <t>urbanlegends.about.com</t>
  </si>
  <si>
    <t>Kim Jong-un drinks rare snake wine to boost love life</t>
  </si>
  <si>
    <t>73504fe0-74c5-11e4-99be-fb3662a4a6dd</t>
  </si>
  <si>
    <t>http://us.india.com/news/world/kim-jong-un-drinks-rare-snake-wine-to-boost-love-life-202894/</t>
  </si>
  <si>
    <t>us.india.com</t>
  </si>
  <si>
    <t>A Peruvian TV show is tricking men into catcalling their mothers, for feminism</t>
  </si>
  <si>
    <t>20aafd50-a632-11e4-aa4f-ff16e52e0d56</t>
  </si>
  <si>
    <t>http://usvsth3m.com/post/a-peruvian-tv-show-is-tricking-men-into-catcalling-their-mothers-for-feminism</t>
  </si>
  <si>
    <t>usvsth3m.com</t>
  </si>
  <si>
    <t>Putin's motorcade looks suspiciously like a massive</t>
  </si>
  <si>
    <t>a0984150-68f0-11e4-b528-9d5aa2d2e8e7</t>
  </si>
  <si>
    <t>http://usvsth3m.com/post/putins-motorcade-looks-suspiciously-like-a-massive</t>
  </si>
  <si>
    <t>Four Reasons Not To Give Up Hope If Apple Buys Path</t>
  </si>
  <si>
    <t>77067ac0-3914-11e4-ae63-d5574342724c</t>
  </si>
  <si>
    <t>http://valleywag.gawker.com/four-reasons-not-to-give-up-hope-if-apple-buys-path-1632995166?utm_campaign=socialflow_gawker_twitter&amp;utm_source=gawker_twitter&amp;utm_medium=socialflow</t>
  </si>
  <si>
    <t>valleywag.gawker.com</t>
  </si>
  <si>
    <t>Apple is reportedly shutting down Beats Music just three months after picking the company up.</t>
  </si>
  <si>
    <t>ebf4fd60-42b6-11e4-9e78-ff09d5b0049d</t>
  </si>
  <si>
    <t>http://valleywag.gawker.com/apple-is-reportedly-shutting-down-beats-music-just-thre-1637778329?utm_source=feedburner&amp;utm_medium=feed&amp;utm_campaign=Feed%3A+valleywag%2Ffull+%28Valleywag%29</t>
  </si>
  <si>
    <t>Apple Rethinking Beats Music Brand</t>
  </si>
  <si>
    <t>2975b9b0-429c-11e4-9e78-ff09d5b0049d</t>
  </si>
  <si>
    <t>http://variety.com/2014/digital/news/report-apple-rethinking-beats-music-brand-1201311175/</t>
  </si>
  <si>
    <t>variety.com</t>
  </si>
  <si>
    <t>Seth Rogen to Play Apple Co-Founder Wozniak in Steve Jobs Biopic</t>
  </si>
  <si>
    <t>3af1e4a0-611b-11e4-b6e9-e5f029e25965</t>
  </si>
  <si>
    <t>http://variety.com/2014/film/news/seth-rogen-steve-wozniak-steve-jobs-biopic-1201338038/</t>
  </si>
  <si>
    <t>Christian Bale Drops Out of Steve Jobs Biopic</t>
  </si>
  <si>
    <t>1a582a20-6395-11e4-b3d8-a32d8ec8ad5e</t>
  </si>
  <si>
    <t>http://variety.com/2014/film/news/christian-bale-exits-steve-jobs-film-danny-boyle-1201346224/</t>
  </si>
  <si>
    <t>Christian Bale to Play Steve Jobs in New Movie</t>
  </si>
  <si>
    <t>f9df3450-54c6-11e4-b6a0-9705a8f94440</t>
  </si>
  <si>
    <t>http://variety.com/2014/film/news/christian-bale-in-talks-to-star-in-jobs-1201330878/</t>
  </si>
  <si>
    <t>EBay appears to be planning an Apple Watch app</t>
  </si>
  <si>
    <t>13d53930-c36d-11e4-9435-a96703525a9e</t>
  </si>
  <si>
    <t>http://venturebeat.com/2015/01/27/ebay-appears-to-be-planning-an-apple-watch-app/</t>
  </si>
  <si>
    <t>venturebeat.com</t>
  </si>
  <si>
    <t>Hewlett-Packard will reportedly split into two companies</t>
  </si>
  <si>
    <t>272024c0-4cbf-11e4-949b-f14041b20838</t>
  </si>
  <si>
    <t>http://venturebeat.com/2014/10/05/hewlett-packard-will-reportedly-split-into-two-companies/</t>
  </si>
  <si>
    <t>HP confirms plan to split company</t>
  </si>
  <si>
    <t>0992cc30-4d52-11e4-949b-f14041b20838</t>
  </si>
  <si>
    <t>http://venturebeat.com/2014/10/06/hp-confirms-plan-to-split-company/</t>
  </si>
  <si>
    <t>Slbale your mother, the mockumentary to stop street harassment in Peru Google Translate</t>
  </si>
  <si>
    <t>59e8e860-a62e-11e4-aa4f-ff16e52e0d56</t>
  </si>
  <si>
    <t>http://verne.elpais.com/verne/2014/12/07/articulo/1417939184_159010.html</t>
  </si>
  <si>
    <t>verne.elpais.com</t>
  </si>
  <si>
    <t>ec6ac590-96a8-11e4-87a8-1d5d45e62193</t>
  </si>
  <si>
    <t>http://video.roanoke.com/Elderly-Woman-Arrested-for-Kidnapping-Neighbors-Cats--Making-Fur-Coats-28301567</t>
  </si>
  <si>
    <t>video.roanoke.com</t>
  </si>
  <si>
    <t>A Chinese mother attempted to sell her son to pay for his twin sister's lifesaving medical treatment</t>
  </si>
  <si>
    <t>Shocking Chinese parents sell their son to fund for daughter's Cancer treatment</t>
  </si>
  <si>
    <t>2738f180-973d-11e4-87a8-1d5d45e62193</t>
  </si>
  <si>
    <t>c800c930-96b1-11e4-87a8-1d5d45e62193</t>
  </si>
  <si>
    <t>http://viral4real.com/2015/01/07/shocking-chinese-parents-sell-their-son-to-fund-for-daughters-cancer-treatment/</t>
  </si>
  <si>
    <t>viral4real.com</t>
  </si>
  <si>
    <t>Mitt Romney said Michelle Obama should be called the First Woman, not the First Lady</t>
  </si>
  <si>
    <t>Did Mitt Romney Call Michelle Obama First Woman'?</t>
  </si>
  <si>
    <t>c49e4410-a003-11e4-a353-5b831fe927be</t>
  </si>
  <si>
    <t>4c1506f0-a003-11e4-a353-5b831fe927be</t>
  </si>
  <si>
    <t>http://wafflesatnoon.com/romney-michelle-obama-first-woman/</t>
  </si>
  <si>
    <t>wafflesatnoon.com</t>
  </si>
  <si>
    <t>Cesar Milln, the Dog Whisperer, has died</t>
  </si>
  <si>
    <t>Cesar Millan is Not Dead: Dog Whisperer Death Hoax Circulates</t>
  </si>
  <si>
    <t>ea2f6de0-7b04-11e4-b794-93ed794d7b91</t>
  </si>
  <si>
    <t>3440eeb0-7afe-11e4-b794-93ed794d7b91</t>
  </si>
  <si>
    <t>http://wafflesatnoon.com/cesar-millan-death-hoax/</t>
  </si>
  <si>
    <t>BlackBerry BBRY Could Receive An Offer By Cash-Rich Lenovo As Early As This Week: Report</t>
  </si>
  <si>
    <t>8e083370-5869-11e4-aaf5-a1ddcfbcd5a9</t>
  </si>
  <si>
    <t>http://wallstreetpit.com/106016-blackberry-bbry-could-receive-an-offer-by-cash-rich-lenovo-as-early-as-this-week-report/</t>
  </si>
  <si>
    <t>wallstreetpit.com</t>
  </si>
  <si>
    <t>GOP Rep: At Least Ten ISIS Fighters Have Been Caught Coming Across The Mexican Border</t>
  </si>
  <si>
    <t>088e7760-4fca-11e4-b6a0-9705a8f94440</t>
  </si>
  <si>
    <t>http://washington.cbslocal.com/2014/10/08/gop-rep-at-least-ten-isis-fighters-have-been-caught-coming-across-the-mexican-border/</t>
  </si>
  <si>
    <t>washington.cbslocal.com</t>
  </si>
  <si>
    <t>Iraqi Official Accuses ISIS Of Harvesting Organs To Finance Operations</t>
  </si>
  <si>
    <t>a02f1970-b777-11e4-8507-b58af63d1078</t>
  </si>
  <si>
    <t>http://washington.cbslocal.com/2015/02/18/iraqi-official-accuses-isis-of-harvesting-organs-to-finance-operations/</t>
  </si>
  <si>
    <t>1ad2a560-3763-11e4-ae63-d5574342724c</t>
  </si>
  <si>
    <t>http://washingtonexaminer.com/rumors-of-isis-leaders-death-debunked/article/2552990?custom_click=rss</t>
  </si>
  <si>
    <t>washingtonexaminer.com</t>
  </si>
  <si>
    <t>New Rumour Suggests Apple Watch to Launch in February</t>
  </si>
  <si>
    <t>8f9c44a0-54be-11e4-b6a0-9705a8f94440</t>
  </si>
  <si>
    <t>https://wearabletechnologies.co.uk/2014/10/new-rumour-suggests-apple-watch-launch-february/</t>
  </si>
  <si>
    <t>wearabletechnologies.co.uk</t>
  </si>
  <si>
    <t>Cheese addiction breaks Kim Jong-un's ankles</t>
  </si>
  <si>
    <t>85997500-4dba-11e4-949b-f14041b20838</t>
  </si>
  <si>
    <t>http://web.orange.co.uk/article/quirkies/Cheese_addiction_breaks_Kim_Jong-uns_ankles</t>
  </si>
  <si>
    <t>web.orange.co.uk</t>
  </si>
  <si>
    <t>ce118cf0-4dba-11e4-949b-f14041b20838</t>
  </si>
  <si>
    <t>A Michigan pizza delivery guy received a 2,084 tip</t>
  </si>
  <si>
    <t>Pizza delivery driver surprised with 2,000 tip</t>
  </si>
  <si>
    <t>1d7eaae0-a1c4-11e4-a353-5b831fe927be</t>
  </si>
  <si>
    <t>4c6e1e50-a1c2-11e4-a353-5b831fe927be</t>
  </si>
  <si>
    <t>http://wgntv.com/2015/01/18/pizza-delivery-driver-surprised-with-2000-tip/</t>
  </si>
  <si>
    <t>wgntv.com</t>
  </si>
  <si>
    <t>Passenger headed to Dallas rages over Merry Christmas, removed from plane</t>
  </si>
  <si>
    <t>a34623f0-8c76-11e4-9799-c7e75be2bcad</t>
  </si>
  <si>
    <t>http://whateverblog.dallasnews.com/2014/12/passenger-headed-to-dallas-rages-over-merry-christmas-removed-from-plane.html/</t>
  </si>
  <si>
    <t>whateverblog.dallasnews.com</t>
  </si>
  <si>
    <t>Oh Hey, Paul Rudd Was One Of The Dallas Airport Homophobe Heroes No He Wasn't</t>
  </si>
  <si>
    <t>3d8d5ad0-5e0c-11e4-a887-2324afc3f9a8</t>
  </si>
  <si>
    <t>http://wonkette.com/564538/oh-hey-paul-rudd-was-one-of-the-dallas-airport-homophobe-heroes-no-big#MLwKQZDQr37rR343.01</t>
  </si>
  <si>
    <t>wonkette.com</t>
  </si>
  <si>
    <t>A 600-pound Australian woman gave birth to 40-pound baby</t>
  </si>
  <si>
    <t>AUSTRALIA: 600-POUND WOMAN GIVES BIRTH TO 40-POUND BABY</t>
  </si>
  <si>
    <t>25c2f130-9dbd-11e4-9ed8-9f0a86b9b537</t>
  </si>
  <si>
    <t>40055780-9db9-11e4-9ed8-9f0a86b9b537</t>
  </si>
  <si>
    <t>http://worldnewsdailyreport.com/australia-600-pound-woman-gives-birth-to-40-pound-baby/</t>
  </si>
  <si>
    <t>worldnewsdailyreport.com</t>
  </si>
  <si>
    <t>Loggers Accidentally Cut Down World's Oldest Tree in Amazon Forest</t>
  </si>
  <si>
    <t>e7a6a410-807e-11e4-8faa-9748b2fc07a1</t>
  </si>
  <si>
    <t>http://worldnewsdailyreport.com/loggers-accidentally-cut-down-worlds-oldest-tree-in-amazon/</t>
  </si>
  <si>
    <t>Little old lady Arrested for Making Fur Coats with Neighbor's Cats</t>
  </si>
  <si>
    <t>10b5b220-96a9-11e4-87a8-1d5d45e62193</t>
  </si>
  <si>
    <t>http://worldnewsdailyreport.com/little-old-lady-arrested-for-making-fur-coats-with-neighbors-cats/</t>
  </si>
  <si>
    <t>A historian discovered a text with an account of a miracle performed by Jesus</t>
  </si>
  <si>
    <t>Newly-Found Document Holds Eyewitness Account of Jesus Performing Miracle</t>
  </si>
  <si>
    <t>e462ada0-4eef-11e4-949b-f14041b20838</t>
  </si>
  <si>
    <t>73a23cc0-4eef-11e4-949b-f14041b20838</t>
  </si>
  <si>
    <t>http://worldnewsdailyreport.com/newly-found-document-holds-eyewitness-account-of-jesus-performing-miracle/</t>
  </si>
  <si>
    <t>Tourist dubbed Spider Man after spider burrows under skin for days</t>
  </si>
  <si>
    <t>3ed23120-565c-11e4-aaf5-a1ddcfbcd5a9</t>
  </si>
  <si>
    <t>http://wtvr.com/2014/10/17/tourist-dubbed-spider-man-after-spider-burrows-under-skin-for-days/</t>
  </si>
  <si>
    <t>wtvr.com</t>
  </si>
  <si>
    <t>Etats-Unis: Mort pendant 48 minutes, un prtre affirme que Dieu est une femme</t>
  </si>
  <si>
    <t>b69de6a0-baa1-11e4-b073-ed15c88bfa1e</t>
  </si>
  <si>
    <t>http://www.20minutes.fr/insolite/1546435-20150222-etats-unis-mort-pendant-48-minutes-pretre-affirme-dieu-femme</t>
  </si>
  <si>
    <t>www.20minutes.fr</t>
  </si>
  <si>
    <t>There has been a shooting at the War Memorial on Parliament Hill. Unconfirmed reports say a soldier was shot.</t>
  </si>
  <si>
    <t>7c0b9170-59f5-11e4-aaf5-a1ddcfbcd5a9</t>
  </si>
  <si>
    <t>http://www.570news.com/</t>
  </si>
  <si>
    <t>www.570news.com</t>
  </si>
  <si>
    <t>a66fc6b0-5a0f-11e4-aaf5-a1ddcfbcd5a9</t>
  </si>
  <si>
    <t>http://www.680news.com/2014/10/22/mps-credit-sergeant-at-arms-for-saving-lives-in-parliament-hill-shootings/</t>
  </si>
  <si>
    <t>www.680news.com</t>
  </si>
  <si>
    <t>Baseball star Jose Canseco hurt in accidental shooting</t>
  </si>
  <si>
    <t>72200ea0-5f0b-11e4-a887-2324afc3f9a8</t>
  </si>
  <si>
    <t>http://www.8newsnow.com/story/27147863/breaking-news-baseball-star-jose-canseco-hurt-in-accidental-shooting</t>
  </si>
  <si>
    <t>www.8newsnow.com</t>
  </si>
  <si>
    <t>Tesla choosing Nevada for battery factory</t>
  </si>
  <si>
    <t>93e897d0-33a2-11e4-8453-710264d9a1f8</t>
  </si>
  <si>
    <t>http://www.8newsnow.com/story/26439753/report-tesla-choosing-nevada-for-battery-factor</t>
  </si>
  <si>
    <t>Two blokes dared to eat 20-year-old burger for charity</t>
  </si>
  <si>
    <t>00b6b660-b6a9-11e4-8507-b58af63d1078</t>
  </si>
  <si>
    <t>http://www.9news.com.au/national/2015/02/16/20/17/adelaide-friends-claim-to-own-world-s-oldest-burger</t>
  </si>
  <si>
    <t>www.9news.com.au</t>
  </si>
  <si>
    <t>US airstrike targets Al Shabaab leader Ahmed Abdi Godane in Somalia</t>
  </si>
  <si>
    <t>6b6f0fe0-351a-11e4-a3fd-07e9a9d397df</t>
  </si>
  <si>
    <t>http://www.abc.net.au/news/2014-09-03/us-carries-out-airstrike-targeting-al-shabaab-leader-in-somalia/5715068</t>
  </si>
  <si>
    <t>www.abc.net.au</t>
  </si>
  <si>
    <t>Justin Bieber ringtone saved a Russian fisherman during a bear attack</t>
  </si>
  <si>
    <t>56070ad0-1ce8-11e4-8c09-cd48fe37674e</t>
  </si>
  <si>
    <t>http://www.abc15.com/news/local-news/water-cooler/justin-biebers-song-saved-a-russian-fisherman</t>
  </si>
  <si>
    <t>www.abc15.com</t>
  </si>
  <si>
    <t>Urgent: The Leader of ISIL Abu Bakr al-Baghdadi Killed Photo</t>
  </si>
  <si>
    <t>b8023990-3673-11e4-ae63-d5574342724c</t>
  </si>
  <si>
    <t>http://www.abna.ir/english/service/middle-east-west-asia/archive/2014/09/06/635840/story.html</t>
  </si>
  <si>
    <t>www.abna.ir</t>
  </si>
  <si>
    <t>Source: Missing Afghan soldiers at Canadian border</t>
  </si>
  <si>
    <t>c5e55b60-427f-11e4-9e78-ff09d5b0049d</t>
  </si>
  <si>
    <t>http://www.ack.net/AfghansolidersmissingfromCapebase092214.html</t>
  </si>
  <si>
    <t>www.ack.net</t>
  </si>
  <si>
    <t>These Men Freak Out When They Discover The Women They Are Harassing Are Their Moms In Disguise VIDEO</t>
  </si>
  <si>
    <t>a8e095a0-a62c-11e4-aa4f-ff16e52e0d56</t>
  </si>
  <si>
    <t>http://www.addictinginfo.org/2015/01/24/moms-in-disguise/</t>
  </si>
  <si>
    <t>www.addictinginfo.org</t>
  </si>
  <si>
    <t>Man removed from plane over Christmas greeting dispute</t>
  </si>
  <si>
    <t>fefa6820-8d6e-11e4-9799-c7e75be2bcad</t>
  </si>
  <si>
    <t>http://www.ajc.com/news/news/national/dont-say-merry-christmas-airplane/njbPK/</t>
  </si>
  <si>
    <t>www.ajc.com</t>
  </si>
  <si>
    <t>Islamic State reaps profits from organ trafficking</t>
  </si>
  <si>
    <t>b5e81850-b779-11e4-8507-b58af63d1078</t>
  </si>
  <si>
    <t>http://www.al-monitor.com/pulse/security/2014/12/islamic-state-financing-funding-human-trafficking-extortion.html#</t>
  </si>
  <si>
    <t>www.al-monitor.com</t>
  </si>
  <si>
    <t>Islamic State accused of using chlorine gas on Iraqi soldiers</t>
  </si>
  <si>
    <t>64302cd0-4cc3-11e4-949b-f14041b20838</t>
  </si>
  <si>
    <t>http://www.al-monitor.com/pulse/originals/2014/09/islamic-state-use-chlorine-gas-soldiers-anbar.html#</t>
  </si>
  <si>
    <t>ISIS used chemical weapons in Kobane</t>
  </si>
  <si>
    <t>Former U.S. soldier says IS used chemical weapons in Kobani</t>
  </si>
  <si>
    <t>6606d9d0-5c33-11e4-a887-2324afc3f9a8</t>
  </si>
  <si>
    <t>07776510-596d-11e4-aaf5-a1ddcfbcd5a9</t>
  </si>
  <si>
    <t>http://www.albawaba.com/news/former-us-soldier-says-used-chemical-weapons-kobani-615473</t>
  </si>
  <si>
    <t>www.albawaba.com</t>
  </si>
  <si>
    <t>Hundreds of Palestinians flee floods in Gaza as Israel opens dams</t>
  </si>
  <si>
    <t>9c47ecd0-bc5c-11e4-b073-ed15c88bfa1e</t>
  </si>
  <si>
    <t>http://www.albawaba.com/news/hundreds-palestinians-flee-floods-gaza-israel-opens-dams-659932</t>
  </si>
  <si>
    <t>Lebanon detains wife and son of Al-Baghdadi</t>
  </si>
  <si>
    <t>fe3b8ca0-7af1-11e4-b794-93ed794d7b91</t>
  </si>
  <si>
    <t>http://www.aljazeera.com/news/middleeast/2014/12/lebanon-detains-wife-son-al-baghdadi-20141228517403738.html</t>
  </si>
  <si>
    <t>www.aljazeera.com</t>
  </si>
  <si>
    <t>Israel denies causing Gaza floods by opening dams</t>
  </si>
  <si>
    <t>5859d460-bc5d-11e4-b073-ed15c88bfa1e</t>
  </si>
  <si>
    <t>http://www.aljazeera.com/news/2015/02/gazans-flee-floods-caused-israel-dams-opening-150222115950849.html</t>
  </si>
  <si>
    <t>Media outlets identify Jihadi John</t>
  </si>
  <si>
    <t>7b7b5240-bdb4-11e4-b073-ed15c88bfa1e</t>
  </si>
  <si>
    <t>http://www.aljazeera.com/news/2015/02/media-outlets-identify-jihadi-john-150226110541697.html</t>
  </si>
  <si>
    <t>Doubts cast over Nicaragua meteorite claim</t>
  </si>
  <si>
    <t>5d7c09f0-3840-11e4-ae63-d5574342724c</t>
  </si>
  <si>
    <t>http://www.aljazeera.com/news/americas/2014/09/doubts-cast-over-nicaragua-meteorite-claim-201498234213687776.html</t>
  </si>
  <si>
    <t>Nigeria says ceasefire agreed with Boko Haram</t>
  </si>
  <si>
    <t>678eaca0-5630-11e4-aaf5-a1ddcfbcd5a9</t>
  </si>
  <si>
    <t>http://www.aljazeera.com/news/africa/2014/10/nigeria-boko-haram-ceasefire-2014101714535213561.html</t>
  </si>
  <si>
    <t>An ISIS treasurer stole money from the organization and fled</t>
  </si>
  <si>
    <t>Daash Syria Announces Egyptian escape b Zakat funds Google Translate</t>
  </si>
  <si>
    <t>be88d3c0-ae12-11e4-9a23-0b6010caa867</t>
  </si>
  <si>
    <t>9cf6ecb0-ae12-11e4-9a23-0b6010caa867</t>
  </si>
  <si>
    <t>http://www.almasryalyoum.com/news/details/648097</t>
  </si>
  <si>
    <t>www.almasryalyoum.com</t>
  </si>
  <si>
    <t>Daash Ebola transferred to Mosul Google Translate</t>
  </si>
  <si>
    <t>2afbd930-9298-11e4-b271-b1de57982894</t>
  </si>
  <si>
    <t>http://www.alsabaah.iq/ArticleShow.aspx?ID=83690</t>
  </si>
  <si>
    <t>www.alsabaah.iq</t>
  </si>
  <si>
    <t>This Week In Weird News: Horrible Human Slaps Elderly Woman For Sneezing</t>
  </si>
  <si>
    <t>9e2dd510-d0fb-11e4-956e-77ab1bea7698</t>
  </si>
  <si>
    <t>http://www.alternet.org/week-weird-news-horrible-human-slaps-elderly-woman-sneezing</t>
  </si>
  <si>
    <t>www.alternet.org</t>
  </si>
  <si>
    <t>Vladimir Putin's Motorcade Looks Like A Massive Knob</t>
  </si>
  <si>
    <t>c81b2760-68f0-11e4-b528-9d5aa2d2e8e7</t>
  </si>
  <si>
    <t>http://www.anorak.co.uk/410103/politicians/vladimir-putins-motorcade-looks-like-a-massive-knob.html/</t>
  </si>
  <si>
    <t>www.anorak.co.uk</t>
  </si>
  <si>
    <t>Nun gives birth, intends to keep baby</t>
  </si>
  <si>
    <t>d1887dd0-a436-11e4-aa4f-ff16e52e0d56</t>
  </si>
  <si>
    <t>http://www.ansa.it/english/news/general_news/2015/01/23/nun-gives-birth-intends-to-keep-baby_d8eff389-9ab5-4e06-99b9-0a2254c41178.html</t>
  </si>
  <si>
    <t>www.ansa.it</t>
  </si>
  <si>
    <t>Could Crabzilla, a 50-foot-long crab be real?</t>
  </si>
  <si>
    <t>a5004bd0-5567-11e4-aaf5-a1ddcfbcd5a9</t>
  </si>
  <si>
    <t>http://www.aol.com/article/2014/10/13/could-crabzilla-a-50-foot-long-crab-be-real/20977414/</t>
  </si>
  <si>
    <t>www.aol.com</t>
  </si>
  <si>
    <t>Air travelers wary of Ebola fears seen with surgical masks ... and a HAZMAT suit</t>
  </si>
  <si>
    <t>a9daef80-54bc-11e4-b6a0-9705a8f94440</t>
  </si>
  <si>
    <t>http://www.aol.com/article/2014/10/15/air-travelers-wary-of-ebola-fears-seen-with-surgical-masks-hazmat-suit-hopkins-airport-cleveland-dallas/20978889/</t>
  </si>
  <si>
    <t>Officials shoot down congressman's claims ISIS terrorists are running across US-Mexico border</t>
  </si>
  <si>
    <t>fda690d0-4fc9-11e4-b6a0-9705a8f94440</t>
  </si>
  <si>
    <t>http://www.aol.com/article/2014/10/08/officials-shoot-down-congressmans-claims-isis-terrorists-are-crossing-texas-mexico-border/20974832/</t>
  </si>
  <si>
    <t>Charles Manson's fiancee used him for his ... corpse?</t>
  </si>
  <si>
    <t>817b4e60-b11c-11e4-9a23-0b6010caa867</t>
  </si>
  <si>
    <t>http://www.aol.com/article/2015/02/09/charles-manson-s-fiancee-used-him-for-his-corpse/21140757/</t>
  </si>
  <si>
    <t>Apple Watch will only be sold in Apple Stores at launch</t>
  </si>
  <si>
    <t>Apple Watch: Release well initially only in Apple Stores</t>
  </si>
  <si>
    <t>d8eb2060-c352-11e4-8747-5b024dd6dd6c</t>
  </si>
  <si>
    <t>6285fbc0-c352-11e4-8747-5b024dd6dd6c</t>
  </si>
  <si>
    <t>http://www.apfelpage.de/2015/02/13/apple-watch-release-wohl-vorerst-nur-in-apple-stores/</t>
  </si>
  <si>
    <t>www.apfelpage.de</t>
  </si>
  <si>
    <t>HairGate: iPhone 6 Customers Are Complaining That The Phone Is Ripping Out Their Hair</t>
  </si>
  <si>
    <t>ebdf74a0-4e5e-11e4-949b-f14041b20838</t>
  </si>
  <si>
    <t>http://www.appy-geek.com/Web/ArticleWeb.aspx?regionid=1&amp;articleid=29815840&amp;m=d</t>
  </si>
  <si>
    <t>www.appy-geek.com</t>
  </si>
  <si>
    <t>No gender segregation on Saudia</t>
  </si>
  <si>
    <t>9a203340-947a-11e4-b6bf-fdc8b7e3bcff</t>
  </si>
  <si>
    <t>http://www.arabnews.com/featured/news/684746</t>
  </si>
  <si>
    <t>www.arabnews.com</t>
  </si>
  <si>
    <t>Street Artist BANKSY Arrested? Again?</t>
  </si>
  <si>
    <t>ca8d7f20-5856-11e4-aaf5-a1ddcfbcd5a9</t>
  </si>
  <si>
    <t>http://www.artfido.com/blog/street-artist-banksy-arrested-again/</t>
  </si>
  <si>
    <t>www.artfido.com</t>
  </si>
  <si>
    <t>Lebanon confirms holding ISIS chief's kin</t>
  </si>
  <si>
    <t>3f00ef80-7c3e-11e4-b794-93ed794d7b91</t>
  </si>
  <si>
    <t>http://www.asianage.com/international/lebanon-confirms-holding-isis-chief-s-kin-100</t>
  </si>
  <si>
    <t>www.asianage.com</t>
  </si>
  <si>
    <t>TBS speeds up Seinfeld a full 7.5 percent - here is the proof</t>
  </si>
  <si>
    <t>26999c80-b6b3-11e4-8507-b58af63d1078</t>
  </si>
  <si>
    <t>http://www.avsforum.com/forum/34-hdtv-programming/1490528-tbs-speeds-up-seinfeld-full-7-5-percent-here-proof.html</t>
  </si>
  <si>
    <t>www.avsforum.com</t>
  </si>
  <si>
    <t>Bieber ringtone scares bear, saves man's life</t>
  </si>
  <si>
    <t>2e9cc780-1d85-11e4-8c09-cd48fe37674e</t>
  </si>
  <si>
    <t>http://www.azcentral.com/story/news/weird/2014/08/05/bieber-ringtone-fishmerman-scares-bear/13643249/</t>
  </si>
  <si>
    <t>www.azcentral.com</t>
  </si>
  <si>
    <t>Update: Did Boston.com Make Up This Story About The Web Sheriff Ben Edelman Sending Racist Emails?</t>
  </si>
  <si>
    <t>4d057d60-8136-11e4-8faa-9748b2fc07a1</t>
  </si>
  <si>
    <t>http://www.barstoolsports.com/boston/super-page/the-web-sheriff-ben-edelman-needs-some-work-on-his-apology-game-probably-should-leave-out-the-slanty-eye-jokes/</t>
  </si>
  <si>
    <t>www.barstoolsports.com</t>
  </si>
  <si>
    <t>Lebanon holding IS leader's daughter and ex-wife</t>
  </si>
  <si>
    <t>1e256020-7c3e-11e4-b794-93ed794d7b91</t>
  </si>
  <si>
    <t>http://www.bbc.com/news/world-middle-east-30330461</t>
  </si>
  <si>
    <t>www.bbc.com</t>
  </si>
  <si>
    <t>Big Bank Hank, US rapper and Sugarhill Gang founder member, dies at 57</t>
  </si>
  <si>
    <t>67eb5650-69de-11e4-b528-9d5aa2d2e8e7</t>
  </si>
  <si>
    <t>http://www.bbc.com/news/entertainment-arts-30011178</t>
  </si>
  <si>
    <t>The Chinese public broadcaster published an article on Tips for Chinese choosing an English name.</t>
  </si>
  <si>
    <t>China: Satirical site warns citizens over name choices</t>
  </si>
  <si>
    <t>3d545bd0-822f-11e4-be1a-2d20e0ce9757</t>
  </si>
  <si>
    <t>76ef0580-822e-11e4-be1a-2d20e0ce9757</t>
  </si>
  <si>
    <t>http://www.bbc.com/news/blogs-news-from-elsewhere-29688381</t>
  </si>
  <si>
    <t>The papers: Pension reforms - and crabzilla</t>
  </si>
  <si>
    <t>b6915dd0-5567-11e4-aaf5-a1ddcfbcd5a9</t>
  </si>
  <si>
    <t>http://www.bbc.com/news/blogs-the-papers-29608241</t>
  </si>
  <si>
    <t>Dog abandoned at Ayr station with belongings in suitcase</t>
  </si>
  <si>
    <t>63254080-9685-11e4-87a8-1d5d45e62193</t>
  </si>
  <si>
    <t>http://www.bbc.com/news/uk-scotland-glasgow-west-30696437</t>
  </si>
  <si>
    <t>Hewlett-Packard to split into two companies</t>
  </si>
  <si>
    <t>6275b080-4d50-11e4-949b-f14041b20838</t>
  </si>
  <si>
    <t>http://www.bbc.com/news/business-29501235</t>
  </si>
  <si>
    <t>Islamic State training pilots to fly fighter jets</t>
  </si>
  <si>
    <t>dc727780-5627-11e4-aaf5-a1ddcfbcd5a9</t>
  </si>
  <si>
    <t>http://www.bbc.com/news/world-middle-east-29660029</t>
  </si>
  <si>
    <t>Jihadi John named as London man</t>
  </si>
  <si>
    <t>c4e00990-bdb3-11e4-b073-ed15c88bfa1e</t>
  </si>
  <si>
    <t>http://www.bbc.com/news/uk-31637090</t>
  </si>
  <si>
    <t>Missing Mexican students not found in mass grave</t>
  </si>
  <si>
    <t>9a0f6700-54d7-11e4-b6a0-9705a8f94440</t>
  </si>
  <si>
    <t>http://www.bbc.com/news/world-latin-america-29624801</t>
  </si>
  <si>
    <t>Meteorite leaves crater in Nicaraguan capital Managua</t>
  </si>
  <si>
    <t>cea153f0-383c-11e4-ae63-d5574342724c</t>
  </si>
  <si>
    <t>http://www.bbc.com/news/world-latin-america-29106843</t>
  </si>
  <si>
    <t>Questions raised over Nicaragua meteorite</t>
  </si>
  <si>
    <t>fe87f140-383d-11e4-ae63-d5574342724c</t>
  </si>
  <si>
    <t>http://www.bbc.com/news/world-latin-america-29124300</t>
  </si>
  <si>
    <t>Missing Afghan soldiers found at US Canada border</t>
  </si>
  <si>
    <t>e782f7b0-427e-11e4-9e78-ff09d5b0049d</t>
  </si>
  <si>
    <t>http://www.bbc.com/news/world-us-canada-29306592</t>
  </si>
  <si>
    <t>Islamic State beheads US hostage Steven Sotloff</t>
  </si>
  <si>
    <t>d681ed30-32c6-11e4-8453-710264d9a1f8</t>
  </si>
  <si>
    <t>http://www.bbc.com/news/world-middle-east-29038217</t>
  </si>
  <si>
    <t>Constipated goldfish operated on by North Walsham vet</t>
  </si>
  <si>
    <t>2d4cc5e0-92cb-11e4-b271-b1de57982894</t>
  </si>
  <si>
    <t>http://www.bbc.com/news/uk-england-norfolk-30655444</t>
  </si>
  <si>
    <t>Party invoice: Boy sent bill for birthday no-show</t>
  </si>
  <si>
    <t>3c400430-a000-11e4-a353-5b831fe927be</t>
  </si>
  <si>
    <t>http://www.bbc.com/news/uk-england-cornwall-30876360</t>
  </si>
  <si>
    <t>Angry Indian bride marries wedding guest</t>
  </si>
  <si>
    <t>07bb86c0-b7a3-11e4-8507-b58af63d1078</t>
  </si>
  <si>
    <t>http://www.bbc.com/news/world-asia-india-31519551</t>
  </si>
  <si>
    <t>US hostage Luke Somers and SA Pierre Korkie killed during Yemen rescue bid</t>
  </si>
  <si>
    <t>d5de9e40-7d36-11e4-8faa-9748b2fc07a1</t>
  </si>
  <si>
    <t>http://www.bbc.com/news/world-middle-east-30358665</t>
  </si>
  <si>
    <t>Mirfield man's tears of joy after lost voicemail of wife retrieved</t>
  </si>
  <si>
    <t>f00284b0-a8a3-11e4-a133-7514623ae047</t>
  </si>
  <si>
    <t>http://www.bbc.com/news/uk-england-leeds-31015325</t>
  </si>
  <si>
    <t>Indian civil servant sacked after 24-year sickie</t>
  </si>
  <si>
    <t>adca6710-98f5-11e4-bf59-1bb8b99952ce</t>
  </si>
  <si>
    <t>http://www.bbc.com/news/world-asia-india-30722515</t>
  </si>
  <si>
    <t>Nigeria and Boko Haram agree ceasefire and girls release</t>
  </si>
  <si>
    <t>1043d0a0-5636-11e4-aaf5-a1ddcfbcd5a9</t>
  </si>
  <si>
    <t>http://www.bbc.com/news/world-africa-29665165</t>
  </si>
  <si>
    <t>Nigeria Boko Haram blamed for raids despite truce claim</t>
  </si>
  <si>
    <t>73d69b80-5969-11e4-aaf5-a1ddcfbcd5a9</t>
  </si>
  <si>
    <t>http://www.bbc.com/news/world-africa-29689726</t>
  </si>
  <si>
    <t>Boko Haram denies ceasefire claim by Nigeria's government</t>
  </si>
  <si>
    <t>e3bcbc30-6220-11e4-b3d8-a32d8ec8ad5e</t>
  </si>
  <si>
    <t>http://www.bbc.com/news/world-africa-29859587</t>
  </si>
  <si>
    <t>Unbearable Carolling toy in Shefford gagged by council</t>
  </si>
  <si>
    <t>df866f40-847f-11e4-b1b5-4f1bd36cbfc6</t>
  </si>
  <si>
    <t>http://www.bedfordshire-news.co.uk/Unbearable-Carolling-toy-Shefford-gagged-council/story-25702748-detail/story.html</t>
  </si>
  <si>
    <t>www.bedfordshire-news.co.uk</t>
  </si>
  <si>
    <t>EXCLUSIVE: Lenovo Could Make An Offer For BlackBerry As Early As This Week</t>
  </si>
  <si>
    <t>824a3830-5869-11e4-aaf5-a1ddcfbcd5a9</t>
  </si>
  <si>
    <t>http://www.benzinga.com/news/14/10/4933512/exclusive-lenovo-could-make-an-offer-for-blackberry-as-early-as-this-week</t>
  </si>
  <si>
    <t>www.benzinga.com</t>
  </si>
  <si>
    <t>Hearing Unconfirmed Reports of Saudi Pipeline Explosion</t>
  </si>
  <si>
    <t>9879abb0-6505-11e4-b3d8-a32d8ec8ad5e</t>
  </si>
  <si>
    <t>http://www.benzinga.com/news/14/11/4983775/hearing-unconfirmed-reports-of-saudi-pipeline-explosion</t>
  </si>
  <si>
    <t>Are Rumors of the Apple Watch in Feb True?</t>
  </si>
  <si>
    <t>ec3246e0-4aed-11e4-9960-a165dd517bbb</t>
  </si>
  <si>
    <t>http://www.besttechie.com/2014/10/02/are-rumors-of-the-apple-watch-in-feb-true/</t>
  </si>
  <si>
    <t>www.besttechie.com</t>
  </si>
  <si>
    <t>Apple Watch Stainless Steel variant reportedly priced at 500, 4,000 for the gold variant</t>
  </si>
  <si>
    <t>28d5b240-c216-11e4-8747-5b024dd6dd6c</t>
  </si>
  <si>
    <t>http://www.bgr.in/news/apple-watch-stainless-steel-variant-reportedly-priced-at-500-4000-for-the-gold-variant/</t>
  </si>
  <si>
    <t>www.bgr.in</t>
  </si>
  <si>
    <t>Forget 18-karat gold, next-generation Apple Watch Edition could use platinum: Report</t>
  </si>
  <si>
    <t>121940d0-c66c-11e4-883c-a7fa7a3c5066</t>
  </si>
  <si>
    <t>http://www.bgr.in/news/forget-18-karat-gold-next-generation-apple-watch-edition-could-use-platinum-report/</t>
  </si>
  <si>
    <t>955880d0-c213-11e4-8747-5b024dd6dd6c</t>
  </si>
  <si>
    <t>You all had an abortion Google Translate</t>
  </si>
  <si>
    <t>e4daf120-8b17-11e4-9799-c7e75be2bcad</t>
  </si>
  <si>
    <t>http://www.bild.de/news/ausland/schwanger/schwangere-schuelerinnen-in-bosnien-trieben-ab-39087012.bild.html</t>
  </si>
  <si>
    <t>www.bild.de</t>
  </si>
  <si>
    <t>Former British Rapper Reportedly Under Investigation for James Foley Beheading</t>
  </si>
  <si>
    <t>cf9d88e0-2bf4-11e4-89c5-1d389b94bc4b</t>
  </si>
  <si>
    <t>http://www.billboard.com/articles/news/6229155/abdel-majed-abdel-bary-james-foley-beheading-l-jinny-british-rapper</t>
  </si>
  <si>
    <t>www.billboard.com</t>
  </si>
  <si>
    <t>Apple reported to be near buying Path social network</t>
  </si>
  <si>
    <t>c25b77d0-39ac-11e4-ae63-d5574342724c</t>
  </si>
  <si>
    <t>http://www.bizjournals.com/sanfrancisco/blog/techflash/2014/09/apple-reported-to-be-near-buying-path-social.html?page=all</t>
  </si>
  <si>
    <t>www.bizjournals.com</t>
  </si>
  <si>
    <t>Apple in late stages to acquire Path, report says</t>
  </si>
  <si>
    <t>c6268990-39ac-11e4-ae63-d5574342724c</t>
  </si>
  <si>
    <t>http://www.bizjournals.com/sanjose/news/2014/09/10/apple-in-late-stages-to-acquire-path-report-says.html</t>
  </si>
  <si>
    <t>Hewlett-Packard plans to break into 2 companies</t>
  </si>
  <si>
    <t>5a050360-4cbf-11e4-949b-f14041b20838</t>
  </si>
  <si>
    <t>http://www.bizjournals.com/sanjose/news/2014/10/05/report-hewlett-packard-plans-to-break-into-2.html</t>
  </si>
  <si>
    <t>Robot security guards are patrolling a Microsoft campus in Silicon Valley</t>
  </si>
  <si>
    <t>Rumor debunked: RoboCop-style robots are not patrolling Microsoft's campus</t>
  </si>
  <si>
    <t>6c08ac40-749e-11e4-99be-fb3662a4a6dd</t>
  </si>
  <si>
    <t>5d587310-749e-11e4-99be-fb3662a4a6dd</t>
  </si>
  <si>
    <t>http://www.bizjournals.com/seattle/blog/techflash/2014/11/rumor-debunked-robocop-style-robots-are-not.html</t>
  </si>
  <si>
    <t>Google will purchase roughly half of Pacific Shores office park</t>
  </si>
  <si>
    <t>Google seals massive Sunnyvale, Redwood City deals</t>
  </si>
  <si>
    <t>7fbe6ee0-5b77-11e4-a887-2324afc3f9a8</t>
  </si>
  <si>
    <t>9a1efdd0-4cc8-11e4-949b-f14041b20838</t>
  </si>
  <si>
    <t>http://www.bizjournals.com/sanfrancisco/blog/2014/10/google-seals-massive-sunnyvale-redwood-city-deals.html?page=all</t>
  </si>
  <si>
    <t>Google to buy big chunk of Pacific Shores, iconic Redwood City office park</t>
  </si>
  <si>
    <t>9ef36940-4cc8-11e4-949b-f14041b20838</t>
  </si>
  <si>
    <t>http://www.bizjournals.com/sanjose/news/2014/10/03/google-to-buy-big-chunk-of-pacific-shores-iconic.html?page=all</t>
  </si>
  <si>
    <t>Has The Batman Vs. Superman Batmobile Been Stolen In Detroit? UPDATE</t>
  </si>
  <si>
    <t>5addc950-3aba-11e4-bc0b-3f922b93930d</t>
  </si>
  <si>
    <t>http://www.bleedingcool.com/2014/09/12/has-the-batman-vs-superman-batmobile-been-stolen-in-detroit/</t>
  </si>
  <si>
    <t>www.bleedingcool.com</t>
  </si>
  <si>
    <t>Al-Shabaab Terror Group Leader Killed in U.S. Airstrike</t>
  </si>
  <si>
    <t>23293610-351b-11e4-a3fd-07e9a9d397df</t>
  </si>
  <si>
    <t>http://www.bloomberg.com/news/2014-09-05/al-shabaab-terror-group-leader-killed-in-u-s-airstrike.html</t>
  </si>
  <si>
    <t>www.bloomberg.com</t>
  </si>
  <si>
    <t>New York Plans to Reduce Marijuana Arrests Using Tickets</t>
  </si>
  <si>
    <t>0e613cf0-6919-11e4-b528-9d5aa2d2e8e7</t>
  </si>
  <si>
    <t>http://www.bloomberg.com/news/2014-11-10/new-york-plans-to-reduce-marijuana-arrests-by-issuing-tickets.html</t>
  </si>
  <si>
    <t>Tesla Said to Select Nevada for Its First Battery Site</t>
  </si>
  <si>
    <t>193f35a0-33a9-11e4-8453-710264d9a1f8</t>
  </si>
  <si>
    <t>http://www.bloomberg.com/news/2014-09-03/tesla-nevada-governor-plan-factory-press-event-tomorrow.html</t>
  </si>
  <si>
    <t>Apple to Delay Production of Larger iPads</t>
  </si>
  <si>
    <t>dd771ae0-c383-11e4-9435-a96703525a9e</t>
  </si>
  <si>
    <t>http://www.bloomberg.com/news/articles/2015-03-04/apple-said-to-delay-larger-ipad-production-on-panel-challenges</t>
  </si>
  <si>
    <t>Google Said to Buy Redwood City Offices for 585 Million</t>
  </si>
  <si>
    <t>19d97d00-66f2-11e4-b528-9d5aa2d2e8e7</t>
  </si>
  <si>
    <t>http://www.bloomberg.com/news/2014-10-24/google-said-to-buy-redwood-city-offices-for-585-million.html</t>
  </si>
  <si>
    <t>Nigerian Claims of Boko Haram Cease-Fire Hurt by Violence</t>
  </si>
  <si>
    <t>9b39c490-5969-11e4-aaf5-a1ddcfbcd5a9</t>
  </si>
  <si>
    <t>http://www.bloomberg.com/news/2014-10-21/nigerian-claims-of-boko-haram-cease-fire-hurt-by-violence.html</t>
  </si>
  <si>
    <t>Vice CEO Smith Spent 300,000 on Vegas Feast After Blackjack</t>
  </si>
  <si>
    <t>62966ca0-b874-11e4-b073-ed15c88bfa1e</t>
  </si>
  <si>
    <t>http://www.bloomberg.com/news/articles/2015-02-18/vice-s-shane-smith-spent-300-000-on-vegas-feast-after-blackjack</t>
  </si>
  <si>
    <t>Saudis Say Michelle Obama Not Blurred on TV</t>
  </si>
  <si>
    <t>4e53e460-a69b-11e4-aa4f-ff16e52e0d56</t>
  </si>
  <si>
    <t>http://www.bloombergview.com/articles/2015-01-27/saudi-tv-blurs-michelle-obama-s-face-at-meeting-with-king</t>
  </si>
  <si>
    <t>www.bloombergview.com</t>
  </si>
  <si>
    <t>Sources: Missing Afghan Soldiers May Have Been Found Near Canadian Border</t>
  </si>
  <si>
    <t>c9cde030-427f-11e4-9e78-ff09d5b0049d</t>
  </si>
  <si>
    <t>http://www.boston.com/news/local/massachusetts/2014/09/21/three-afghan-soldiers-missing-from-joint-base-cape-cod/qPrmtD6AF7X51GtJeTMCfI/story.html</t>
  </si>
  <si>
    <t>www.boston.com</t>
  </si>
  <si>
    <t>State House time capsule from 1795 unearthed</t>
  </si>
  <si>
    <t>67eb7ec0-8287-11e4-b1b5-4f1bd36cbfc6</t>
  </si>
  <si>
    <t>http://www.bostonglobe.com/metro/2014/12/11/officials-attempting-remove-massachusetts-state-house-time-capsule-from/GqKAGMB8zvxF6F3L7tWBpM/story.html</t>
  </si>
  <si>
    <t>www.bostonglobe.com</t>
  </si>
  <si>
    <t>Boston.com pulls story accusing prof of sending racist emails</t>
  </si>
  <si>
    <t>96aaf920-8133-11e4-8faa-9748b2fc07a1</t>
  </si>
  <si>
    <t>http://www.bostonherald.com/business/media_marketing/2014/12/bostoncom_pulls_story_accusing_prof_of_sending_racist_emails</t>
  </si>
  <si>
    <t>www.bostonherald.com</t>
  </si>
  <si>
    <t>Egypt Offers Abbas Land in Sinai for Future Palestinian State Read</t>
  </si>
  <si>
    <t>1743e620-3920-11e4-ae63-d5574342724c</t>
  </si>
  <si>
    <t>http://www.breakingisraelnews.com/21322/egypt-offers-abbas-land-sinai-future-palestinian-state/?utm_source=rss&amp;utm_medium=rss&amp;utm_campaign=egypt-offers-abbas-land-sinai-future-palestinian-state#WmpHo0OIDvm55b9g.97</t>
  </si>
  <si>
    <t>www.breakingisraelnews.com</t>
  </si>
  <si>
    <t>FIDEL CASTRO DEATH WATCH: RUMORS HEAT UP, CUBA DENIES</t>
  </si>
  <si>
    <t>045eaf90-9938-11e4-bf59-1bb8b99952ce</t>
  </si>
  <si>
    <t>http://www.breitbart.com/national-security/2015/01/09/fidel-castro-death-watch-rumors-heat-up-cuba-denies/</t>
  </si>
  <si>
    <t>www.breitbart.com</t>
  </si>
  <si>
    <t>ISIS FIGHTING JUST ONE MILE OUTSIDE BAGHDAD DESPITE AIRSTRIKES</t>
  </si>
  <si>
    <t>93ec7610-47f3-11e4-9960-a165dd517bbb</t>
  </si>
  <si>
    <t>http://www.breitbart.com/Big-Peace/2014/09/29/Report-ISIS-Fighting-Just-One-Mile-Outside-Baghdad-Despite-Airstrikes</t>
  </si>
  <si>
    <t>ISLAMIC STATE BEHEADS MISSING AMERICAN JOURNALIST JAMES WRIGHT FOLEY</t>
  </si>
  <si>
    <t>c05b8fc0-27fe-11e4-a916-bf0b27b73ad5</t>
  </si>
  <si>
    <t>http://www.breitbart.com/Big-Peace/2014/08/19/Islamic-State-Beheads-Missing-American-Journalist-James-Wright-Foley</t>
  </si>
  <si>
    <t>ISLAMIC STATE FED MURDERED MAN TO HIS OWN MOTHER</t>
  </si>
  <si>
    <t>666d89d0-c11b-11e4-8747-5b024dd6dd6c</t>
  </si>
  <si>
    <t>http://www.breitbart.com/national-security/2015/03/02/islamic-state-fed-murdered-man-to-his-own-mother/</t>
  </si>
  <si>
    <t>JIHADI JOHN WHO BEHEADED JAMES FOLEY WOUNDED IN US AIRSTRIKE</t>
  </si>
  <si>
    <t>07296620-6d37-11e4-8e10-b9c720c188ba</t>
  </si>
  <si>
    <t>http://www.breitbart.com/Big-Peace/2014/11/15/Jihadi-John-wounded-US-airstrike</t>
  </si>
  <si>
    <t>JORDANIAN KING PERSONALLY FLYING SORTIES AGAINST ISIS</t>
  </si>
  <si>
    <t>b32ae0a0-ad53-11e4-9a23-0b6010caa867</t>
  </si>
  <si>
    <t>http://www.breitbart.com/national-security/2015/02/04/reports-jordanian-king-personally-flying-sorties-against-isis/</t>
  </si>
  <si>
    <t>ISIS CAPTURES, BEHEADS KURDISH FEMALE FIGHTER REHANA IN KOBANE</t>
  </si>
  <si>
    <t>d02cebc0-5e35-11e4-a887-2324afc3f9a8</t>
  </si>
  <si>
    <t>http://www.breitbart.com/Big-Peace/2014/10/27/Report-ISIS-Captures-Beheads-Kurdish-Female-Fighter-Rehana-in-Kobane</t>
  </si>
  <si>
    <t>BOOK: CHARLES MANSON'S FIANC WANTED MARRIAGE SO SHE COULD DISPLAY HIS CORPSE IN TOURIST ATTRACTION</t>
  </si>
  <si>
    <t>8a812e80-b11c-11e4-9a23-0b6010caa867</t>
  </si>
  <si>
    <t>http://www.breitbart.com/big-hollywood/2015/02/09/book-charles-mansons-fiance-wanted-marriage-so-she-could-display-his-corpse-in-tourist-attraction/</t>
  </si>
  <si>
    <t>MARINES ORDERED BY STATE DEPT TO SURRENDER WEAPONS IN US EMBASSY EVAC IN YEMEN</t>
  </si>
  <si>
    <t>c7ef2f00-b497-11e4-8507-b58af63d1078</t>
  </si>
  <si>
    <t>http://www.breitbart.com/video/2015/02/11/report-marines-ordered-by-state-dept-to-surrender-weapons-in-us-embassy-evac-in-yemen/</t>
  </si>
  <si>
    <t>US Drones Over Syria Looking for ISIS Leader Abu Bakr al-Baghdadi</t>
  </si>
  <si>
    <t>0f27a6c0-4465-11e4-94c0-515d9d816ec6</t>
  </si>
  <si>
    <t>http://www.breitbart.com/Big-Peace/2014/09/09/Report-U-S-Drones-In-Skies-Over-Syria-Looking-For-Abu-Bakr-al-Baghdadi</t>
  </si>
  <si>
    <t>JETLINERS STOLEN FROM LIBYA COULD BE USED TO ATTACK U.S. ON 911</t>
  </si>
  <si>
    <t>a89130f0-33cc-11e4-8453-710264d9a1f8</t>
  </si>
  <si>
    <t>http://www.breitbart.com/Big-Peace/2014/09/02/Officials-Fear-Stolen-Jetliners-Will-Be-Used-To-Attack-US-On-September-11</t>
  </si>
  <si>
    <t>Ebola Scare in Kansas City</t>
  </si>
  <si>
    <t>74f06ce0-4e19-11e4-949b-f14041b20838</t>
  </si>
  <si>
    <t>http://www.breitbart.com/InstaBlog/2014/10/05/Ebola-Scare-In-Kansas-City</t>
  </si>
  <si>
    <t>Hospital Officials: Kansas City Patient Not Being Treated For Ebola</t>
  </si>
  <si>
    <t>80445bb0-4e19-11e4-949b-f14041b20838</t>
  </si>
  <si>
    <t>http://www.breitbart.com/InstaBlog/2014/10/05/Hospital-Officials-Kansas-City-Patient-Not-Being-Treated-For-Ebola</t>
  </si>
  <si>
    <t>IRAQI AND KURDISH MEDIA ISIS FIGHTERS HAVE CONTRACTED EBOLA</t>
  </si>
  <si>
    <t>8d1d3270-9299-11e4-b271-b1de57982894</t>
  </si>
  <si>
    <t>http://www.breitbart.com/ebola/2015/01/01/iraqi-and-kurdish-media-reports-isis-fighters-have-contracted-ebola/</t>
  </si>
  <si>
    <t>IRAQI HEALTH OFFICIAL: EBOLA HAS KILLED 5 ISIS FIGHTERS</t>
  </si>
  <si>
    <t>1ce4b040-954c-11e4-87a8-1d5d45e62193</t>
  </si>
  <si>
    <t>http://www.breitbart.com/national-security/2015/01/05/iraqi-health-official-ebola-has-killed-5-isis-fighters/</t>
  </si>
  <si>
    <t>iPhone Game Developer Quits Job By Hiding The Greatest Letter Of Resignation Ever Inside His Game</t>
  </si>
  <si>
    <t>10d5d860-8552-11e4-b1b5-4f1bd36cbfc6</t>
  </si>
  <si>
    <t>http://www.brobible.com/life/article/iphone-game-developer-letter-of-resignation/</t>
  </si>
  <si>
    <t>www.brobible.com</t>
  </si>
  <si>
    <t>PGA Tour Pro Claims Tiger Woods Is Currently Suspended For PEDs, Compares Him To Lance Armstrong</t>
  </si>
  <si>
    <t>31a53ca0-c104-11e4-8747-5b024dd6dd6c</t>
  </si>
  <si>
    <t>http://www.brobible.com/sports/article/tiger-woods-suspension-for-peds/</t>
  </si>
  <si>
    <t>IS using scorpion bombs to terrify Iraqi civilians</t>
  </si>
  <si>
    <t>018044f0-85f6-11e4-b1b5-4f1bd36cbfc6</t>
  </si>
  <si>
    <t>http://www.business-standard.com/article/news-ani/is-using-scorpion-bombs-to-terrify-iraqi-civilians-114121600250_1.html</t>
  </si>
  <si>
    <t>www.business-standard.com</t>
  </si>
  <si>
    <t>Iga Jasica Says Awakening During Brain Surgery Was No Mistake</t>
  </si>
  <si>
    <t>0cb52bc0-9428-11e4-b6bf-fdc8b7e3bcff</t>
  </si>
  <si>
    <t>http://www.business2community.com/world-news/iga-jasica-says-awakening-brain-surgery-mistake-01113362</t>
  </si>
  <si>
    <t>www.business2community.com</t>
  </si>
  <si>
    <t>Amazon Is Going To Open A Physical Store</t>
  </si>
  <si>
    <t>6328f3c0-4fe9-11e4-b6a0-9705a8f94440</t>
  </si>
  <si>
    <t>http://www.businessinsider.com/amazon-is-going-to-open-a-physical-store-2014-10</t>
  </si>
  <si>
    <t>www.businessinsider.com</t>
  </si>
  <si>
    <t>Why the most expensive Apple Watch will probably cost around 10,000</t>
  </si>
  <si>
    <t>8f08e490-c367-11e4-9435-a96703525a9e</t>
  </si>
  <si>
    <t>http://www.businessinsider.com/apple-watch-most-expensive-version-could-cost-10000-2015-2</t>
  </si>
  <si>
    <t>Here's What You Can Do On Path, The Social Network That Apple May Be About To Acquire</t>
  </si>
  <si>
    <t>6b12d410-3915-11e4-ae63-d5574342724c</t>
  </si>
  <si>
    <t>http://www.businessinsider.com/how-to-use-path-the-social-network-apple-may-acquire-2014-9</t>
  </si>
  <si>
    <t>Apple Isn't Happy With The Battery Life Of Its New Smartwatch</t>
  </si>
  <si>
    <t>1ccbf170-c299-11e4-8747-5b024dd6dd6c</t>
  </si>
  <si>
    <t>http://www.businessinsider.com/apple-watch-battery-life-2014-9</t>
  </si>
  <si>
    <t>The Apple Watch will be available outside the US when it launches next month</t>
  </si>
  <si>
    <t>bca5cf00-c1b2-11e4-8747-5b024dd6dd6c</t>
  </si>
  <si>
    <t>http://www.businessinsider.com/apple-watch-release-outside-us-2015-3</t>
  </si>
  <si>
    <t>Apple is limiting features on the Apple Watch to save battery life, according to developers</t>
  </si>
  <si>
    <t>0e7e6910-c346-11e4-8747-5b024dd6dd6c</t>
  </si>
  <si>
    <t>http://www.businessinsider.com/apple-watch-limitations-due-to-battery-life-2015-3</t>
  </si>
  <si>
    <t>Apple's Watch Will Come In 2 Storage Sizes</t>
  </si>
  <si>
    <t>101d8fd0-c2a6-11e4-8747-5b024dd6dd6c</t>
  </si>
  <si>
    <t>http://www.businessinsider.com/apple-watch-storage-sizes-2014-9</t>
  </si>
  <si>
    <t>Apple Stores will have custom-designed safes to store the gold Apple Watch in</t>
  </si>
  <si>
    <t>d98bdda0-bfb7-11e4-8747-5b024dd6dd6c</t>
  </si>
  <si>
    <t>http://www.businessinsider.com/gold-apple-watch-safes-apple-store-2015-2</t>
  </si>
  <si>
    <t>The World's Most Accurate Apple Analyst Says The Apple Watch Is Coming In March</t>
  </si>
  <si>
    <t>4cd8e850-c122-11e4-8747-5b024dd6dd6c</t>
  </si>
  <si>
    <t>http://www.businessinsider.com/apple-watch-release-date-features-2015-1</t>
  </si>
  <si>
    <t>A bunch of cool health features were cut from the Apple Watch at the last minute</t>
  </si>
  <si>
    <t>f65155a0-c282-11e4-8747-5b024dd6dd6c</t>
  </si>
  <si>
    <t>http://www.businessinsider.com/apple-cuts-features-from-apple-watch-2015-2</t>
  </si>
  <si>
    <t>There's A Weird Story Going Around About How Argentina's President Just Saved A Jewish Man From Becoming A Werewolf</t>
  </si>
  <si>
    <t>0c8f0970-9033-11e4-9799-c7e75be2bcad</t>
  </si>
  <si>
    <t>http://www.businessinsider.com/argentina-president-adopts-boy-no-werewolf-2014-12</t>
  </si>
  <si>
    <t>The Image That Everyone Is Sharing By Banksy Isn't By Banksy But It's Awesome</t>
  </si>
  <si>
    <t>1eedb070-96dd-11e4-87a8-1d5d45e62193</t>
  </si>
  <si>
    <t>http://www.businessinsider.com/fake-banksy-charlie-hebdo-illustration-2015-1</t>
  </si>
  <si>
    <t>Apple Denies Report That It Will Shut Down Beats Music</t>
  </si>
  <si>
    <t>c5fac810-4293-11e4-9e78-ff09d5b0049d</t>
  </si>
  <si>
    <t>http://www.businessinsider.com/apple-shutting-down-beats-music-2014-9</t>
  </si>
  <si>
    <t>Jeff Bezos Is Planning To Make The Washington Post Pre-Loaded On Every Kindle HDX</t>
  </si>
  <si>
    <t>5f4af310-4d74-11e4-949b-f14041b20838</t>
  </si>
  <si>
    <t>http://www.businessinsider.com/washington-post-app-pre-installed-on-amazon-tablets-2014-10</t>
  </si>
  <si>
    <t>A Bunch Of Folks Are Passing Around This Hoax Video Of A Bird Pooping On Vladimir Putin</t>
  </si>
  <si>
    <t>7847a850-1bff-11e4-8c09-cd48fe37674e</t>
  </si>
  <si>
    <t>http://www.businessinsider.com/vladimir-putin-bird-poop-video-fake-2014-8</t>
  </si>
  <si>
    <t>Comcast Denies It Will Cut Off Customers Who Use Tor, The Web Browser For Criminals</t>
  </si>
  <si>
    <t>0976a250-3ce3-11e4-bc0b-3f922b93930d</t>
  </si>
  <si>
    <t>http://www.businessinsider.com/comcast-threatens-to-cut-off-tor-users-2014-9</t>
  </si>
  <si>
    <t>The US Threatened To Prosecute Families Of The 2 Murdered Americans If They Paid A Ransom To ISIS</t>
  </si>
  <si>
    <t>afcb7f90-42c4-11e4-9e78-ff09d5b0049d</t>
  </si>
  <si>
    <t>http://www.businessinsider.com/foley-sotloff-family-threatened-prosecution-2014-9</t>
  </si>
  <si>
    <t>Apple will launch a 4-inch iPhone in 2015</t>
  </si>
  <si>
    <t>Apple May Be Reintroducing The 4-inch iPhone</t>
  </si>
  <si>
    <t>abfc5cc0-7ee9-11e4-8faa-9748b2fc07a1</t>
  </si>
  <si>
    <t>f5293b30-7ee8-11e4-8faa-9748b2fc07a1</t>
  </si>
  <si>
    <t>http://www.businessinsider.com/apple-may-be-reintroducing-the-4-inch-iphone-2014-12</t>
  </si>
  <si>
    <t>HACKERS TO SONY: If You Make Any More Trouble, We'll Destroy You</t>
  </si>
  <si>
    <t>48e84d80-8798-11e4-a13d-d9bce527941d</t>
  </si>
  <si>
    <t>http://www.businessinsider.com/hackers-to-sony-if-you-make-any-more-trouble-well-destroy-you-2014-12</t>
  </si>
  <si>
    <t>IT'S OFFICIAL: HP Is Splitting Into 2 Separate Businesses</t>
  </si>
  <si>
    <t>60090010-4cbd-11e4-949b-f14041b20838</t>
  </si>
  <si>
    <t>http://www.businessinsider.com/hp-is-planning-to-split-2014-10</t>
  </si>
  <si>
    <t>Hewlett-Packard Plans To Split Into Two Companies: WSJ Report</t>
  </si>
  <si>
    <t>ae813230-4cbd-11e4-949b-f14041b20838</t>
  </si>
  <si>
    <t>http://www.businessinsider.com/r-hewlett-packard-plans-to-split-into-two-companies-wsj-report-2014-10</t>
  </si>
  <si>
    <t>A New iOS 8 Bug Can Delete All Of Your iCloud Documents</t>
  </si>
  <si>
    <t>92c0c110-48d4-11e4-9960-a165dd517bbb</t>
  </si>
  <si>
    <t>http://www.businessinsider.com/ios-8-bug-deletes-icloud-drive-documents-2014-9</t>
  </si>
  <si>
    <t>We're Getting More Detail On The Amazing New Camera Apple Is Planning For The Next iPhone</t>
  </si>
  <si>
    <t>27dbc940-9fe5-11e4-a353-5b831fe927be</t>
  </si>
  <si>
    <t>http://www.businessinsider.com/iphone-camera-may-finally-have-optical-zoom-2015-1</t>
  </si>
  <si>
    <t>386d3be0-4e5f-11e4-949b-f14041b20838</t>
  </si>
  <si>
    <t>http://www.businessinsider.com/hairgate-iphone-6-customers-complaining-the-phone-is-ripping-out-their-hair-2014-10</t>
  </si>
  <si>
    <t>ISIS Claims To Have Captured US Airdrop Weapons</t>
  </si>
  <si>
    <t>e3ef9b10-5964-11e4-aaf5-a1ddcfbcd5a9</t>
  </si>
  <si>
    <t>http://www.businessinsider.com/isis-claims-to-have-captured-us-airdrop-weapons-2014-10</t>
  </si>
  <si>
    <t>ISIS Is Reportedly Trying To Sell James Foley's Remains For 1 Million</t>
  </si>
  <si>
    <t>2e732fd0-8138-11e4-8faa-9748b2fc07a1</t>
  </si>
  <si>
    <t>http://www.businessinsider.com/isis-is-reportedly-trying-to-sell-james-foleys-remains-for-1-million-2014-12</t>
  </si>
  <si>
    <t>An Egyptian ISIS treasurer stole 1 million and fled to Turkey</t>
  </si>
  <si>
    <t>a51d9060-ae12-11e4-9a23-0b6010caa867</t>
  </si>
  <si>
    <t>http://www.businessinsider.com/an-egyptian-isis-treasurer-stole-1-million-and-fled-to-turkey-2015-2</t>
  </si>
  <si>
    <t>ISIS executioner Jihadi John identified as Mohammed Emwazi</t>
  </si>
  <si>
    <t>e3068b10-bdb3-11e4-b073-ed15c88bfa1e</t>
  </si>
  <si>
    <t>http://www.businessinsider.com/isis-executioner-jihadi-john-identified-as-mohammed-emwazi-2015-2</t>
  </si>
  <si>
    <t>The ISIS Executioner Who Killed 4 Hostages May Have Been Wounded In Airstrikes</t>
  </si>
  <si>
    <t>a34745e0-6d3c-11e4-8e10-b9c720c188ba</t>
  </si>
  <si>
    <t>http://www.businessinsider.com/the-isis-executioner-who-killed-4-hostages-may-have-been-wounded-in-airstrikes-2014-11</t>
  </si>
  <si>
    <t>Former Baseball Star Jose Canseco Accidentally Shot Himself In The Hand</t>
  </si>
  <si>
    <t>f4770fc0-5f0b-11e4-a887-2324afc3f9a8</t>
  </si>
  <si>
    <t>http://www.businessinsider.com/jose-canseco-gun-accident-injury-2014-10</t>
  </si>
  <si>
    <t>Kim Jong Un hurt his leg during military exercises</t>
  </si>
  <si>
    <t>Kim Jong-Un Has Difficulty Walking And Needs About 100 Days To Recuperate</t>
  </si>
  <si>
    <t>5001aa00-4fec-11e4-b6a0-9705a8f94440</t>
  </si>
  <si>
    <t>3dc4eeb0-4fec-11e4-b6a0-9705a8f94440</t>
  </si>
  <si>
    <t>http://www.businessinsider.com/r-north-korea-leader-kim-has-leg-injury-but-is-fully-in-charge-source-2014-10</t>
  </si>
  <si>
    <t>ISIS Reportedly Beheaded The Poster Child For Kurdish Female Fighters</t>
  </si>
  <si>
    <t>853b2140-5e35-11e4-a887-2324afc3f9a8</t>
  </si>
  <si>
    <t>http://www.businessinsider.com/kobani-poster-child-for-kurdish-female-fighters-beheaded-by-is-2014-10</t>
  </si>
  <si>
    <t>LG Display, Samsung unit to supply Apple Watch screens: South Korea paper</t>
  </si>
  <si>
    <t>e8484aa0-c20e-11e4-8747-5b024dd6dd6c</t>
  </si>
  <si>
    <t>http://www.businessinsider.com/r-lg-display-samsung-unit-to-supply-apple-watch-screens-south-korea-paper-2015-3</t>
  </si>
  <si>
    <t>Meteorite Strikes Nicaraguan Capital, Creates 16-Foot-Deep Crater</t>
  </si>
  <si>
    <t>9b0e6590-383d-11e4-ae63-d5574342724c</t>
  </si>
  <si>
    <t>http://www.businessinsider.com/meteorite-strikes-nicaraguan-capital-managua-2014-9</t>
  </si>
  <si>
    <t>The son of a North Korean is on the run in France</t>
  </si>
  <si>
    <t>A North Korean Student Is On The Run In France After Escaping Pyongyang Agents</t>
  </si>
  <si>
    <t>69a445a0-9059-11e4-9799-c7e75be2bcad</t>
  </si>
  <si>
    <t>63e245e0-9059-11e4-9799-c7e75be2bcad</t>
  </si>
  <si>
    <t>http://www.businessinsider.com/north-korean-student-on-the-run-in-france-after-escaping-pyongyang-agents-2014-12</t>
  </si>
  <si>
    <t>A Predator Drone Has Reportedly Been Spotted Circling Above ISIS's Capital City</t>
  </si>
  <si>
    <t>ac88bba0-3616-11e4-ae63-d5574342724c</t>
  </si>
  <si>
    <t>http://www.businessinsider.com/aaron-stein-predator-drone-circling-above-isis-capital-city-2014-9</t>
  </si>
  <si>
    <t>Doctor Snapped A Selfie While Joan Rivers Was Under Anesthesia</t>
  </si>
  <si>
    <t>353b19a0-3e57-11e4-bc0b-3f922b93930d</t>
  </si>
  <si>
    <t>http://www.businessinsider.com/doctor-selfie-joan-rivers-biopsy-2014-9</t>
  </si>
  <si>
    <t>Here Are Microsoft's New Robot Security Guards</t>
  </si>
  <si>
    <t>53637b30-74a2-11e4-99be-fb3662a4a6dd</t>
  </si>
  <si>
    <t>http://www.businessinsider.com/microsoft-has-new-robot-security-guards-2014-11</t>
  </si>
  <si>
    <t>Seth Rogen To Play Steve Wozniak In Steve Jobs Biopic</t>
  </si>
  <si>
    <t>6d1fcf50-611b-11e4-b6e9-e5f029e25965</t>
  </si>
  <si>
    <t>http://www.businessinsider.com/seth-rogen-to-play-steve-wozniak-in-steve-jobs-movie-apple-2014-10</t>
  </si>
  <si>
    <t>ISIS Executes 2nd American Journalist</t>
  </si>
  <si>
    <t>55646430-32cb-11e4-8453-710264d9a1f8</t>
  </si>
  <si>
    <t>http://www.businessinsider.com/steven-sotloff-isis-killed-2014-9</t>
  </si>
  <si>
    <t>Tesla Chooses Nevada For Site Of Its Massive Battery Factory</t>
  </si>
  <si>
    <t>9a93e620-33a2-11e4-8453-710264d9a1f8</t>
  </si>
  <si>
    <t>http://www.businessinsider.com/report-tesla-chooses-nevada-for-site-of-its-gigafactory-2014-9</t>
  </si>
  <si>
    <t>This Story About How Tim Cook Changed The On Hold Music At Apple Shows Why He's Such A Great CEO</t>
  </si>
  <si>
    <t>bee8d430-19cc-11e4-88ab-e7f7e0fff656</t>
  </si>
  <si>
    <t>http://www.businessinsider.com/apple-ceo-tim-cook-changes-apples-on-hold-music-2014-7</t>
  </si>
  <si>
    <t>Amazon Reportedly Planning An Ad-Supported Video Service That Will Be Cheaper Than Netflix</t>
  </si>
  <si>
    <t>1bf8dc90-7311-11e4-99be-fb3662a4a6dd</t>
  </si>
  <si>
    <t>http://www.businessinsider.com/amazon-ad-supported-video-streaming-service-2014-11</t>
  </si>
  <si>
    <t>Apple's 12.9-Inch iPad Pro Has Been Delayed</t>
  </si>
  <si>
    <t>29f81b70-c385-11e4-9435-a96703525a9e</t>
  </si>
  <si>
    <t>http://www.businessinsider.com/apple-129-inch-ipad-pro-delayed-until-q2-2015-2014-11</t>
  </si>
  <si>
    <t>HBO in talks with Apple to be launch partner for coming web service HBO Now</t>
  </si>
  <si>
    <t>9afb0060-c431-11e4-883c-a7fa7a3c5066</t>
  </si>
  <si>
    <t>http://www.businessinsider.com/hbo-in-talks-with-apple-to-be-launch-partner-for-coming-web-service-hbo-now-2015-3</t>
  </si>
  <si>
    <t>51e5e0e0-c28b-11e4-8747-5b024dd6dd6c</t>
  </si>
  <si>
    <t>Apple will take appointments at Apple Stores to try on the Apple Watch</t>
  </si>
  <si>
    <t>You may be able to make appointments at the Apple Store to try on the Apple Watch when it launches</t>
  </si>
  <si>
    <t>12cd5b50-c67c-11e4-883c-a7fa7a3c5066</t>
  </si>
  <si>
    <t>9b30e4a0-c67a-11e4-883c-a7fa7a3c5066</t>
  </si>
  <si>
    <t>http://www.businessinsider.com/apple-watch-stores-2015-3</t>
  </si>
  <si>
    <t>Christian Bale Will Play Steve Jobs In Sony's Next Biopic</t>
  </si>
  <si>
    <t>6a4c5510-54c7-11e4-b6a0-9705a8f94440</t>
  </si>
  <si>
    <t>http://www.businessinsider.com/christian-bale-as-steve-jobs-2014-10</t>
  </si>
  <si>
    <t>Christian Bale Drops Out Of Steve Jobs Biopic</t>
  </si>
  <si>
    <t>ef0d7bc0-6396-11e4-b3d8-a32d8ec8ad5e</t>
  </si>
  <si>
    <t>http://www.businessinsider.com/christian-drops-out-of-steve-jobs-movie-2014-11</t>
  </si>
  <si>
    <t>A Man Says Comcast Called His Boss And Got Him Fired After He Complained About Its Service</t>
  </si>
  <si>
    <t>a8419da0-4ee4-11e4-949b-f14041b20838</t>
  </si>
  <si>
    <t>http://www.businessinsider.com/a-comcast-customer-claims-company-got-him-fired-2014-10</t>
  </si>
  <si>
    <t>An Indian Civil Servant Just Got Sacked After Not Turning Up For Work For 25 Years</t>
  </si>
  <si>
    <t>99ea34f0-98f5-11e4-bf59-1bb8b99952ce</t>
  </si>
  <si>
    <t>http://www.businessinsider.com/indian-civil-servant-didnt-work-for-25-years-2015-1</t>
  </si>
  <si>
    <t>Vice CEO Shane Smith reportedly spent 300,000 on a steak dinner at CES</t>
  </si>
  <si>
    <t>4e3b8c40-b874-11e4-b073-ed15c88bfa1e</t>
  </si>
  <si>
    <t>http://www.businessinsider.com/shane-smith-spent-300000-on-a-steak-dinner-at-ces-2015-2</t>
  </si>
  <si>
    <t>The Whole Internet Is Waiting For This Pic Of A Monster 50-Foot Crab To Be Declared A Hoax</t>
  </si>
  <si>
    <t>e5cc6f50-555c-11e4-aaf5-a1ddcfbcd5a9</t>
  </si>
  <si>
    <t>http://www.businessinsider.com.au/the-whole-internet-is-waiting-for-this-pic-of-a-monster-50-foot-crab-to-be-declared-a-hoax-2014-10/</t>
  </si>
  <si>
    <t>www.businessinsider.com.au</t>
  </si>
  <si>
    <t>Apple Will Acquire Path, The Struggling Social Network</t>
  </si>
  <si>
    <t>6386c2b0-3915-11e4-ae63-d5574342724c</t>
  </si>
  <si>
    <t>http://www.businessinsider.in/REPORT-Apple-Will-Acquire-Path-The-Struggling-Social-Network/articleshow/42170008.cms</t>
  </si>
  <si>
    <t>www.businessinsider.in</t>
  </si>
  <si>
    <t>The Story Of The High School Trader Who Made 72 Million Is A Rumor Spun Out Of Control</t>
  </si>
  <si>
    <t>75111200-8484-11e4-b1b5-4f1bd36cbfc6</t>
  </si>
  <si>
    <t>http://www.businessinsider.in/The-Story-Of-The-High-School-Trader-Who-Made-72-Million-Is-A-Rumor-Spun-Out-Of-Control/articleshow/45527403.cms</t>
  </si>
  <si>
    <t>985439d0-5b77-11e4-a887-2324afc3f9a8</t>
  </si>
  <si>
    <t>http://www.businessweek.com/news/2014-10-24/google-said-to-buy-redwood-city-offices-for-585-million</t>
  </si>
  <si>
    <t>www.businessweek.com</t>
  </si>
  <si>
    <t>Google Grows With 1.6 Billion in California Office Deals</t>
  </si>
  <si>
    <t>81dbf920-6c09-11e4-b528-9d5aa2d2e8e7</t>
  </si>
  <si>
    <t>http://www.businessweek.com/news/2014-10-25/google-grows-with-1-dot-6-billion-in-california-office-deals</t>
  </si>
  <si>
    <t>No, Banksy Didn't Create That Charlie Hebdo Tribute Cartoon, But That Doesn't Mean You Can't Appreciate It</t>
  </si>
  <si>
    <t>bcba3750-96f2-11e4-87a8-1d5d45e62193</t>
  </si>
  <si>
    <t>http://www.bustle.com/articles/57399-no-banksy-didnt-create-that-charlie-hebdo-tribute-cartoon-but-that-doesnt-mean-you-cant-appreciate</t>
  </si>
  <si>
    <t>www.bustle.com</t>
  </si>
  <si>
    <t>WAS NBC METEOROLOGIST MIKE SEIDEL PEEING IN THE SNOW ON CAMERA? A TESTY BRIAN WILLIAMS EXPLAINS</t>
  </si>
  <si>
    <t>48450850-645c-11e4-b3d8-a32d8ec8ad5e</t>
  </si>
  <si>
    <t>http://www.bustle.com/articles/47465-was-nbc-meteorologist-mike-seidel-peeing-in-the-snow-on-camera-a-testy-brian-williams-explains</t>
  </si>
  <si>
    <t>ISIS LEADER ABU BAKR AL-BAGHDADI INJURED IN U.S. AIR STRIKES, IRAQI OFFICIALS CLAIM</t>
  </si>
  <si>
    <t>a9fdb550-68ea-11e4-b528-9d5aa2d2e8e7</t>
  </si>
  <si>
    <t>http://www.bustle.com/articles/48314-isis-leader-abu-bakr-al-baghdadi-injured-in-us-air-strikes-iraqi-officials-claim</t>
  </si>
  <si>
    <t>Confusion Surrounds Capture Of ISIS Leader's Wife</t>
  </si>
  <si>
    <t>30fe3460-7c3e-11e4-b794-93ed794d7b91</t>
  </si>
  <si>
    <t>http://www.buzzfeed.com/franciswhittaker/isis-leaders-wife-and-child-held-in-lebanon</t>
  </si>
  <si>
    <t>www.buzzfeed.com</t>
  </si>
  <si>
    <t>Argentina's President Adopted A Jewish Godson To Stop Him From Turning Into A Werewolf</t>
  </si>
  <si>
    <t>5d9cc8e0-8f96-11e4-9799-c7e75be2bcad</t>
  </si>
  <si>
    <t>http://www.buzzfeed.com/ryanhatesthis/argentinas-president-adopted-a-jewish-godson-to-stop-him-fro#.yuvoQ2Lrvr</t>
  </si>
  <si>
    <t>This Woman Is Wrongly Being Called A Sexual Predator After Her Private Sex Tape Was Used For A Hoax</t>
  </si>
  <si>
    <t>e7c09e00-c7f6-11e4-883c-a7fa7a3c5066</t>
  </si>
  <si>
    <t>http://www.buzzfeed.com/ryanhatesthis/the-lucita-sandoval-sex-tape#.ydR35ExAr</t>
  </si>
  <si>
    <t>A Bunch Of People Thought Banksy Got Arrested But It Was A Hoax</t>
  </si>
  <si>
    <t>60d29ed0-5888-11e4-aaf5-a1ddcfbcd5a9</t>
  </si>
  <si>
    <t>http://www.buzzfeed.com/alanwhite/everyone-needs-to-chill-because-banksy-hasnt-been-arrested#36ru22p</t>
  </si>
  <si>
    <t>This Powerful Cartoon About The Charlie Hebdo Attack Is Not By Banksy</t>
  </si>
  <si>
    <t>a9f5a960-9729-11e4-87a8-1d5d45e62193</t>
  </si>
  <si>
    <t>http://www.buzzfeed.com/alanwhite/this-powerful-cartoon-about-the-charlie-hebdo-attack-is-not</t>
  </si>
  <si>
    <t>A Russian Guy Says His Justin Bieber Ringtone Saved Him From A Bear Attack</t>
  </si>
  <si>
    <t>e8ce99e0-1d84-11e4-8c09-cd48fe37674e</t>
  </si>
  <si>
    <t>http://www.buzzfeed.com/alisonvingiano/this-man-says-his-justin-bieber-ringtone-saved-him-from-a-be</t>
  </si>
  <si>
    <t>Chinese State Media Warns People To Stop Calling Themselves Dumbledore</t>
  </si>
  <si>
    <t>4b222440-822f-11e4-be1a-2d20e0ce9757</t>
  </si>
  <si>
    <t>http://www.buzzfeed.com/patricksmith/chinese-state-media-warns-people-to-stop-calling-themselves</t>
  </si>
  <si>
    <t>This Dog Was Left At A Railway Station With A Suitcase Of His Belongings After He Was Sold On Gumtree</t>
  </si>
  <si>
    <t>309d00d0-9685-11e4-87a8-1d5d45e62193</t>
  </si>
  <si>
    <t>http://www.buzzfeed.com/alanwhite/this-dog-was-abandoned-at-a-scottish-railway-station-with-a</t>
  </si>
  <si>
    <t>ESPN's All-Male Monday Night Football Panel On Domestic Violence Is Not Real</t>
  </si>
  <si>
    <t>8441e970-4816-11e4-9960-a165dd517bbb</t>
  </si>
  <si>
    <t>http://www.buzzfeed.com/mikehayes/espns-all-male-monday-night-football-panel-on-domestic-viole#4mjqmp</t>
  </si>
  <si>
    <t>Canadian-Israeli Woman Says She Hasn't Been Captured By ISIS</t>
  </si>
  <si>
    <t>50b18020-79bc-11e4-b794-93ed794d7b91</t>
  </si>
  <si>
    <t>http://www.buzzfeed.com/ellievhall/canadian-israeli-woman-says-she-hasnt-been-captured-by-isis</t>
  </si>
  <si>
    <t>The Unluckiest Man In The World Set His College On Fire With A Fireworks Marriage Proposal</t>
  </si>
  <si>
    <t>b6f7efe0-9ffa-11e4-a353-5b831fe927be</t>
  </si>
  <si>
    <t>http://www.buzzfeed.com/ryanhatesthis/unluckiest-man-in-the-world-set-his-college-on-fire#.npE9EWl8N</t>
  </si>
  <si>
    <t>ISIS hostage Alan Henning found innocent by Sharia court</t>
  </si>
  <si>
    <t>Unconfirmed Reports Say U.K. Hostage Held By ISIS Found Innocent By Sharia Court</t>
  </si>
  <si>
    <t>ed37c500-4413-11e4-94c0-515d9d816ec6</t>
  </si>
  <si>
    <t>eb242740-4413-11e4-94c0-515d9d816ec6</t>
  </si>
  <si>
    <t>http://www.buzzfeed.com/ellievhall/unconfirmed-reports-say-uk-hostage-held-by-isis-found-innoce?utm_term=4j9w27#4mjqmp</t>
  </si>
  <si>
    <t>Two GOP Congressmen Say Suspected Terrorists Caught Crossing U.S.Mexico Border</t>
  </si>
  <si>
    <t>7ec83c50-7684-11e4-b9e8-ab92b2da133c</t>
  </si>
  <si>
    <t>http://www.buzzfeed.com/jimdalrympleii/is-isis-coming-over-the-us-mexico-border-depends-on-who-you</t>
  </si>
  <si>
    <t>699d1300-4fc9-11e4-b6a0-9705a8f94440</t>
  </si>
  <si>
    <t>http://www.buzzfeed.com/jimdalrympleii/is-isis-coming-over-the-us-mexico-border-depends-on-who-you#1osoycb</t>
  </si>
  <si>
    <t>This Is Why Rumors That ISIS Is Crossing The Border Into The U.S. Aren't Going Away</t>
  </si>
  <si>
    <t>5fb42680-7684-11e4-b9e8-ab92b2da133c</t>
  </si>
  <si>
    <t>http://www.buzzfeed.com/nicolasmedinamora/this-is-why-rumors-that-isis-is-crossing-the-border-into-the</t>
  </si>
  <si>
    <t>ISIS Appears To Behead American Photojournalist In YouTube Video</t>
  </si>
  <si>
    <t>65e04640-2802-11e4-a916-bf0b27b73ad5</t>
  </si>
  <si>
    <t>http://www.buzzfeed.com/jtes/isis-appears-to-behead-american-photojournalist-in-youtube-v</t>
  </si>
  <si>
    <t>ISIS Is Trying To Sell The Body Of U.S. Hostage James Foley For 1 Million</t>
  </si>
  <si>
    <t>bfa87470-8137-11e4-8faa-9748b2fc07a1</t>
  </si>
  <si>
    <t>http://www.buzzfeed.com/mikegiglio/isis-is-trying-to-sell-the-body-of-us-hostage-james-foley-fo</t>
  </si>
  <si>
    <t>ISIS Militant Jihadi John Identified As Young West Londoner</t>
  </si>
  <si>
    <t>83085bc0-bdb9-11e4-b073-ed15c88bfa1e</t>
  </si>
  <si>
    <t>http://www.buzzfeed.com/jimwaterson/jihadi-john-identified-as-young-west-londoner</t>
  </si>
  <si>
    <t>Jordan's King Abdullah Did Not Personally Fly Airstrikes On ISIS</t>
  </si>
  <si>
    <t>b961d2f0-adfb-11e4-9a23-0b6010caa867</t>
  </si>
  <si>
    <t>http://www.buzzfeed.com/claudiakoerner/jordans-king-abdullah-did-not-personally-fly-air-strikes-on</t>
  </si>
  <si>
    <t>This Letter To Parents From A 1970s Lego Set Contains An Important Message For Gender Equality</t>
  </si>
  <si>
    <t>4bab6950-7409-11e4-99be-fb3662a4a6dd</t>
  </si>
  <si>
    <t>http://www.buzzfeed.com/jobarrow/its-the-imagination-that-counts</t>
  </si>
  <si>
    <t>Macaulay Culkin Hasn't Died Despite What Everyone Is Saying On Facebook</t>
  </si>
  <si>
    <t>bbb4f0a0-67b0-11e4-b528-9d5aa2d2e8e7</t>
  </si>
  <si>
    <t>http://www.buzzfeed.com/jimwaterson/macaulay-culkin-hasnt-died-despite-what-everyone-is-saying</t>
  </si>
  <si>
    <t>People On Twitter Think Macklemore Has Joined ISIS</t>
  </si>
  <si>
    <t>2e023860-b9c9-11e4-b073-ed15c88bfa1e</t>
  </si>
  <si>
    <t>http://www.buzzfeed.com/iramadison/people-on-twitter-think-macklemore-has-joined-isis?utm_term=4ldqpia</t>
  </si>
  <si>
    <t>This Guy Paid Off His Parents Mortgage For Christmas</t>
  </si>
  <si>
    <t>69a47bd0-8e2c-11e4-9799-c7e75be2bcad</t>
  </si>
  <si>
    <t>http://www.buzzfeed.com/declancashin/happy-christmas-mom-and-dad</t>
  </si>
  <si>
    <t>Incredible Video Shows A US Marine Surviving Being Shot In The Head By A Sniper In Afghanistan</t>
  </si>
  <si>
    <t>7788af50-553d-11e4-b6a0-9705a8f94440</t>
  </si>
  <si>
    <t>http://www.buzzfeed.com/richardhjames/incredible-video-shows-a-us-marine-surviving-being-shot-in-t#36ru22p</t>
  </si>
  <si>
    <t>It Just Got Harder To Get Arrested For Pot In New York City</t>
  </si>
  <si>
    <t>86d5d610-6918-11e4-b528-9d5aa2d2e8e7</t>
  </si>
  <si>
    <t>http://www.buzzfeed.com/nicolasmedinamora/its-about-to-get-harder-to-be-arrested-for-post-possession-i</t>
  </si>
  <si>
    <t>This Campaign Shows A Pretty Genius Way To Stop Men Catcalling In The Street</t>
  </si>
  <si>
    <t>e7d26090-a631-11e4-aa4f-ff16e52e0d56</t>
  </si>
  <si>
    <t>http://www.buzzfeed.com/alanwhite/this-campaign-shows-a-pretty-genius-way-to-stop-men-catcalli</t>
  </si>
  <si>
    <t>Luckiest Pizza Delivery Guy Ever Gets 2,000 Tip</t>
  </si>
  <si>
    <t>e0f69ab0-a1c3-11e4-a353-5b831fe927be</t>
  </si>
  <si>
    <t>http://www.buzzfeed.com/davidmack/luckiest-pizza-delivery-guy-ever-gets-2000-tip#.ocX2g77JN</t>
  </si>
  <si>
    <t>A Spider Lived Inside This Tourist's Body For 3 Days After Burrowing Into His Skin Through A Scar</t>
  </si>
  <si>
    <t>524a52a0-565c-11e4-aaf5-a1ddcfbcd5a9</t>
  </si>
  <si>
    <t>http://www.buzzfeed.com/richardhjames/a-spider-lived-inside-this-tourists-body-for-3-days-after-bu#36ru22p</t>
  </si>
  <si>
    <t>Woman's Claims She Had Plastic Surgery To Add A Third Breast Likely A Hoax</t>
  </si>
  <si>
    <t>5264bb40-428e-11e4-9e78-ff09d5b0049d</t>
  </si>
  <si>
    <t>http://www.buzzfeed.com/alanwhite/this-woman-claims-to-have-had-plastic-surgery-so-she-can-hav#4mjqmp</t>
  </si>
  <si>
    <t>After Canadian police published a wanted post on Facebook, the target replied and later turned himself in</t>
  </si>
  <si>
    <t>A Wanted Man Responded To A Police Facebook Post That He Would Turn Himself In</t>
  </si>
  <si>
    <t>97a0dc30-a7d2-11e4-aa4f-ff16e52e0d56</t>
  </si>
  <si>
    <t>2c3ff530-a7d1-11e4-aa4f-ff16e52e0d56</t>
  </si>
  <si>
    <t>http://www.buzzfeed.com/tanyachen/in-canada-even-criminals-are-kind?bffb&amp;utm_term=4ldqpgu#.cyX2Voo0y</t>
  </si>
  <si>
    <t>After Finding Out Mid-Wedding That Her Groom Was Unwell, This Bride Married A Wedding Guest Instead</t>
  </si>
  <si>
    <t>92aca880-b790-11e4-8507-b58af63d1078</t>
  </si>
  <si>
    <t>http://www.buzzfeed.com/andreborges/and-that-kids-is-how-i-met-your-mother</t>
  </si>
  <si>
    <t>Someone Spraypainted A Penis On A 1.5m Bugatti Veyron And It Went Very Viral</t>
  </si>
  <si>
    <t>04392a60-4ff3-11e4-b6a0-9705a8f94440</t>
  </si>
  <si>
    <t>http://www.buzzfeed.com/richardhjames/this-penis-drawn-on-a-15m-bugatti-veyron-is-funny-but-not-ev#1osoycb</t>
  </si>
  <si>
    <t>A Husband Breaks Down In Tears After Lost Voicemail Message By His Late Wife Is Recovered</t>
  </si>
  <si>
    <t>f962b9d0-a8a3-11e4-a133-7514623ae047</t>
  </si>
  <si>
    <t>http://www.buzzfeed.com/richardhjames/man-breaks-down-in-tears-after-voicemail-message-left-by-his</t>
  </si>
  <si>
    <t>Boko Haram Could Release Kidnapped Girls, Nigerian Officials Say</t>
  </si>
  <si>
    <t>edb58830-5635-11e4-aaf5-a1ddcfbcd5a9</t>
  </si>
  <si>
    <t>http://www.buzzfeed.com/nicolasmedinamora/boko-haram-could-release-kidnapped-girls-nigerian-officials#36ru22p</t>
  </si>
  <si>
    <t>Sadly Vladimir Putin Hasn't Been Driving Round In A Motorcade Shaped Like A Penis</t>
  </si>
  <si>
    <t>a488b560-68f0-11e4-b528-9d5aa2d2e8e7</t>
  </si>
  <si>
    <t>http://www.buzzfeed.com/alanwhite/in-case-you-were-wondering-vladimir-putin-hasnt-been-driving?bftw&amp;utm_term=4ldqpgm#4ldqpgm</t>
  </si>
  <si>
    <t>A Vice Guide To Spending 300,000 On Dinner</t>
  </si>
  <si>
    <t>c7264520-b886-11e4-b073-ed15c88bfa1e</t>
  </si>
  <si>
    <t>http://www.buzzfeed.com/mariahsummers/a-vice-guide-to-spending-300000-on-dinner#.ntmMVRRzq</t>
  </si>
  <si>
    <t>Calm Yourselves, Durex Has NOT Come Out With A Pumpkin Spice Condom</t>
  </si>
  <si>
    <t>cb67cfb0-377f-11e4-ae63-d5574342724c</t>
  </si>
  <si>
    <t>http://www.buzzfeed.com/rachelzarrell/pumpkin-spice-condoms-are-a-sad-lie</t>
  </si>
  <si>
    <t>Manson's fiancee wants to put his corpse on display: Report</t>
  </si>
  <si>
    <t>9554d450-b11d-11e4-9a23-0b6010caa867</t>
  </si>
  <si>
    <t>http://www.calgarysun.com/2015/02/09/mansons-fiancee-wants-to-put-his-corpse-on-display-report</t>
  </si>
  <si>
    <t>www.calgarysun.com</t>
  </si>
  <si>
    <t>Source: Three Afghan soldiers located at Canadian border</t>
  </si>
  <si>
    <t>ea553fa0-4280-11e4-9e78-ff09d5b0049d</t>
  </si>
  <si>
    <t>http://www.capecodonline.com/apps/pbcs.dll/article?AID=/20140922/NEWS11/140929937/-1/NEWS</t>
  </si>
  <si>
    <t>www.capecodonline.com</t>
  </si>
  <si>
    <t>Confusion as Cuba's Castro mourned instead of Kenya's Fidel</t>
  </si>
  <si>
    <t>e0b60e40-980a-11e4-bb36-07f7e019de19</t>
  </si>
  <si>
    <t>http://www.capitalfm.co.ke/news/2015/01/confusion-as-cubas-castro-mourned-instead-of-kenyas-fidel/</t>
  </si>
  <si>
    <t>www.capitalfm.co.ke</t>
  </si>
  <si>
    <t>Shocking Photos Mom Tries To Sell Son To Pay For Daughter's Cancer Treatment</t>
  </si>
  <si>
    <t>bb7c4240-96b4-11e4-87a8-1d5d45e62193</t>
  </si>
  <si>
    <t>http://www.carbonated.tv/news/shocking-photos-mom-tries-to-sell-son-to-pay-for-daughters-cancer-treatment</t>
  </si>
  <si>
    <t>www.carbonated.tv</t>
  </si>
  <si>
    <t>Exec popped for 300k dinner after run at blackjack</t>
  </si>
  <si>
    <t>40d13400-b889-11e4-b073-ed15c88bfa1e</t>
  </si>
  <si>
    <t>http://www.casinocitytimes.com/article/report-exec-popped-for-$300k-dinner-after-run-at-blackjack-64058</t>
  </si>
  <si>
    <t>www.casinocitytimes.com</t>
  </si>
  <si>
    <t>SEND IN THE DRONES: Predator drones flown over IS headquarters in Syria</t>
  </si>
  <si>
    <t>9f1d4190-3902-11e4-ae63-d5574342724c</t>
  </si>
  <si>
    <t>http://www.catholic.org/news/international/middle_east/story.php?id=56838</t>
  </si>
  <si>
    <t>www.catholic.org</t>
  </si>
  <si>
    <t>Gill Rosenberg, Canadian citizen, reportedly captured by ISIS in Syria</t>
  </si>
  <si>
    <t>9168b8c0-78c4-11e4-b794-93ed794d7b91</t>
  </si>
  <si>
    <t>http://www.cbc.ca/m/news/canada/gill-rosenberg-canadian-citizen-reportedly-kidnapped-by-isis-in-syria-1.2855316</t>
  </si>
  <si>
    <t>www.cbc.ca</t>
  </si>
  <si>
    <t>Hairgate: Reports of iPhone 6 pulling out hair, beards, likely exaggerated</t>
  </si>
  <si>
    <t>a7bb18e0-4e7e-11e4-949b-f14041b20838</t>
  </si>
  <si>
    <t>http://www.cbc.ca/newsblogs/yourcommunity/2014/10/hairgate-reports-of-iphone-6-pulling-out-hair-beards-likely-exaggerated.html</t>
  </si>
  <si>
    <t>Kayla Jean Mueller, U.S. hostage, killed in Jordan airstrike, ISIS claims</t>
  </si>
  <si>
    <t>fc8171d0-ae3c-11e4-9a23-0b6010caa867</t>
  </si>
  <si>
    <t>http://www.cbc.ca/news/world/kayla-jean-mueller-u-s-hostage-killed-in-jordan-airstrike-isis-claims-1.2947990</t>
  </si>
  <si>
    <t>UPDATED Jihadi John identified as Mohammed Emwazi of London, reports say</t>
  </si>
  <si>
    <t>801350f0-bdb4-11e4-b073-ed15c88bfa1e</t>
  </si>
  <si>
    <t>http://www.cbc.ca/news/world/jihadi-john-identified-as-mohammed-emwazi-of-london-reports-say-1.2973079</t>
  </si>
  <si>
    <t>Magic mushrooms were found in a Buckingham Palace garden</t>
  </si>
  <si>
    <t>Magic mushroom found growing at Buckingham Palace</t>
  </si>
  <si>
    <t>1a9c0c80-83f8-11e4-b1b5-4f1bd36cbfc6</t>
  </si>
  <si>
    <t>88778ae0-83c1-11e4-b1b5-4f1bd36cbfc6</t>
  </si>
  <si>
    <t>http://www.cbc.ca/news/magic-mushroom-found-growing-at-buckingham-palace-1.2870823</t>
  </si>
  <si>
    <t>NHL expansion plans in the works: reports</t>
  </si>
  <si>
    <t>000e3f60-2e07-11e4-89c5-1d389b94bc4b</t>
  </si>
  <si>
    <t>http://www.cbc.ca/sports/hockey/nhl/nhl-expansion-plans-in-the-works-reports-1.2748166</t>
  </si>
  <si>
    <t>Pope Francis did not tell boy heaven has room for pets, contrary to report</t>
  </si>
  <si>
    <t>78a8b2d0-8333-11e4-b1b5-4f1bd36cbfc6</t>
  </si>
  <si>
    <t>http://www.cbc.ca/news/world/pope-francis-did-not-tell-boy-heaven-has-room-for-pets-contrary-to-report-1.2872486</t>
  </si>
  <si>
    <t>Pope Francis tells boy whose dog had died that heaven is open to all</t>
  </si>
  <si>
    <t>fd3ed5e0-8330-11e4-b1b5-4f1bd36cbfc6</t>
  </si>
  <si>
    <t>http://www.cbc.ca/news/world/pope-francis-tells-boy-whose-dog-had-died-that-heaven-is-open-to-all-1.2870888</t>
  </si>
  <si>
    <t>Robot security guards now patrolling Microsoft's Silicon Valley campus</t>
  </si>
  <si>
    <t>70b59280-749e-11e4-99be-fb3662a4a6dd</t>
  </si>
  <si>
    <t>http://www.cbc.ca/news/canada/calgary/robot-security-guards-now-patrolling-microsoft-s-silicon-valley-campus-1.2847329</t>
  </si>
  <si>
    <t>Breaking: Soldier shot at National War Memorial in Ottawa</t>
  </si>
  <si>
    <t>12d35a00-59f8-11e4-aaf5-a1ddcfbcd5a9</t>
  </si>
  <si>
    <t>http://www.cbc.ca/news/politics/soldier-shot-at-national-war-memorial-in-ottawa-1.2808710</t>
  </si>
  <si>
    <t>Stephen Sotloff beheading shown in video, ISIS claims</t>
  </si>
  <si>
    <t>37c6f360-32cc-11e4-8453-710264d9a1f8</t>
  </si>
  <si>
    <t>http://www.cbc.ca/news/world/stephen-sotloff-beheading-shown-in-video-isis-claims-1.2753309</t>
  </si>
  <si>
    <t>Rodney Constantine keeps Facebook promise and turns himself in to police</t>
  </si>
  <si>
    <t>9ee5d270-a7d2-11e4-aa4f-ff16e52e0d56</t>
  </si>
  <si>
    <t>http://www.cbc.ca/news/canada/newfoundland-labrador/rodney-constantine-keeps-facebook-promise-and-turns-himself-in-to-police-1.2932060</t>
  </si>
  <si>
    <t>Condition of Abu Bakr al-Baghdadi, Islamic State leader, in doubt after airstrike</t>
  </si>
  <si>
    <t>b099b9f0-69b1-11e4-b528-9d5aa2d2e8e7</t>
  </si>
  <si>
    <t>http://www.cbc.ca/news/world/condition-of-abu-bakr-al-baghdadi-islamic-state-leader-in-doubt-after-airstrike-1.2830919</t>
  </si>
  <si>
    <t>ISIS leader Abu Bakr al-Baghdadi wounded in airstrike, Iraq officials say</t>
  </si>
  <si>
    <t>90452730-68e8-11e4-b528-9d5aa2d2e8e7</t>
  </si>
  <si>
    <t>http://www.cbc.ca/news/world/isis-leader-abu-bakr-al-baghdadi-wounded-in-airstrike-iraq-officials-say-1.2829360</t>
  </si>
  <si>
    <t>IBM plans massive layoffs of up to 110,000 workers: report</t>
  </si>
  <si>
    <t>92023230-a57d-11e4-aa4f-ff16e52e0d56</t>
  </si>
  <si>
    <t>http://www.cbc.ca/news/business/ibm-plans-massive-layoffs-of-up-to-110-000-workers-report-1.2931612</t>
  </si>
  <si>
    <t>Hermaphroditic cat to get gender assignment surgery</t>
  </si>
  <si>
    <t>68ccc200-a43c-11e4-aa4f-ff16e52e0d56</t>
  </si>
  <si>
    <t>http://www.cbc.ca/news/canada/newfoundland-labrador/hermaphroditic-cat-to-get-gender-assignment-surgery-1.2920260</t>
  </si>
  <si>
    <t>Michael Zehaf-Bibeau, slain Ottawa shooter, had criminal record in Quebec, B.C.</t>
  </si>
  <si>
    <t>98d8b620-5a45-11e4-aaf5-a1ddcfbcd5a9</t>
  </si>
  <si>
    <t>http://www.cbc.ca/news/canada/montreal/michael-zehaf-bibeau-slain-ottawa-shooter-had-criminal-record-in-quebec-b-c-1.2809562</t>
  </si>
  <si>
    <t>ISIS Executes Own Fighters for Spying, Embezzlement</t>
  </si>
  <si>
    <t>d04bd4c0-563a-11e4-aaf5-a1ddcfbcd5a9</t>
  </si>
  <si>
    <t>http://www.cbn.com/cbnnews/world/2014/October/ISIS-Executes-Own-Fighters-for-Spying-Embezzlement/?utm_source=dlvr.it&amp;utm_medium=twitter</t>
  </si>
  <si>
    <t>www.cbn.com</t>
  </si>
  <si>
    <t>The story of the Argentinean president, werewolves and seventh sons</t>
  </si>
  <si>
    <t>2ca6a8d0-8fc0-11e4-9799-c7e75be2bcad</t>
  </si>
  <si>
    <t>http://www.cbsnews.com/news/did-argentinas-president-adopt-jewish-godson-so-he-doesnt-become-a-werewolf/</t>
  </si>
  <si>
    <t>www.cbsnews.com</t>
  </si>
  <si>
    <t>Pentagon: Somali terror group leader killed in U.S. airstrike</t>
  </si>
  <si>
    <t>2d9d41a0-351a-11e4-a3fd-07e9a9d397df</t>
  </si>
  <si>
    <t>http://www.cbsnews.com/news/pentagon-ahmed-abdi-godane-somali-terror-group-leader-killed-in-u-s-airstrike/</t>
  </si>
  <si>
    <t>ISIS: We have our hands on weapons, ammo air-dropped by U.S.</t>
  </si>
  <si>
    <t>fd2e2920-5964-11e4-aaf5-a1ddcfbcd5a9</t>
  </si>
  <si>
    <t>http://www.cbsnews.com/news/isis-we-have-our-hands-on-weapons-ammo-air-dropped-by-u-s/</t>
  </si>
  <si>
    <t>Pentagon: ISIS seized materials airdropped to Kurds</t>
  </si>
  <si>
    <t>2400c220-6c15-11e4-b528-9d5aa2d2e8e7</t>
  </si>
  <si>
    <t>http://www.cbsnews.com/news/pentagon-isis-seized-materials-airdropped-to-kurds/</t>
  </si>
  <si>
    <t>Homeland Security says terrorists haven't crossed U.S-Mexico border</t>
  </si>
  <si>
    <t>90bf0310-7686-11e4-b9e8-ab92b2da133c</t>
  </si>
  <si>
    <t>http://www.cbsnews.com/news/homeland-security-says-terrorists-havent-crossed-us-mexico-border/</t>
  </si>
  <si>
    <t>ISIS might be harvesting organs, Iraqi diplomat says</t>
  </si>
  <si>
    <t>695d7040-b777-11e4-8507-b58af63d1078</t>
  </si>
  <si>
    <t>http://www.cbsnews.com/news/isis-might-be-harvesting-organs-iraqi-diplomat-says/</t>
  </si>
  <si>
    <t>Three missing Afghan soldiers caught at Canadian border</t>
  </si>
  <si>
    <t>c8a27830-4282-11e4-9e78-ff09d5b0049d</t>
  </si>
  <si>
    <t>http://www.cbsnews.com/news/three-missing-afghan-soldiers-caught-at-canadian-border/</t>
  </si>
  <si>
    <t>U.S.: Video showing Sotloff beheading is authentic</t>
  </si>
  <si>
    <t>357bfc50-414e-11e4-9e78-ff09d5b0049d</t>
  </si>
  <si>
    <t>http://www.cbsnews.com/news/video-showing-sotloff-beheading-is-authentic-u-s-says/</t>
  </si>
  <si>
    <t>Texas plumber's truck on front line of Syria war</t>
  </si>
  <si>
    <t>15093df0-8778-11e4-b1b5-4f1bd36cbfc6</t>
  </si>
  <si>
    <t>http://www.cbsnews.com/news/texas-plumbers-truck-on-front-line-of-syria-war/</t>
  </si>
  <si>
    <t>This is the recording you thought you'd lost forever</t>
  </si>
  <si>
    <t>0c0f26e0-a8a4-11e4-a133-7514623ae047</t>
  </si>
  <si>
    <t>http://www.cbsnews.com/news/bbc-radio-surprises-stan-beaton-with-lost-voicemail-greeting-by-late-wife/</t>
  </si>
  <si>
    <t>Fence-jumper made it farther in White House than Secret Service let on</t>
  </si>
  <si>
    <t>64e89b00-481b-11e4-9960-a165dd517bbb</t>
  </si>
  <si>
    <t>http://www.cbsnews.com/news/fence-jumper-made-it-further-in-white-house-than-secret-service-let-on/</t>
  </si>
  <si>
    <t>NHL expansion could include Las Vegas, others</t>
  </si>
  <si>
    <t>2fed09f0-2e07-11e4-89c5-1d389b94bc4b</t>
  </si>
  <si>
    <t>http://www.cbssports.com/nhl/eye-on-hockey/24682324/reports-nhl-expansion-could-include-las-vegas-others</t>
  </si>
  <si>
    <t>www.cbssports.com</t>
  </si>
  <si>
    <t>Tips for Chinese choosing an English name</t>
  </si>
  <si>
    <t>507a8cc0-822f-11e4-be1a-2d20e0ce9757</t>
  </si>
  <si>
    <t>http://www.cctvnews.cn/2014/10/19/tips-for-chinese-choosing-an-english-name/</t>
  </si>
  <si>
    <t>www.cctvnews.cn</t>
  </si>
  <si>
    <t>Islamic State killer Jihadi John named as Mohammed Emwazi</t>
  </si>
  <si>
    <t>b48c8e60-bdb8-11e4-b073-ed15c88bfa1e</t>
  </si>
  <si>
    <t>http://www.channel4.com/news/jihadi-john-named-mohammed-emwazi-islamic-state-london</t>
  </si>
  <si>
    <t>www.channel4.com</t>
  </si>
  <si>
    <t>Saudi cleric condemns snowmen as anti-Islamic</t>
  </si>
  <si>
    <t>bbbccf90-9a97-11e4-bf59-1bb8b99952ce</t>
  </si>
  <si>
    <t>http://www.chathamdailynews.ca/2015/01/12/saudi-cleric-condemns-snowmen-as-anti-islamic</t>
  </si>
  <si>
    <t>www.chathamdailynews.ca</t>
  </si>
  <si>
    <t>Pope Francis turns out not to have made pets in heaven comment</t>
  </si>
  <si>
    <t>b68b2a40-8330-11e4-b1b5-4f1bd36cbfc6</t>
  </si>
  <si>
    <t>http://www.chicagotribune.com/news/nationworld/chi-pope-francis-pets-heaven-20141213-story.html</t>
  </si>
  <si>
    <t>www.chicagotribune.com</t>
  </si>
  <si>
    <t>Video purportedly shows beheading of U.S. hostage Steven J. Sotloff</t>
  </si>
  <si>
    <t>09ab8e40-32cd-11e4-8453-710264d9a1f8</t>
  </si>
  <si>
    <t>http://www.chicagotribune.com/news/nationworld/chi-steven-sotloff-beheading-video-20140902-story.html</t>
  </si>
  <si>
    <t>ISIS Releases YouTube Video Showing 10-Year-Old Martyr Allegedly Killed in Battle</t>
  </si>
  <si>
    <t>b79f4cc0-5335-11e4-b6a0-9705a8f94440</t>
  </si>
  <si>
    <t>http://www.christianpost.com/news/isis-releases-youtube-video-showing-10-year-old-martyr-allegedly-killed-in-battle-127878/</t>
  </si>
  <si>
    <t>www.christianpost.com</t>
  </si>
  <si>
    <t>Rehana, Poster Girl for Kurdish Peshmerga, Alive and Fighting Fiercely, After ISIS Claims of Beheading Her</t>
  </si>
  <si>
    <t>5d9dac30-5fd3-11e4-9195-d1e79a11f507</t>
  </si>
  <si>
    <t>http://www.christianpost.com/news/rehana-poster-girl-for-kurdish-peshmerga-alive-and-fighting-fiercely-after-isis-claims-of-beheading-her-128813/</t>
  </si>
  <si>
    <t>Star Wars VII News, Update: JJ Abrams Pushing for Summer Release?</t>
  </si>
  <si>
    <t>bd4b01c0-b2e2-11e4-9a23-0b6010caa867</t>
  </si>
  <si>
    <t>http://www.christianpost.com/news/star-wars-vii-news-update-jj-abrams-pushing-for-summer-release-133893/</t>
  </si>
  <si>
    <t>ISIS Leader Abu Bakr al-Baghdadi Wounded in Airstrikes His Aide Killed</t>
  </si>
  <si>
    <t>841668c0-68e8-11e4-b528-9d5aa2d2e8e7</t>
  </si>
  <si>
    <t>http://www.christianpost.com/news/isis-leader-abu-bakr-al-baghdadi-wounded-in-airstrikes-his-aide-killed-129394/</t>
  </si>
  <si>
    <t>Is Ebola Virus Spreading Among ISIS Militants? Reports Claim Jihadists Seeking Cure at Mosul Hospital</t>
  </si>
  <si>
    <t>1bbd7450-9299-11e4-b271-b1de57982894</t>
  </si>
  <si>
    <t>http://www.christianpost.com/news/is-ebola-virus-spreading-among-isis-militants-reports-claim-jihadists-seeking-cure-at-mosul-hospital-131994/</t>
  </si>
  <si>
    <t>Nun who had no idea she was pregnant gives birth after going to hospital with stomach pains</t>
  </si>
  <si>
    <t>f679b1f0-a435-11e4-aa4f-ff16e52e0d56</t>
  </si>
  <si>
    <t>http://www.christiantoday.com/article/nun.who.had.no.idea.she.was.pregnant.gives.birth.after.going.to.hospital.with.stomach.pains/46641.htm</t>
  </si>
  <si>
    <t>www.christiantoday.com</t>
  </si>
  <si>
    <t>Miracle cat rises from the dead five days after burial</t>
  </si>
  <si>
    <t>c4103090-a674-11e4-aa4f-ff16e52e0d56</t>
  </si>
  <si>
    <t>http://www.chron.com/news/strange-weird/article/Miracle-cat-rises-from-the-dead-five-days-after-6043078.php</t>
  </si>
  <si>
    <t>www.chron.com</t>
  </si>
  <si>
    <t>Amazon.com to open first physical store in Manhattan: DJ</t>
  </si>
  <si>
    <t>ac0c0280-4fe9-11e4-b6a0-9705a8f94440</t>
  </si>
  <si>
    <t>http://www.cnbc.com/id/102070643#.</t>
  </si>
  <si>
    <t>www.cnbc.com</t>
  </si>
  <si>
    <t>Apple Watch launch has new timetable: Analyst</t>
  </si>
  <si>
    <t>e4c3c150-4f5b-11e4-949b-f14041b20838</t>
  </si>
  <si>
    <t>http://www.cnbc.com/id/102058691#.</t>
  </si>
  <si>
    <t>Werewolf legend leads Argentine president to adopt</t>
  </si>
  <si>
    <t>ed2e2bd0-9035-11e4-9799-c7e75be2bcad</t>
  </si>
  <si>
    <t>http://www.cnbc.com/id/102299131</t>
  </si>
  <si>
    <t>Apple to shut down Beats Music: Report</t>
  </si>
  <si>
    <t>a0f74040-429b-11e4-9e78-ff09d5b0049d</t>
  </si>
  <si>
    <t>http://www.cnbc.com/id/102022764</t>
  </si>
  <si>
    <t>Whiz kid stock picker: I didn't actually make 72M trading</t>
  </si>
  <si>
    <t>4c7ed240-8499-11e4-b1b5-4f1bd36cbfc6</t>
  </si>
  <si>
    <t>http://www.cnbc.com/id/102269980</t>
  </si>
  <si>
    <t>Hewlett-Packard to break into 2 companies</t>
  </si>
  <si>
    <t>e78c9f80-4d51-11e4-949b-f14041b20838</t>
  </si>
  <si>
    <t>http://www.cnbc.com/id/102058015?trknav=homestack:topnews:5</t>
  </si>
  <si>
    <t>Hewlett-Packard plans to split into two companies: Report</t>
  </si>
  <si>
    <t>d7fc9770-4cbe-11e4-949b-f14041b20838</t>
  </si>
  <si>
    <t>http://www.cnbc.com/id/102060504</t>
  </si>
  <si>
    <t>IPhone 6 users are tearing their hair out</t>
  </si>
  <si>
    <t>6b916d70-4e5f-11e4-949b-f14041b20838</t>
  </si>
  <si>
    <t>http://www.cnbc.com/id/102067058</t>
  </si>
  <si>
    <t>Microsoft to buy Minecraft creator Mojang for 2.5B</t>
  </si>
  <si>
    <t>8fafc3d0-3cdc-11e4-bc0b-3f922b93930d</t>
  </si>
  <si>
    <t>http://www.cnbc.com/id/101958667</t>
  </si>
  <si>
    <t>Could Kim Jong Un open a restaurant in Scotland?</t>
  </si>
  <si>
    <t>1b7c1520-9b16-11e4-bf59-1bb8b99952ce</t>
  </si>
  <si>
    <t>http://www.cnbc.com/id/102328712</t>
  </si>
  <si>
    <t>Oil spikes on U.S. inventory data, Saudi pipeline blast</t>
  </si>
  <si>
    <t>f8743b10-650b-11e4-b3d8-a32d8ec8ad5e</t>
  </si>
  <si>
    <t>http://www.cnbc.com/id/102152718</t>
  </si>
  <si>
    <t>Tesla chooses Nevada for battery factory: Sources</t>
  </si>
  <si>
    <t>ddbed5a0-33a1-11e4-8453-710264d9a1f8</t>
  </si>
  <si>
    <t>http://www.cnbc.com/id/101937267</t>
  </si>
  <si>
    <t>Apple Watch launch expected in late March</t>
  </si>
  <si>
    <t>f0c0dfc0-c11a-11e4-8747-5b024dd6dd6c</t>
  </si>
  <si>
    <t>http://www.cnbc.com/id/102315222#.</t>
  </si>
  <si>
    <t>High-end Apple Watch to start at 5,000 -- analyst</t>
  </si>
  <si>
    <t>8becb590-c419-11e4-88c9-eb158a06b9a5</t>
  </si>
  <si>
    <t>http://www.cnet.com/news/apple-watch-edition-pegged-to-sell-for-4999-by-analyst/</t>
  </si>
  <si>
    <t>www.cnet.com</t>
  </si>
  <si>
    <t>Apple was forced to nix key health features from its smartwatch -- report</t>
  </si>
  <si>
    <t>14bf4270-c41a-11e4-88c9-eb158a06b9a5</t>
  </si>
  <si>
    <t>http://www.cnet.com/news/apple-had-to-cut-key-health-features-from-its-smartwatch-report/</t>
  </si>
  <si>
    <t>The gold Apple Watch Edition will cost 4,999 USD</t>
  </si>
  <si>
    <t>Could Gold Apple Watch cost 5,000?</t>
  </si>
  <si>
    <t>d71cb0f0-c2ad-11e4-8747-5b024dd6dd6c</t>
  </si>
  <si>
    <t>8ae82d40-c2ad-11e4-8747-5b024dd6dd6c</t>
  </si>
  <si>
    <t>http://www.cnet.com/news/could-gold-apple-watch-cost-5000/</t>
  </si>
  <si>
    <t>HP to split into two businesses -- report</t>
  </si>
  <si>
    <t>5a775f20-4cbd-11e4-949b-f14041b20838</t>
  </si>
  <si>
    <t>http://www.cnet.com/au/news/hp-to-split-into-two-businesses-report/</t>
  </si>
  <si>
    <t>Apple will release iOS 8.2 on March 9</t>
  </si>
  <si>
    <t>iOS 8.2 may launch Monday with new health features</t>
  </si>
  <si>
    <t>d5da0f00-c382-11e4-9435-a96703525a9e</t>
  </si>
  <si>
    <t>19acfe50-c382-11e4-9435-a96703525a9e</t>
  </si>
  <si>
    <t>http://www.cnet.com/news/ios-8-2-may-launch-monday-with-new-health-features/</t>
  </si>
  <si>
    <t>iOS 8 bug could delete your iCloud Drive documents</t>
  </si>
  <si>
    <t>5bb9cc80-48d3-11e4-9960-a165dd517bbb</t>
  </si>
  <si>
    <t>http://www.cnet.com/news/ios-8-bug-could-delete-your-icloud-drive-documents/</t>
  </si>
  <si>
    <t>d9a08640-c419-11e4-88c9-eb158a06b9a5</t>
  </si>
  <si>
    <t>Mystery surrounds arrest of woman who may be ISIS leader's wife</t>
  </si>
  <si>
    <t>4e737020-7af2-11e4-b794-93ed794d7b91</t>
  </si>
  <si>
    <t>http://www.cnn.com/2014/12/03/world/meast/isis-baghdadi-family/index.html?hpt=hp_t2</t>
  </si>
  <si>
    <t>www.cnn.com</t>
  </si>
  <si>
    <t>James Foley's mother appalled by U.S. government handling of case</t>
  </si>
  <si>
    <t>f8476b40-42c8-11e4-9e78-ff09d5b0049d</t>
  </si>
  <si>
    <t>http://www.cnn.com/2014/09/11/us/james-foley-mother/</t>
  </si>
  <si>
    <t>Opposition group: ISIS militants training to fly warplanes in Syria</t>
  </si>
  <si>
    <t>36aaeed0-5628-11e4-aaf5-a1ddcfbcd5a9</t>
  </si>
  <si>
    <t>http://www.cnn.com/2014/10/17/world/meast/isis-threat/index.html?hpt=hp_t2</t>
  </si>
  <si>
    <t>James Foley remembered as brave and tireless journalist</t>
  </si>
  <si>
    <t>2331deb0-2890-11e4-a916-bf0b27b73ad5</t>
  </si>
  <si>
    <t>http://www.cnn.com/2014/08/20/us/james-foley-life/index.html?hpt=hp_c2</t>
  </si>
  <si>
    <t>South Korea: Kim Jong Un had ankle surgery to remove cyst</t>
  </si>
  <si>
    <t>bfdda440-5fc4-11e4-9195-d1e79a11f507</t>
  </si>
  <si>
    <t>http://www.cnn.com/2014/10/28/world/asia/kim-jong-un-cyst/index.html</t>
  </si>
  <si>
    <t>Official: Houthis take U.S. vehicles, weapons in Yemen</t>
  </si>
  <si>
    <t>28879e50-b499-11e4-8507-b58af63d1078</t>
  </si>
  <si>
    <t>http://www.cnn.com/2015/02/11/middleeast/yemen-unrest/</t>
  </si>
  <si>
    <t>Are missing students in mass graves found near Iguala, Mexico?</t>
  </si>
  <si>
    <t>44e303c0-4dc2-11e4-949b-f14041b20838</t>
  </si>
  <si>
    <t>http://www.cnn.com/2014/10/05/world/americas/mexico-mass-graves-missing-students/</t>
  </si>
  <si>
    <t>Meteorite makes big crater in Nicaragua, government says</t>
  </si>
  <si>
    <t>22f261d0-3840-11e4-ae63-d5574342724c</t>
  </si>
  <si>
    <t>http://www.cnn.com/2014/09/08/tech/innovation/nicaragua-meteorite/</t>
  </si>
  <si>
    <t>Pot in NYC may soon net just a ticket, not an arrest</t>
  </si>
  <si>
    <t>44c23f70-6918-11e4-b528-9d5aa2d2e8e7</t>
  </si>
  <si>
    <t>http://www.cnn.com/2014/11/10/us/new-york-city-marijuana/</t>
  </si>
  <si>
    <t>Source: Joan Rivers doctor took selfie, began biopsy before her cardiac arrest</t>
  </si>
  <si>
    <t>f5b656c0-3dff-11e4-bc0b-3f922b93930d</t>
  </si>
  <si>
    <t>http://www.cnn.com/2014/09/16/showbiz/joan-rivers-clinic/index.html?sr=sharebar_twitter</t>
  </si>
  <si>
    <t>Joan Rivers doctor denies unauthorized procedure, selfie before cardiac arrest</t>
  </si>
  <si>
    <t>7a3e4540-3ffb-11e4-bc0b-3f922b93930d</t>
  </si>
  <si>
    <t>http://www.cnn.com/2014/09/18/showbiz/joan-rivers-clinic-probe/index.html?hpt=hp_c2</t>
  </si>
  <si>
    <t>Attorney: New audio reveals pause in gunfire when Michael Brown was shot</t>
  </si>
  <si>
    <t>24d4fdd0-2d66-11e4-89c5-1d389b94bc4b</t>
  </si>
  <si>
    <t>http://www.cnn.com/2014/08/26/us/michael-brown-ferguson-shooting/</t>
  </si>
  <si>
    <t>Audio captured at time of Michael Brown shooting, company says</t>
  </si>
  <si>
    <t>733376c0-36c4-11e4-ae63-d5574342724c</t>
  </si>
  <si>
    <t>http://www.cnn.com/2014/08/28/justice/michael-brown-ferguson-shooting-audio/</t>
  </si>
  <si>
    <t>ISIS video shows beheading of American journalist Steven Sotloff</t>
  </si>
  <si>
    <t>d3a24ce0-32c6-11e4-8453-710264d9a1f8</t>
  </si>
  <si>
    <t>http://www.cnn.com/2014/09/02/world/meast/isis-american-journalist-sotloff/index.html</t>
  </si>
  <si>
    <t>Paul Revere's 1795 time capsule unearthed</t>
  </si>
  <si>
    <t>b3d0a9f0-8287-11e4-b1b5-4f1bd36cbfc6</t>
  </si>
  <si>
    <t>http://www.cnn.com/2014/12/11/us/boston-time-capsule-paul-revere-sam-adams/</t>
  </si>
  <si>
    <t>Christian Bale won't play Steve Jobs</t>
  </si>
  <si>
    <t>fb1f6360-6396-11e4-b3d8-a32d8ec8ad5e</t>
  </si>
  <si>
    <t>http://www.cnn.com/2014/11/03/showbiz/movies/christian-bale-drops-out-steve-jobs-movie/</t>
  </si>
  <si>
    <t>Is Kim Jong Un's sister Kim Yo Jong in charge?</t>
  </si>
  <si>
    <t>8b2bfaf0-5018-11e4-b6a0-9705a8f94440</t>
  </si>
  <si>
    <t>http://www.cnn.com/2014/10/08/world/kim-jong-un-sister/index.html</t>
  </si>
  <si>
    <t>Nigeria, Boko Haram reach ceasefire deal, kidnapped girls to go free, official says</t>
  </si>
  <si>
    <t>2f106d50-57cf-11e4-aaf5-a1ddcfbcd5a9</t>
  </si>
  <si>
    <t>http://www.cnn.com/2014/10/17/world/africa/nigeria-boko-haram-ceasefire/</t>
  </si>
  <si>
    <t>Despite ceasefire announcement, new Boko Haram attacks reported</t>
  </si>
  <si>
    <t>413fdce0-5969-11e4-aaf5-a1ddcfbcd5a9</t>
  </si>
  <si>
    <t>http://www.cnn.com/2014/10/18/world/africa/nigeria-boko-haram-ceasefire/</t>
  </si>
  <si>
    <t>Boko Haram leader denies ceasefire deal, says 200 abducted girls married off</t>
  </si>
  <si>
    <t>0e6345e0-6220-11e4-b3d8-a32d8ec8ad5e</t>
  </si>
  <si>
    <t>http://www.cnn.com/2014/11/01/world/africa/nigeria-boko-haram-denies-deal/</t>
  </si>
  <si>
    <t>This Is The Most Passive-Aggressive Office Battle We've Ever Seen</t>
  </si>
  <si>
    <t>82b07ec0-2d61-11e4-89c5-1d389b94bc4b</t>
  </si>
  <si>
    <t>http://www.collegehumor.com/post/6986532/this-is-the-most-passive-agressive-office-battle-weve-ever-seen#!bKFaKZ</t>
  </si>
  <si>
    <t>www.collegehumor.com</t>
  </si>
  <si>
    <t>UPDATE: BATMAN v SUPERMAN Batmobile Reportedly Stolen By Shocker Detroit Locals</t>
  </si>
  <si>
    <t>5d755970-3c41-11e4-bc0b-3f922b93930d</t>
  </si>
  <si>
    <t>http://www.comicbookmovie.com/fansites/JoshWildingNewsAndReviews/news/?a=107509</t>
  </si>
  <si>
    <t>www.comicbookmovie.com</t>
  </si>
  <si>
    <t>The Flood Libel Propagandists of 2015</t>
  </si>
  <si>
    <t>be182a80-bc5e-11e4-b073-ed15c88bfa1e</t>
  </si>
  <si>
    <t>https://www.commentarymagazine.com/2015/02/24/flood-libel-propagandists-2015/</t>
  </si>
  <si>
    <t>www.commentarymagazine.com</t>
  </si>
  <si>
    <t>Singing polar bear facing ASBO after noise complaint</t>
  </si>
  <si>
    <t>90f10640-8481-11e4-b1b5-4f1bd36cbfc6</t>
  </si>
  <si>
    <t>http://www.communicationsjournal.co.uk/news_reviews/11666873._/</t>
  </si>
  <si>
    <t>www.communicationsjournal.co.uk</t>
  </si>
  <si>
    <t>Justin Bieber Saved This Guy From a Bear Attack</t>
  </si>
  <si>
    <t>1e9afef0-26c3-11e4-96be-dfc0d1eebaea</t>
  </si>
  <si>
    <t>http://www.complexmag.ca/pop-culture/2014/08/justin-bieber-saves-guy-from-bear-attack</t>
  </si>
  <si>
    <t>www.complexmag.ca</t>
  </si>
  <si>
    <t>Cloistered nun has a stomach ache hospital gives birth to a baby Google Translate</t>
  </si>
  <si>
    <t>5e2da870-a435-11e4-aa4f-ff16e52e0d56</t>
  </si>
  <si>
    <t>http://www.corriereadriatico.it/MACERATA/san_severino_marche_suora_partorisce_ospedale_clausura_beb_amp_egrave/notizie/1136921.shtml</t>
  </si>
  <si>
    <t>www.corriereadriatico.it</t>
  </si>
  <si>
    <t>UPDATE: Internet report of Ebola outbreak in Purdon not true</t>
  </si>
  <si>
    <t>5462d060-5401-11e4-b6a0-9705a8f94440</t>
  </si>
  <si>
    <t>http://www.corsicanadailysun.com/news/article_f5887618-53d7-11e4-bc8f-cfce47074740.html</t>
  </si>
  <si>
    <t>www.corsicanadailysun.com</t>
  </si>
  <si>
    <t>Parents are furious after seven girls aged 13-14 fall pregnant on a school trip</t>
  </si>
  <si>
    <t>46a89470-8abe-11e4-adc5-33f8455b16a2</t>
  </si>
  <si>
    <t>http://www.cosmopolitan.co.uk/reports/news/a32129/parents-furious-seven-bosnian-girls-pregnant-school-trip/</t>
  </si>
  <si>
    <t>www.cosmopolitan.co.uk</t>
  </si>
  <si>
    <t>Man chops off his penis after his girlfriend breaks up with him</t>
  </si>
  <si>
    <t>8465e2a0-5b92-11e4-a887-2324afc3f9a8</t>
  </si>
  <si>
    <t>http://www.cosmopolitan.co.uk/love-sex/sex/news/a30713/man-chops-off-his-penis-after-his-girlfriend-breaks-up-with-him/</t>
  </si>
  <si>
    <t>Argentina's President Adopts Young Boy so He Won't Turn Into Werewolf</t>
  </si>
  <si>
    <t>2f97aaa0-9036-11e4-9799-c7e75be2bcad</t>
  </si>
  <si>
    <t>http://www.cosmopolitan.com/politics/news/a34724/argentinas-president-adopted-a-boy-so-he-wouldnt-turn-into-a-werewolf/</t>
  </si>
  <si>
    <t>www.cosmopolitan.com</t>
  </si>
  <si>
    <t>Woman Reportedly Pours Acid on Boyfriend's Penis After Finding His Sex Tape</t>
  </si>
  <si>
    <t>752dcfe0-abe3-11e4-9a23-0b6010caa867</t>
  </si>
  <si>
    <t>http://www.cosmopolitan.com/sex-love/news/a35958/woman-pours-acid-on-bfs-penis/</t>
  </si>
  <si>
    <t>Hermaphroditic Cat Is Getting Gender Assignment Surgery</t>
  </si>
  <si>
    <t>649755b0-a43c-11e4-aa4f-ff16e52e0d56</t>
  </si>
  <si>
    <t>http://www.cosmopolitan.com/sex-love/news/a35523/hermaphroditic-cat-is-getting-gender-assignment-surgery/</t>
  </si>
  <si>
    <t>Russian Man Wakes Up to Find His Testicles Have Been Stolen</t>
  </si>
  <si>
    <t>63bc3010-bde7-11e4-bc4d-fff7a1fe3048</t>
  </si>
  <si>
    <t>http://www.cosmopolitan.com/sex-love/news/a37065/man-wakes-up-to-find-his-testicles-have-been-stolen/</t>
  </si>
  <si>
    <t>Seven girls fall pregnant after five day school trip in Bosnia and Herzegovina</t>
  </si>
  <si>
    <t>1110ae50-8abf-11e4-adc5-33f8455b16a2</t>
  </si>
  <si>
    <t>http://www.couriermail.com.au/lifestyle/parenting/seven-girls-fall-pregnant-after-five-day-school-trip-in-bosnia-and-herzegovina/story-fnihp1nm-1227164641066?nk=86214bbdf92da6dc6f54573ec17847d9</t>
  </si>
  <si>
    <t>www.couriermail.com.au</t>
  </si>
  <si>
    <t>Mum Offers to Sell Twin Boy to Save Twin Girl</t>
  </si>
  <si>
    <t>7e053e30-96b4-11e4-87a8-1d5d45e62193</t>
  </si>
  <si>
    <t>http://www.croatiantimes.com/news/Around_the_World/2015-01-06/36519/Mum_Offers_to_Sell_Twin_Boy_to_Save_Twin_Girl_</t>
  </si>
  <si>
    <t>www.croatiantimes.com</t>
  </si>
  <si>
    <t>c04d29b0-a4f6-11e4-aa4f-ff16e52e0d56</t>
  </si>
  <si>
    <t>http://www.croatiantimes.com/news/Around_the_World/2014-11-17/36408/Evil_Aunt_Hacks_Off_Toddlers_Penis</t>
  </si>
  <si>
    <t>Children Used To Replace Fighting Dogs</t>
  </si>
  <si>
    <t>c7802b60-a1d1-11e4-a353-5b831fe927be</t>
  </si>
  <si>
    <t>http://www.croatiantimes.com/news/Around_the_World/2015-01-19/36557/Children_Used_To_Replace_Fighting_Dogs</t>
  </si>
  <si>
    <t>Would US sue parents of James Foley? Why White House is Defending Itself</t>
  </si>
  <si>
    <t>239219d0-4a3f-11e4-9960-a165dd517bbb</t>
  </si>
  <si>
    <t>http://www.csmonitor.com/USA/DC-Decoder/Decoder-Buzz/2014/0914/Would-US-sue-parents-of-James-Foley-Why-White-House-is-defending-itself</t>
  </si>
  <si>
    <t>www.csmonitor.com</t>
  </si>
  <si>
    <t>Is hands up in Hong Kong really the same as in Ferguson?</t>
  </si>
  <si>
    <t>59dcf950-499b-11e4-9960-a165dd517bbb</t>
  </si>
  <si>
    <t>http://www.csmonitor.com/World/2014/0929/Is-hands-up-in-Hong-Kong-really-the-same-as-in-Ferguson-video</t>
  </si>
  <si>
    <t>How did a Texas plumber's truck end up with Syrian rebels? video</t>
  </si>
  <si>
    <t>07a7f2f0-8778-11e4-b1b5-4f1bd36cbfc6</t>
  </si>
  <si>
    <t>http://www.csmonitor.com/USA/2014/1217/How-did-a-Texas-plumber-s-truck-end-up-with-Syrian-rebels-video</t>
  </si>
  <si>
    <t>f003b010-5f0b-11e4-a887-2324afc3f9a8</t>
  </si>
  <si>
    <t>http://www.csnwashington.com/imported/report-jose-canseco-accidentally-shot</t>
  </si>
  <si>
    <t>www.csnwashington.com</t>
  </si>
  <si>
    <t>Dog abandoned at Scottish rail station with suitcase full of belongings Read more: http:www.ctvnews.caworlddog-abandoned-at-scottish-rail-station-with-suitcase-full-of-belongings-1.2175026ixzz3O9Shc1IO</t>
  </si>
  <si>
    <t>4b608130-9685-11e4-87a8-1d5d45e62193</t>
  </si>
  <si>
    <t>http://www.ctvnews.ca/world/dog-abandoned-at-scottish-rail-station-with-suitcase-full-of-belongings-1.2175026</t>
  </si>
  <si>
    <t>www.ctvnews.ca</t>
  </si>
  <si>
    <t>Sergeant-at-Arms stopped shooter on Parliament Hill</t>
  </si>
  <si>
    <t>df6aefb0-5a48-11e4-aaf5-a1ddcfbcd5a9</t>
  </si>
  <si>
    <t>http://www.ctvnews.ca/canada/sergeant-at-arms-stopped-shooter-on-parliament-hill-1.2066039</t>
  </si>
  <si>
    <t>Soldier shot in Ottawa at War Memorial</t>
  </si>
  <si>
    <t>46301d30-59f7-11e4-aaf5-a1ddcfbcd5a9</t>
  </si>
  <si>
    <t>http://www.ctvnews.ca/canada/soldier-shot-in-ottawa-at-war-memorial-1.2065443</t>
  </si>
  <si>
    <t>See you Monday: N.L. man keeps Facebook promise to police, turns himself in Read more: http:www.ctvnews.cacanadasee-you-monday-n-l-man-keeps-facebook-promise-to-police-turns-himself-in-1.2206960ixzz3QEDaSGxU</t>
  </si>
  <si>
    <t>bdfb47d0-a7d2-11e4-aa4f-ff16e52e0d56</t>
  </si>
  <si>
    <t>http://www.ctvnews.ca/canada/see-you-monday-n-l-man-keeps-facebook-promise-to-police-turns-himself-in-1.2206960</t>
  </si>
  <si>
    <t>Apple could be eyeing purchase of social networking app Path</t>
  </si>
  <si>
    <t>1dd8f8e0-3916-11e4-ae63-d5574342724c</t>
  </si>
  <si>
    <t>http://www.cultofmac.com/295106/apple-buy-social-networking-app-path/?utm_campaign=twitter&amp;utm_medium=twitter&amp;utm_source=twitter</t>
  </si>
  <si>
    <t>www.cultofmac.com</t>
  </si>
  <si>
    <t>Apple hopes to sell over 50 million watches in 2015</t>
  </si>
  <si>
    <t>623d09c0-c4f0-11e4-883c-a7fa7a3c5066</t>
  </si>
  <si>
    <t>http://www.cultofmac.com/296353/apple-hopes-sell-50-million-watches-2015/</t>
  </si>
  <si>
    <t>If you want an Apple Watch, you'll probably be trekking to an Apple Store</t>
  </si>
  <si>
    <t>65d07660-c353-11e4-8747-5b024dd6dd6c</t>
  </si>
  <si>
    <t>http://www.cultofmac.com/312240/want-apple-watch-youll-trekking-apple-store/</t>
  </si>
  <si>
    <t>Apple Watch battery will require nightly charging</t>
  </si>
  <si>
    <t>81d38540-c29b-11e4-8747-5b024dd6dd6c</t>
  </si>
  <si>
    <t>http://www.cultofmac.com/295236/apple-watch-battery-will-require-nightly-charging/</t>
  </si>
  <si>
    <t>Stainless steel Apple Watch could cost just 499, but gold will be 10 times as pricey</t>
  </si>
  <si>
    <t>23053390-c216-11e4-8747-5b024dd6dd6c</t>
  </si>
  <si>
    <t>http://www.cultofmac.com/302069/stainless-steel-apple-watch-cost-just-499/</t>
  </si>
  <si>
    <t>Apple Watch launch reportedly planned for February with limited supply</t>
  </si>
  <si>
    <t>eebc0230-4af1-11e4-9960-a165dd517bbb</t>
  </si>
  <si>
    <t>http://www.cultofmac.com/298533/apple-watch-launch-reportedly-planned-february/</t>
  </si>
  <si>
    <t>Yes, you can wear your Apple Watch in the shower</t>
  </si>
  <si>
    <t>21d79100-c1be-11e4-8747-5b024dd6dd6c</t>
  </si>
  <si>
    <t>http://www.cultofmac.com/313413/yes-can-wear-apple-watch-shower/</t>
  </si>
  <si>
    <t>Apple Watch won't be the digital doctor it could have been</t>
  </si>
  <si>
    <t>08119bb0-c288-11e4-8747-5b024dd6dd6c</t>
  </si>
  <si>
    <t>http://www.cultofmac.com/312533/apple-watch-wont-digital-doctor/</t>
  </si>
  <si>
    <t>eBay is planning an Apple Watch app</t>
  </si>
  <si>
    <t>10b7a580-c36d-11e4-9435-a96703525a9e</t>
  </si>
  <si>
    <t>http://www.cultofmac.com/310471/ebay-planning-apple-watch-app/</t>
  </si>
  <si>
    <t>86c06380-c213-11e4-8747-5b024dd6dd6c</t>
  </si>
  <si>
    <t>Unlikely rumor claims Apple will bring back the 4-inch iPhone for 2015</t>
  </si>
  <si>
    <t>9f4b7600-7ee9-11e4-8faa-9748b2fc07a1</t>
  </si>
  <si>
    <t>http://www.cultofmac.com/305083/unlikely-rumor-claims-apple-will-bring-back-4-inch-iphone-2015/</t>
  </si>
  <si>
    <t>The gold Apple Watch Edition could set you back a whopping 4,999</t>
  </si>
  <si>
    <t>cad365a0-c2ad-11e4-8747-5b024dd6dd6c</t>
  </si>
  <si>
    <t>http://www.cultofmac.com/296255/gold-apple-watch-edition-set-back-whopping-4999/</t>
  </si>
  <si>
    <t>Wildest Apple Watch rumor yet: 100,000 apps at launch</t>
  </si>
  <si>
    <t>4760a610-c1c2-11e4-8747-5b024dd6dd6c</t>
  </si>
  <si>
    <t>http://www.cultofmac.com/313291/wildest-apple-watch-rumor-yet-100000-apps-launch/</t>
  </si>
  <si>
    <t>Don't Reset All Settings in iOS 8 unless you want to lose your iCloud files</t>
  </si>
  <si>
    <t>9674bdd0-48d3-11e4-9960-a165dd517bbb</t>
  </si>
  <si>
    <t>http://www.cultofmac.com/298205/dont-restore-settings-ios-8-unless-want-lose-icloud-files/</t>
  </si>
  <si>
    <t>Crystal Baller: Dual-lens iPhone 6s, ARM-based Macs and 6 more crazy Apple rumors</t>
  </si>
  <si>
    <t>ca4b7460-9fe4-11e4-a353-5b831fe927be</t>
  </si>
  <si>
    <t>http://www.cultofmac.com/309236/crystal-baller-dual-lens-iphone-6s-arm-based-macs-6-crazy-apple-rumors/</t>
  </si>
  <si>
    <t>LG will be the sole supplier of OLED displays for the Apple Watch</t>
  </si>
  <si>
    <t>LG will be sole supplier of Apple Watch display</t>
  </si>
  <si>
    <t>452813c0-c289-11e4-8747-5b024dd6dd6c</t>
  </si>
  <si>
    <t>354b4170-c289-11e4-8747-5b024dd6dd6c</t>
  </si>
  <si>
    <t>http://www.cultofmac.com/312208/lg-will-sole-supplier-apple-watch-display/</t>
  </si>
  <si>
    <t>Seth Rogen to play Woz in Jobs biopic</t>
  </si>
  <si>
    <t>f40b4220-611a-11e4-b6e9-e5f029e25965</t>
  </si>
  <si>
    <t>http://www.cultofmac.com/301646/seth-rogan-play-woz-jobs-biopic/</t>
  </si>
  <si>
    <t>bf100b40-19cc-11e4-88ab-e7f7e0fff656</t>
  </si>
  <si>
    <t>http://www.cultofmac.com/287261/reddit-user-convinced-tim-cook-change-apples-hold-music/</t>
  </si>
  <si>
    <t>Crazy iPhone rig shows how Chinese workers manipulate App Store rankings</t>
  </si>
  <si>
    <t>b66ee940-ad6d-11e4-9a23-0b6010caa867</t>
  </si>
  <si>
    <t>http://www.cultofmac.com/311171/crazy-iphone-rig-shows-chinese-workers-manipulate-app-store-rankings/</t>
  </si>
  <si>
    <t>Apple could surprise us with 12-inch MacBook Air next week</t>
  </si>
  <si>
    <t>27fed390-c371-11e4-9435-a96703525a9e</t>
  </si>
  <si>
    <t>http://www.cultofmac.com/314006/apple-surprise-us-12-inch-macbook-air-next-week/</t>
  </si>
  <si>
    <t>Tim Cook makes change at Apple after reading email from unhappy customer</t>
  </si>
  <si>
    <t>bf122e20-19cc-11e4-88ab-e7f7e0fff656</t>
  </si>
  <si>
    <t>http://www.dailydot.com/technology/tim-cook-apple-email-hold-music/</t>
  </si>
  <si>
    <t>www.dailydot.com</t>
  </si>
  <si>
    <t>Developer quits using the app he was hired to makeor did he?</t>
  </si>
  <si>
    <t>a16d6850-854f-11e4-b1b5-4f1bd36cbfc6</t>
  </si>
  <si>
    <t>http://www.dailydot.com/technology/electric-boogie-hoax/</t>
  </si>
  <si>
    <t>Alleged audio of Michael Brown shooting has surfaced</t>
  </si>
  <si>
    <t>3cd497b0-2d70-11e4-89c5-1d389b94bc4b</t>
  </si>
  <si>
    <t>http://www.dailykos.com/story/2014/08/26/1324660/-Alleged-audio-of-Michael-Brown-shooting-has-surfaced</t>
  </si>
  <si>
    <t>www.dailykos.com</t>
  </si>
  <si>
    <t>Would you take a bite out of the world's oldest burger? Men keep Quarter Pounder they bought 20 YEARS ago for a friend who never showed up to meet them</t>
  </si>
  <si>
    <t>fc92d640-b6a8-11e4-8507-b58af63d1078</t>
  </si>
  <si>
    <t>http://www.dailymail.co.uk/news/article-2955698/They-lovin-Owners-world-s-oldest-burger-Quarter-Pounder-ve-20-YEARS-refuse-bite-it.html</t>
  </si>
  <si>
    <t>www.dailymail.co.uk</t>
  </si>
  <si>
    <t>CBI registers criminal conspiracy case against Dera chief after claims 400 male followers were forcibly castrated</t>
  </si>
  <si>
    <t>a95b9e00-c083-11e4-8747-5b024dd6dd6c</t>
  </si>
  <si>
    <t>http://www.dailymail.co.uk/indiahome/indianews/article-2901136/CBI-registers-case-against-Dera-chief-following-devotees-claims-forcibly-castrated.html</t>
  </si>
  <si>
    <t>Guru who ordered 400 followers to be castrated so they could be closer to God is investigated for grievous bodily harm in India</t>
  </si>
  <si>
    <t>9cd74580-c083-11e4-8747-5b024dd6dd6c</t>
  </si>
  <si>
    <t>http://www.dailymail.co.uk/news/article-2902208/Guru-ordered-400-followers-castrated-closer-God-investigated-grievous-bodily-harm-India.html</t>
  </si>
  <si>
    <t>Iraq claims ISIS leader al-Baghdadi's wife has NOT been arrested, despite Lebanon insisting woman detained at border told them she was Islamist extremist's spouse</t>
  </si>
  <si>
    <t>afe6e810-7af1-11e4-b794-93ed794d7b91</t>
  </si>
  <si>
    <t>http://www.dailymail.co.uk/news/article-2858712/Iraq-official-Arrested-woman-not-IS-leaders-wife.html</t>
  </si>
  <si>
    <t>DNA tests prove Lebanon IS holding ISIS chief al-Baghdadi's ex-wife and daughter after they were caught with fake passports</t>
  </si>
  <si>
    <t>cc6507e0-7c3d-11e4-b794-93ed794d7b91</t>
  </si>
  <si>
    <t>http://www.dailymail.co.uk/news/article-2860753/Lebanon-holding-IS-chiefs-daughter-ex-wife-minister.html</t>
  </si>
  <si>
    <t>Teenage British jihadi killed in US airstrikes: 19-year-old from Brighton died in US-led bombing</t>
  </si>
  <si>
    <t>e7b3eda0-443d-11e4-94c0-515d9d816ec6</t>
  </si>
  <si>
    <t>http://www.dailymail.co.uk/news/article-2768321/Teenaged-British-jihadi-killed-US-airstrikes-19-year-old-Brighton-died-US-led-bombing.html</t>
  </si>
  <si>
    <t>Has this Argentine woman fallen victim to a cruel online hoax? Adult video claiming to show teacher having sex with pupil isn't all it seems</t>
  </si>
  <si>
    <t>5359e500-c7f6-11e4-883c-a7fa7a3c5066</t>
  </si>
  <si>
    <t>http://www.dailymail.co.uk/news/article-2818793/Teacher-26-suspended-Argentina-student-16-secretly-films-having-sex-asking-turn-around.html</t>
  </si>
  <si>
    <t>The rapper, the hacker and the terror travel guide writer. Is one of these British extremists Jihadi John? Three potential Islamic State Beatles emerge as MI5 zeroes in on murderer who beheaded U.S. journalist James Foley</t>
  </si>
  <si>
    <t>54860a50-2bf5-11e4-89c5-1d389b94bc4b</t>
  </si>
  <si>
    <t>http://www.dailymail.co.uk/news/article-2732393/Is-one-British-extremists-Jihadi-John-Three-potential-Islamic-State-Beatles-emerge-MI5-zeroes-murderer-U-S-journalist-James-Foley.html</t>
  </si>
  <si>
    <t>It's back The incredible new Batmobile takes a spin around Detroit... after rumors it had been STOLEN</t>
  </si>
  <si>
    <t>f015f7f0-4261-11e4-9e78-ff09d5b0049d</t>
  </si>
  <si>
    <t>http://www.dailymail.co.uk/tvshowbiz/article-2764393/It-s-The-incredible-new-Batmobile-takes-spin-Detroit-rumors-STOLEN.html</t>
  </si>
  <si>
    <t>Finally, proof that Justin Bieber IS unbearable: Russian fisherman saved from bear attack when ringtone featuring one of the pop brat's songs scares it away</t>
  </si>
  <si>
    <t>641ae450-1ce5-11e4-8c09-cd48fe37674e</t>
  </si>
  <si>
    <t>http://www.dailymail.co.uk/news/article-2716479/Fisherman-saved-bear-attack-Justin-Bieber-ringtone-went-mauled-scared-bear-away.html</t>
  </si>
  <si>
    <t>Sugarhill Gang rapper Big Bank Hank dies at age 57</t>
  </si>
  <si>
    <t>1e44bd60-69c6-11e4-b528-9d5aa2d2e8e7</t>
  </si>
  <si>
    <t>http://www.dailymail.co.uk/tvshowbiz/article-2830358/Sugarhill-Gang-rapper-Big-Bank-Hank-dies-age-57.html</t>
  </si>
  <si>
    <t>According to some Russians this dark figure stumbling through the snowy woods is a Yeti - and they even have a footprint. Hmmmmm</t>
  </si>
  <si>
    <t>6e56aae0-9d22-11e4-bf59-1bb8b99952ce</t>
  </si>
  <si>
    <t>http://www.dailymail.co.uk/news/article-2910106/Footage-dark-figure-stumbling-woods-giant-footprint-snow-proof-Yeti-does-exist-claim-Russian-group-caught-camera.html</t>
  </si>
  <si>
    <t>Parents anger after seven Bosnian schoolgirls aged 13 and 14 fall pregnant on class trip</t>
  </si>
  <si>
    <t>680dc300-8aba-11e4-adc5-33f8455b16a2</t>
  </si>
  <si>
    <t>http://www.dailymail.co.uk/news/article-2882683/Parents-anger-seven-Bosnian-schoolgirls-aged-13-14-fall-pregnant-class-trip.html</t>
  </si>
  <si>
    <t>Tom Brokaw wants Brian Williams out: NBC legend furious at Iraq war lie, as it's claimed executives warned anchor to stop exaggerating the story in the past</t>
  </si>
  <si>
    <t>8e20fbb0-ae15-11e4-9a23-0b6010caa867</t>
  </si>
  <si>
    <t>http://www.dailymail.co.uk/news/article-2942237/NBC-News-executives-including-Tom-Brokaw-known-Brian-William-s-war-story-false-years-begged-stop-telling-it.html</t>
  </si>
  <si>
    <t>Crabzilla Photo appears to show giant CRAB measuring at least 50ft across lurking in the waters off Whitstable</t>
  </si>
  <si>
    <t>a0c5b060-555c-11e4-aaf5-a1ddcfbcd5a9</t>
  </si>
  <si>
    <t>http://www.dailymail.co.uk/news/article-2790238/crabzilla-photo-appears-giant-crab-measuring-50ft-lurking-waters-whitstable.html</t>
  </si>
  <si>
    <t>Is Crabzilla real or not? Leading marine biologist rules picture of giant crab lurking in shallow waters must be a HOAX</t>
  </si>
  <si>
    <t>bece96c0-5567-11e4-aaf5-a1ddcfbcd5a9</t>
  </si>
  <si>
    <t>http://www.dailymail.co.uk/news/article-2792345/crabzilla-verdict-leading-marine-biologist-rules-picture-giant-grab-lurking-shallow-waters-whitstable-hoax.html</t>
  </si>
  <si>
    <t>Our youngest martyr: ISIS boasts a jihadi fighter aged just TEN was killed as he went into battle with his father in Syria</t>
  </si>
  <si>
    <t>c214a9d0-4fb0-11e4-949b-f14041b20838</t>
  </si>
  <si>
    <t>http://www.dailymail.co.uk/news/article-2786403/The-youngest-martyr-cub-al-Baghdadi-ISIS-boasts-10-year-old-fighter-killed-went-battle-father-Syria.html</t>
  </si>
  <si>
    <t>Mystery woman behind the richest hands on the internet revealed: Former pornstar makes 5m a year unwrapping Disney toys on YouTube</t>
  </si>
  <si>
    <t>74272c20-bd38-11e4-b073-ed15c88bfa1e</t>
  </si>
  <si>
    <t>http://www.dailymail.co.uk/news/article-2958242/Brazilian-former-porn-star-Diane-DeJesus-mystery-figure-5million-year-YouTube-sensation-DC-Toys-Collector.html?ito=social-facebook</t>
  </si>
  <si>
    <t>From the Philippines to Canada: Dog-lovers around the world offer home to abandoned Shar-Pei Kai - but carers say he will stay in Scotland after he turned up at train station</t>
  </si>
  <si>
    <t>f509c400-969c-11e4-87a8-1d5d45e62193</t>
  </si>
  <si>
    <t>http://www.dailymail.co.uk/news/article-2899103/Abandoned-railway-station-Kai-dog-suitcase-carrying-pillow-toy-bowl-favourite-food.html</t>
  </si>
  <si>
    <t>Texas deputy showing Ebola symptoms was sent into patient zero's apartment WITHOUT protection but started growing concerned when his squad car and his uniform were quarantined</t>
  </si>
  <si>
    <t>7e552110-4f25-11e4-949b-f14041b20838</t>
  </si>
  <si>
    <t>http://www.dailymail.co.uk/news/article-2785514/Second-person-rushed-hospital-Ebola-symptoms-contact-patient-zero-Thomas-Duncan.html</t>
  </si>
  <si>
    <t>Hundreds mourn the death of Fidel Castro after rumours sweep Twitter but are they confusing him with recently departed Fidel Castro Odinga from Nairobi?</t>
  </si>
  <si>
    <t>1d47cd50-9809-11e4-bb36-07f7e019de19</t>
  </si>
  <si>
    <t>http://www.dailymail.co.uk/news/article-2903312/Hundreds-mourn-death-Fidel-Castro-rumours-sweep-Twitter-confusing-recently-departed-Fidel-Castro-Odinga-Nairobi.html</t>
  </si>
  <si>
    <t>They got in our way: James Foley's brother backs mother attacking Obama administration over failure to save photojournalist before he was beheaded by ISIS</t>
  </si>
  <si>
    <t>ed65ea20-42c4-11e4-9e78-ff09d5b0049d</t>
  </si>
  <si>
    <t>http://www.dailymail.co.uk/news/article-2754339/They-got-way-James-Foley-s-brother-backs-mother-attacking-Obama-administration-failure-save-photojournalist-beheaded-ISIS.html</t>
  </si>
  <si>
    <t>White House denies threatening families of James Foley and Steven Sotloff over ISIS ransom but adds we made the law clear to them</t>
  </si>
  <si>
    <t>cc1fd4a0-442e-11e4-94c0-515d9d816ec6</t>
  </si>
  <si>
    <t>http://www.dailymail.co.uk/news/article-2755906/White-House-denies-threatening-families-James-Foley-Steven-Sotloff-ISIS-ransom-adds-law-clear.html</t>
  </si>
  <si>
    <t>Saudi Arabia's national airline to introduce gender segregation after a string of complaints from male passengers</t>
  </si>
  <si>
    <t>c5e0fc00-9478-11e4-b6bf-fdc8b7e3bcff</t>
  </si>
  <si>
    <t>http://www.dailymail.co.uk/travel/travel_news/article-2894229/Saudi-Arabia-s-national-airline-introduce-gender-segregation-string-complaints-male-passengers.html</t>
  </si>
  <si>
    <t>Canadian woman captured by ISIS in Syria says she is actually fine and still fighting the jihadists, despite kidnap reports</t>
  </si>
  <si>
    <t>a77066d0-7a19-11e4-b794-93ed794d7b91</t>
  </si>
  <si>
    <t>http://www.dailymail.co.uk/news/article-2856718/Canadian-woman-captured-ISIS-Syria-says-actually-fine-fighting-jihadists-despite-kidnap-reports.html</t>
  </si>
  <si>
    <t>Al-Shabab leader who ordered Kenya mall massacre believed killed in US drone attack in Somalia</t>
  </si>
  <si>
    <t>78937720-3555-11e4-ae63-d5574342724c</t>
  </si>
  <si>
    <t>http://www.dailymail.co.uk/news/article-2740473/6-militants-killed-US-Somalia-strike.html</t>
  </si>
  <si>
    <t>US confirms death of Somalia terror group leader</t>
  </si>
  <si>
    <t>87361bc0-3555-11e4-ae63-d5574342724c</t>
  </si>
  <si>
    <t>http://www.dailymail.co.uk/wires/ap/article-2745292/Pentagon-confirms-death-Somalia-terror-leader.html</t>
  </si>
  <si>
    <t>Hackers tell Sony wise to cancel film, don't make more trouble -CNN</t>
  </si>
  <si>
    <t>2f93ed80-8798-11e4-a13d-d9bce527941d</t>
  </si>
  <si>
    <t>http://www.dailymail.co.uk/wires/reuters/article-2880788/Hackers-tell-Sony-wise-cancel-film-dont-make-trouble-CNN.html</t>
  </si>
  <si>
    <t>Hong Kong riot cops forced to withdraw after democracy protesters copy Don't shoot gesture used by US demonstrators after a police officer shot an unarmed black teenager</t>
  </si>
  <si>
    <t>a7570830-47e1-11e4-9960-a165dd517bbb</t>
  </si>
  <si>
    <t>http://www.dailymail.co.uk/news/article-2773343/Beijing-bans-Instagram-mainland-China-bid-quell-Hong-Kong-pro-democracy-uprising-riot-police-withdraw-following-criticism-tear-gas-tactics.html</t>
  </si>
  <si>
    <t>New York schoolboy made 72million trading stocks on his lunch breaks - and now takes his friends out to dine on 400 caviar, drives a BMW and has definitely made his immigrant parents proud</t>
  </si>
  <si>
    <t>1dd1e810-8485-11e4-b1b5-4f1bd36cbfc6</t>
  </si>
  <si>
    <t>http://www.dailymail.co.uk/news/article-2873411/New-York-high-school-student-17-makes-72MILLION-trading-stocks-lunch-breaks.html</t>
  </si>
  <si>
    <t>Homeless man who became a YouTube sensation after spending 100 on food for his beggar friends gets a surprise Christmas meal, makeover and night in a hotel in new video... but is it all a hoax by a serial prankster'?</t>
  </si>
  <si>
    <t>4d093cd0-921f-11e4-9799-c7e75be2bcad</t>
  </si>
  <si>
    <t>http://www.dailymail.co.uk/news/article-2890864/Homeless-man-YouTube-sensation-spending-100-food-beggar-friends-gets-surprise-Christmas-meal-makeover-night-hotel-new-video-hoax-serial-prankster.html</t>
  </si>
  <si>
    <t>Homeless man who received a meal and hotel stay after spending 100 donation on food for friends insists it was NOT a hoax despite new witness insisting there was no way he could have been secretly filmed</t>
  </si>
  <si>
    <t>415699f0-9224-11e4-9799-c7e75be2bcad</t>
  </si>
  <si>
    <t>http://www.dailymail.co.uk/news/article-2892216/It-s-surprise-Homeless-man-received-meal-makeover-hotel-stay-spending-100-donation-food-beggar-friends-insists-NOT-hoax.html</t>
  </si>
  <si>
    <t>Hewlett-Packard to split in 2 companies</t>
  </si>
  <si>
    <t>79cf3080-4cc4-11e4-949b-f14041b20838</t>
  </si>
  <si>
    <t>http://www.dailymail.co.uk/wires/ap/article-2781482/Hewlett-Packard-split-2-companies.html</t>
  </si>
  <si>
    <t>Hewlett-Packard splits off PC, printer businesses</t>
  </si>
  <si>
    <t>1a4bff50-4d53-11e4-949b-f14041b20838</t>
  </si>
  <si>
    <t>http://www.dailymail.co.uk/wires/ap/article-2782118/Hewlett-Packard-splits-PC-printer-businesses.html</t>
  </si>
  <si>
    <t>Hewlett-Packard to split into two public companies, lay off 5,000</t>
  </si>
  <si>
    <t>15101f80-4d53-11e4-949b-f14041b20838</t>
  </si>
  <si>
    <t>http://www.dailymail.co.uk/wires/reuters/article-2782141/Hewlett-Packard-says-split-two.html</t>
  </si>
  <si>
    <t>Rumours of my death are greatly exaggerated: Relax ladies, Hugh Hefner is alive and kicking</t>
  </si>
  <si>
    <t>d0be3830-8f6a-11e4-9799-c7e75be2bcad</t>
  </si>
  <si>
    <t>http://www.dailymail.co.uk/news/article-2014026/Hugh-Hefner-dead-Rumours-death-greatly-exaggerated.html</t>
  </si>
  <si>
    <t>Lynch mob use butcher's meat cleaver to castrate rapist they caught attacking teenage girl in alleyway in Indian city</t>
  </si>
  <si>
    <t>3eb9c780-a4c6-11e4-aa4f-ff16e52e0d56</t>
  </si>
  <si>
    <t>http://www.dailymail.co.uk/news/article-2787752/Lynch-mob-use-butcher-s-meat-cleaver-castrate-rapist-caught-attacking-teenage-girl-alleyway-Indian-city.html</t>
  </si>
  <si>
    <t>First bendgate... now it's HAIRGATE: Angry iPhone 6 owners claim design is causing chunks of their hair to be ripped out when they make a phone call</t>
  </si>
  <si>
    <t>637b6b90-4e5f-11e4-949b-f14041b20838</t>
  </si>
  <si>
    <t>http://www.dailymail.co.uk/news/article-2783051/First-bendgate-s-HAIRGATE-iPhone-6-owners-claim-design-causing-chunks-hair-ripped-make-phone-call.html</t>
  </si>
  <si>
    <t>US to investigate video showing ISIS with weapons drop meant for Kurdish fighters</t>
  </si>
  <si>
    <t>0be42eb0-5965-11e4-aaf5-a1ddcfbcd5a9</t>
  </si>
  <si>
    <t>http://www.dailymail.co.uk/news/article-2802121/we-airdrop-isis-taunts-america-fanatics-claim-intercepted-weapons-meant-kurds.html</t>
  </si>
  <si>
    <t>Turkish president says American weapons drop for Kurdish fighters was wrong after supplies end up in the hands of ISIS</t>
  </si>
  <si>
    <t>4953d290-6604-11e4-8b87-d71b609d189b</t>
  </si>
  <si>
    <t>http://www.dailymail.co.uk/news/article-2803410/Turkish-president-says-American-weapons-drop-Kurdish-fighters-wrong-supplies-end-hands-ISIS-fighters.html</t>
  </si>
  <si>
    <t>ISIS fighters now at the gates of Baghdad: Islamic militants fighting just one mile from Iraqi capital despite days Western airstrikes</t>
  </si>
  <si>
    <t>9f6dc630-47e2-11e4-9960-a165dd517bbb</t>
  </si>
  <si>
    <t>http://www.dailymail.co.uk/news/article-2773268/ISIS-militants-fighting-Iraqi-government-forces-just-six-miles-Baghdad-despite-Western-airstrikes-against-terror-group.html?ito=social-twitter_mailonline</t>
  </si>
  <si>
    <t>Has ISIS used chemical weapons on Kobane? Claims under-siege town was hit by crude rocket attack</t>
  </si>
  <si>
    <t>0c892990-5a1b-11e4-aaf5-a1ddcfbcd5a9</t>
  </si>
  <si>
    <t>http://www.dailymail.co.uk/news/article-2803621/Has-ISIS-used-chemical-weapons-Kobane-Reporter-says-siege-Syrian-town-hit-crude-chemical-rocket.html</t>
  </si>
  <si>
    <t>ISIS claims that female American aid worker who has been held hostage for 18 months has died in Jordanian air strike - but minister insists it's a PR stunt by jihadis</t>
  </si>
  <si>
    <t>f7267140-ae3c-11e4-9a23-0b6010caa867</t>
  </si>
  <si>
    <t>http://www.dailymail.co.uk/news/article-2942966/American-woman-hostage-held-ISIS-killed-Jordanian-air-strike.html</t>
  </si>
  <si>
    <t>Does ISIS have an airforce? Terrorist fighter pilots are being trained on captured MiGs by Saddam Hussein's ex-air force officers</t>
  </si>
  <si>
    <t>88f03910-5629-11e4-aaf5-a1ddcfbcd5a9</t>
  </si>
  <si>
    <t>http://www.dailymail.co.uk/news/article-2797167/does-isis-airforce-terrorist-fighter-pilots-trained-captured-migs-saddam-hussein-s-ex-air-force-officers.html</t>
  </si>
  <si>
    <t>Obama administration DENIES congressman's claim that at least ten ISIS fighters have been caught coming across the Mexican border in Texas</t>
  </si>
  <si>
    <t>223113e0-4fc9-11e4-b6a0-9705a8f94440</t>
  </si>
  <si>
    <t>http://www.dailymail.co.uk/news/article-2784525/INVASION-California-congressman-claims-ten-ISIS-fighters-caught-coming-Mexican-border-Texas.html</t>
  </si>
  <si>
    <t>Blood money: How ISIS is selling human organs harvested from living hostages and its own dead soldiers to fund terror across the Middle East</t>
  </si>
  <si>
    <t>85ac99b0-b777-11e4-8507-b58af63d1078</t>
  </si>
  <si>
    <t>http://www.dailymail.co.uk/news/article-2880815/Blood-money-ISIS-selling-human-organs-harvested-living-hostages-dead-soldiers-fund-terror-Middle-East.html</t>
  </si>
  <si>
    <t>UN urged to investigate ISIS's bloody trade in human organs after Iraqi ambassador reveals doctors are being executed for not harvesting body parts</t>
  </si>
  <si>
    <t>76c15350-b777-11e4-8507-b58af63d1078</t>
  </si>
  <si>
    <t>http://www.dailymail.co.uk/news/article-2958220/UN-urged-investigate-ISIS-s-bloody-trade-human-organs-Iraqi-ambassador-reveals-doctors-executed-not-harvesting-body-parts.html</t>
  </si>
  <si>
    <t>Spare the lives of the remaining hostages. Like Jim they are innocents: Brave mother of beheaded American journalist calls on ISIS to cease killing as she pays tribute to her extraordinary son</t>
  </si>
  <si>
    <t>5ee865f0-27ff-11e4-a916-bf0b27b73ad5</t>
  </si>
  <si>
    <t>http://www.dailymail.co.uk/news/article-2729287/ISIS-beheads-journalist-James-Wright-Foley-warning-US.html</t>
  </si>
  <si>
    <t>67e2c140-27e7-11e4-96be-dfc0d1eebaea</t>
  </si>
  <si>
    <t>http://www.dailymail.co.uk/news/article-2729287/ISIS-beheads-missing-American-journalist-James-Wright-Foley-posts-footage-online.html</t>
  </si>
  <si>
    <t>Isis fed murdered kidnap victim to his own mother after she travelled to their headquarters and demanded to see him</t>
  </si>
  <si>
    <t>5040cfa0-c11b-11e4-8747-5b024dd6dd6c</t>
  </si>
  <si>
    <t>http://www.dailymail.co.uk/news/article-2975200/Isis-fed-murdered-kidnap-victim-mother-travelled-headquarters-demanded-him.html</t>
  </si>
  <si>
    <t>ISIS using bombs containing live SCORPIONS in effort to spread panic, in tactic used 2,000 years ago against Romans</t>
  </si>
  <si>
    <t>0c41a910-8538-11e4-b1b5-4f1bd36cbfc6</t>
  </si>
  <si>
    <t>http://www.dailymail.co.uk/news/article-2875968/ISIS-using-bombs-containing-live-SCORPIONS-effort-spread-panic-tactic-used-2-000-years-ago-against-Romans.html</t>
  </si>
  <si>
    <t>Fresh agony for James Foley's family as sick ISIS militants try to sell them his headless body for 1million</t>
  </si>
  <si>
    <t>20227bc0-8138-11e4-8faa-9748b2fc07a1</t>
  </si>
  <si>
    <t>http://www.dailymail.co.uk/news/article-2869564/ISIS-militants-trying-sell-body-beheaded-American-Hostage-James-Foley-1million.html</t>
  </si>
  <si>
    <t>Giant 8ft 9in catfish weighing 19 stone caught in Italy is thought to be the biggest ever reeled in with a rod and line</t>
  </si>
  <si>
    <t>a61f5da0-bd34-11e4-b073-ed15c88bfa1e</t>
  </si>
  <si>
    <t>http://www.dailymail.co.uk/news/article-2967097/Giant-8ft-9in-catfish-weighing-19-stone-caught-Italy.html</t>
  </si>
  <si>
    <t>Nun complains of stomach pains... and GIVES BIRTH: Sister who had no idea she was pregnant has a baby boy at hospital in Italy</t>
  </si>
  <si>
    <t>f55f36b0-a434-11e4-aa4f-ff16e52e0d56</t>
  </si>
  <si>
    <t>http://www.dailymail.co.uk/news/article-2923690/Nun-complains-stomach-pains-GIVES-BIRTH-Sister-no-idea-pregnant-baby-boy-hospital-Italy.html</t>
  </si>
  <si>
    <t>We'll only feel closure when there's a bullet between his eyes: Daughter of British hostage beheaded by Jihadi John speaks out as killer is finally unmasked - but how DID he slip through the net?</t>
  </si>
  <si>
    <t>ddfa6dd0-bdb3-11e4-b073-ed15c88bfa1e</t>
  </si>
  <si>
    <t>http://www.dailymail.co.uk/news/article-2970161/ISIS-executioner-Jihadi-John-identified-London-man-Mohammed-Emwazi.html</t>
  </si>
  <si>
    <t>EXCLUSIVE: Got him Jihadi John is wounded in US airstrike that killed 10 top ISIS commanders at secret bunker meeting in Iraq</t>
  </si>
  <si>
    <t>e88b8730-6d35-11e4-8e10-b9c720c188ba</t>
  </si>
  <si>
    <t>http://www.dailymail.co.uk/news/article-2836124/GOT-Jihadi-John-wounded-airstrike-Foreign-Office-confirms-MOS-aware-reports-injury.html</t>
  </si>
  <si>
    <t>Kim Jong-Un in hospital with two fractured ankles after ballooning to around 20 stone and going on numerous meet the people walkabout PR stunts</t>
  </si>
  <si>
    <t>aae7f970-48d9-11e4-9960-a165dd517bbb</t>
  </si>
  <si>
    <t>http://www.dailymail.co.uk/news/article-2774604/Kim-Jong-Un-hospital-two-fractured-ankles-ballooning-20-stone-going-numerous-meet-people-walkabout-PR-stunts.html</t>
  </si>
  <si>
    <t>Is Kim Jong ill? North Korean dictator in poor health as his weight has ballooned thanks to an obsession with cheese</t>
  </si>
  <si>
    <t>ecece290-4582-11e4-a79e-01321ca3a48d</t>
  </si>
  <si>
    <t>http://www.dailymail.co.uk/news/article-2760492/Is-Kim-Jong-ill-North-Korean-dictator-poor-health-weight-ballooned-thanks-obsession-cheese.html</t>
  </si>
  <si>
    <t>Kim Jong IS Un-well and it could be GOUT North Korea confirms its young dictator is suffering discomfort after addiction to Swiss cheese revealed</t>
  </si>
  <si>
    <t>0c602e60-458e-11e4-a79e-01321ca3a48d</t>
  </si>
  <si>
    <t>http://www.dailymail.co.uk/news/article-2770664/North-Korea-confirms-young-dictator-suffering-discomfort-addiction-Swiss-cheese-revealed.html</t>
  </si>
  <si>
    <t>80s Brat Pack star Judd Nelson forced to deny that he's dead after fake news story starts trending on social media</t>
  </si>
  <si>
    <t>322d0270-5d68-11e4-a887-2324afc3f9a8</t>
  </si>
  <si>
    <t>http://www.dailymail.co.uk/news/article-2808843/80-s-Brat-Pack-star-Judd-Nelson-forced-deny-s-dead-fake-news-story-starts-trending-social-media.html</t>
  </si>
  <si>
    <t>Pictured: Heroic sergeant-at-arms, 58, walking through Parliament gun in hand just moments after he killed gunman Michael Zehaf-Bibeau</t>
  </si>
  <si>
    <t>28e2f0c0-5b20-11e4-a887-2324afc3f9a8</t>
  </si>
  <si>
    <t>http://www.dailymail.co.uk/news/article-2804397/Canadian-sergeant-arms-58-hailed-hero-shooting-dead-terrorist-Zehaf-Bibeau-exchange-gunfire-30-year-career.html</t>
  </si>
  <si>
    <t>Emotional sergeant-at-arms is greeted back to parliament with a rousing standing ovation a day after he heroically shot dead terrorist - the first time he used weapon in 30 year career</t>
  </si>
  <si>
    <t>968ec6a0-5b78-11e4-a887-2324afc3f9a8</t>
  </si>
  <si>
    <t>http://www.dailymail.co.uk/news/article-2804992/The-incredible-moment-heroic-sergeant-arms-58-greeted-lengthy-standing-ovation-returning-Parliament-day-shot-dead-gunman.html</t>
  </si>
  <si>
    <t>Has Kim's SISTER taken over North Korea? Dictator fails to show for key Communist event but does send a nice flower basket instead</t>
  </si>
  <si>
    <t>42927c50-4fec-11e4-b6a0-9705a8f94440</t>
  </si>
  <si>
    <t>http://www.dailymail.co.uk/news/article-2786786/Pull-Un-North-Korean-dictator-not-seen-weeks-pulled-tendon-doing-drill-generals.html</t>
  </si>
  <si>
    <t>Will King of Jordan lead airstrikes on ISIS HIMSELF? Reports say trained pilot plans to take part in attack after quoting Clint Eastwood's Unforgiven to Congressmen</t>
  </si>
  <si>
    <t>7366d8f0-ad4b-11e4-9a23-0b6010caa867</t>
  </si>
  <si>
    <t>http://www.dailymail.co.uk/news/article-2938668/Jordanian-king-Obama-meet-pilots-killing.html</t>
  </si>
  <si>
    <t>Poster girl for Kurdish freedom fighters in Kobane is captured and beheaded by ISIS killers who posted gruesome pictures online</t>
  </si>
  <si>
    <t>b5037da0-5e35-11e4-a887-2324afc3f9a8</t>
  </si>
  <si>
    <t>http://www.dailymail.co.uk/news/article-2809260/Poster-girl-Kurdish-freedom-fighters-Kobane-captured-beheaded-ISIS.html</t>
  </si>
  <si>
    <t>Rehana is alive and well... ISIS fanatics have NOT beheaded her: Poster girl for Kurdish freedom fighters escaped Kobane hellhole, friends tell MailOnline</t>
  </si>
  <si>
    <t>9d15fe60-5eea-11e4-a887-2324afc3f9a8</t>
  </si>
  <si>
    <t>http://www.dailymail.co.uk/news/article-2810780/Rehana-alive-ISIS-fanatics-NOT-beheaded-Poster-girl-Kurdish-freedom-fighters-escaped-Kobane-hellhole-friends-tell-MailOnline.html</t>
  </si>
  <si>
    <t>Now THAT'S a Royal trip Alan Titchmarsh finds psychedelic mushroom in the Queen's garden at Buckingham Palace</t>
  </si>
  <si>
    <t>dbce0b50-83f4-11e4-b1b5-4f1bd36cbfc6</t>
  </si>
  <si>
    <t>http://www.dailymail.co.uk/news/article-2871043/Now-S-Royal-trip-Alan-Titchmarsh-finds-psychedelic-mushroom-Queen-s-garden.html</t>
  </si>
  <si>
    <t>Boy who suffered powerful electric shock claims he now has superpowers like X-Men's Magneto as metal objects stick to him</t>
  </si>
  <si>
    <t>b3fd63f0-702b-11e4-8e10-b9c720c188ba</t>
  </si>
  <si>
    <t>http://www.dailymail.co.uk/news/article-2840899/Boy-suffered-powerful-electric-shock-claims-superpowers-like-X-Men-s-Magneto-metal-objects-stick-him.html</t>
  </si>
  <si>
    <t>Best Christmas present ever? Heartwarming moment app developer reveals to his parents he had paid off their mortgage</t>
  </si>
  <si>
    <t>eb8b18e0-8d71-11e4-9799-c7e75be2bcad</t>
  </si>
  <si>
    <t>http://www.dailymail.co.uk/news/article-2887841/Best-Christmas-present-Heartwarming-moment-app-developer-reveals-parents-paid-mortgage.html</t>
  </si>
  <si>
    <t>Police hunting mystery slapper in tweed jacket who attacks people who sneeze in town's high street</t>
  </si>
  <si>
    <t>86f7e840-d0fb-11e4-956e-77ab1bea7698</t>
  </si>
  <si>
    <t>http://www.dailymail.co.uk/news/article-3005039/Police-hunting-mystery-slapper-tweed-jacket-attacks-people-sneeze-town-s-high-street.html</t>
  </si>
  <si>
    <t>Charles Manson's fiance only wanted to marry him so she could put his corpse on display in a glass coffin after he died</t>
  </si>
  <si>
    <t>865b79a0-b11c-11e4-9a23-0b6010caa867</t>
  </si>
  <si>
    <t>http://www.dailymail.co.uk/news/article-2946637/Charles-Manson-s-fianc-e-wanted-marry-corpse-display-glass-coffin-died.html</t>
  </si>
  <si>
    <t>Moment U.S. Marine is saved by his Kevlar helmet as Taliban sniper bullet hits him in head</t>
  </si>
  <si>
    <t>7bf07fd0-5549-11e4-b6a0-9705a8f94440</t>
  </si>
  <si>
    <t>http://www.dailymail.co.uk/news/article-2795812/moment-u-s-marine-saved-kevlar-helmet-taliban-sniper-bullet-hits-head.html</t>
  </si>
  <si>
    <t>Police find mass graves with at least 15 bodies near Mexico town where 43 students disappeared after police clash</t>
  </si>
  <si>
    <t>10ced2f0-4cbc-11e4-949b-f14041b20838</t>
  </si>
  <si>
    <t>http://www.dailymail.co.uk/news/article-2781120/Police-mass-graves-15-bodies-near-Mexico-town-43-students-disappeared-police-clash.html</t>
  </si>
  <si>
    <t>Mexico hit by student massacre: At least 17 anti-corruption protesters rounded up, murdered and dumped in a mass grave - and another 26 are missing</t>
  </si>
  <si>
    <t>d07394a0-4dc1-11e4-949b-f14041b20838</t>
  </si>
  <si>
    <t>http://www.dailymail.co.uk/news/article-2781520/Mexico-massacre-victims-feared-missing-students.html</t>
  </si>
  <si>
    <t>Mexico prosecutor: Students not in 1st mass graves</t>
  </si>
  <si>
    <t>d9a50340-708c-11e4-8e10-b9c720c188ba</t>
  </si>
  <si>
    <t>http://www.dailymail.co.uk/wires/ap/article-2792904/Alleged-capo-kills-self-thwart-Mexican-forces.html</t>
  </si>
  <si>
    <t>Rise of the zombie cat: Pet who was killed and buried by his owner climbed out of his grave five days later</t>
  </si>
  <si>
    <t>1bdb1dc0-a68a-11e4-aa4f-ff16e52e0d56</t>
  </si>
  <si>
    <t>http://www.dailymail.co.uk/news/article-2927741/It-s-zombie-cat-Beloved-pet-hit-car-buried-claws-way-grave-five-days-came-home-dinner.html</t>
  </si>
  <si>
    <t>Three Afghan soldiers who vanished from Massachusetts military base are FOUND trying to cross into Canada</t>
  </si>
  <si>
    <t>d282cb10-4288-11e4-9e78-ff09d5b0049d</t>
  </si>
  <si>
    <t>http://www.dailymail.co.uk/news/article-2765536/Three-Afghan-soldiers-vanished-Massachusetts-military-base-FOUND-trying-cross-Canada.html</t>
  </si>
  <si>
    <t>Mob Strips Adulterous Woman</t>
  </si>
  <si>
    <t>Chinese mistress is stripped naked and beaten senseless in backlash against booming country's concubine culture</t>
  </si>
  <si>
    <t>289b6330-9ffa-11e4-a353-5b831fe927be</t>
  </si>
  <si>
    <t>0fe84c40-9ffa-11e4-a353-5b831fe927be</t>
  </si>
  <si>
    <t>http://www.dailymail.co.uk/news/article-2791108/mob-rule-chinese-adulteress-stripped-naked-beaten-senseless-latest-attack-kind.html</t>
  </si>
  <si>
    <t>Chinese parents try to SELL their son to pay for medical treatment for his sick twin sister</t>
  </si>
  <si>
    <t>b2d17a70-96b4-11e4-87a8-1d5d45e62193</t>
  </si>
  <si>
    <t>http://www.dailymail.co.uk/news/article-2899023/Parents-decide-sell-SON-pay-medical-treatment-twin-sister-China.html</t>
  </si>
  <si>
    <t>That's one way to get through security Frustrated traveller strips completely NAKED at airport to pass through metal detectors</t>
  </si>
  <si>
    <t>2a26a2c0-b6d2-11e4-8507-b58af63d1078</t>
  </si>
  <si>
    <t>http://www.dailymail.co.uk/travel/travel_news/article-2955399/Frustrated-traveller-strips-completely-NAKED-airport-pass-metal-detectors.html</t>
  </si>
  <si>
    <t>Even though you're gay, I will always treat you the same way as I do now: Moving letter from nine-year-old to her school teacher after he came out to his class</t>
  </si>
  <si>
    <t>a5667590-8618-11e4-b1b5-4f1bd36cbfc6</t>
  </si>
  <si>
    <t>http://www.dailymail.co.uk/femail/article-2876446/Even-gay-treat-way-Moving-letter-nine-year-old-school-teacher-came-class.html</t>
  </si>
  <si>
    <t>Son of North Korean aide linked to Kim Jong-un's executed uncle is on the run in France amid fears he will be killed by regime</t>
  </si>
  <si>
    <t>6f6bc3a0-9059-11e4-9799-c7e75be2bcad</t>
  </si>
  <si>
    <t>http://www.dailymail.co.uk/news/article-2891491/Son-North-Korean-aide-linked-Kim-Jong-s-executed-uncle-run-France-amid-fears-killed-regime.html</t>
  </si>
  <si>
    <t>Anyone for dog meat soup? Kim Jong-Un considers opening restaurant in Scotland selling North Korean delicacies</t>
  </si>
  <si>
    <t>d95f7dd0-9b15-11e4-bf59-1bb8b99952ce</t>
  </si>
  <si>
    <t>http://www.dailymail.co.uk/news/article-2906074/Anyone-dog-meat-soup-Kim-Jong-considers-opening-restaurant-Scotland-selling-North-Korean-delicacies.html</t>
  </si>
  <si>
    <t>Four masked men break into migrant's home and rip off his penis after he had affairs with local women</t>
  </si>
  <si>
    <t>06d63810-a806-11e4-a43b-f10f6756f801</t>
  </si>
  <si>
    <t>http://www.dailymail.co.uk/news/article-2178820/Four-masked-men-break-migrant-Romeos-home-rip-penis.html</t>
  </si>
  <si>
    <t>The men caught cat-calling and wolf whistling their own MOTHERS: Hilarious TV show disguises women so they can experience their sons behaviour</t>
  </si>
  <si>
    <t>b81d6fb0-a632-11e4-aa4f-ff16e52e0d56</t>
  </si>
  <si>
    <t>http://www.dailymail.co.uk/news/article-2926504/The-men-caught-cat-calling-wolf-whistling-MOTHERS-Hilarious-TV-disguises-women-experience-unwitting-sons-behaviour-Peru.html</t>
  </si>
  <si>
    <t>The female UAE pilot bombing ISIS was disowned by her family</t>
  </si>
  <si>
    <t>Arab woman pilot who is poster girl for Gulf states blitz on ISIS is disowned by her family for bombing Sunni heroes of Iraq and the Levant</t>
  </si>
  <si>
    <t>c0077210-4657-11e4-a79e-01321ca3a48d</t>
  </si>
  <si>
    <t>bda984e0-4657-11e4-a79e-01321ca3a48d</t>
  </si>
  <si>
    <t>http://www.dailymail.co.uk/news/article-2771731/Family-UAE-s-female-fighter-pilot-spearheaded-attacks-against-ISIS-publicly-disown-taking-brutal-international-aggression-against-Syria.html</t>
  </si>
  <si>
    <t>Dogs DO go to heaven and cats, and horses: Pope assures young boy that there is a place in paradise for animals as well</t>
  </si>
  <si>
    <t>75f050f0-8330-11e4-b1b5-4f1bd36cbfc6</t>
  </si>
  <si>
    <t>http://www.dailymail.co.uk/news/article-2871920/Pope-assures-young-boy-place-paradise-animals-well.html</t>
  </si>
  <si>
    <t>Joan Rivers's doctor took a SELFIE with the comedian as she was under anesthesia and just moments before she went into cardiac arrest that killed her</t>
  </si>
  <si>
    <t>aed46b00-3e06-11e4-bc0b-3f922b93930d</t>
  </si>
  <si>
    <t>http://www.dailymail.co.uk/news/article-2758736/Joan-Rivers-s-doctor-took-SELFIE-comedian-lay-anesthetic-just-seconds-went-cardiac-arrest-killed-her.html</t>
  </si>
  <si>
    <t>Throat specialist to the stars allegedly involved in fatal Joan Rivers procedure denies taking selfie with star as she releases statement saying she will not comment on tragic incident</t>
  </si>
  <si>
    <t>2b41dc40-402d-11e4-9e78-ff09d5b0049d</t>
  </si>
  <si>
    <t>http://www.dailymail.co.uk/news/article-2761679/Throat-specialist-stars-involved-fatal-Joan-Rivers-procedure-denies-taking-selfie-star-releases-statement-saying-not-comment-tragic-incident.html</t>
  </si>
  <si>
    <t>Dear Sandwich Thief: Man's hilarious response to passive-aggressive sign posted on his office's fridge door sparks incredible kitchen note war</t>
  </si>
  <si>
    <t>3d3e9760-2d60-11e4-89c5-1d389b94bc4b</t>
  </si>
  <si>
    <t>http://www.dailymail.co.uk/news/article-2732898/Dear-Sandwich-Thief-Mans-hilarious-response-passive-aggressive-sign-posted-offices-fridge-door-sparks-incredible-kitchen-note-war.html</t>
  </si>
  <si>
    <t>Return of the Mac: Seth Rogen in talks to star as Apple co-founder Steve Wozniak in upcoming Steve Jobs biopic</t>
  </si>
  <si>
    <t>8df39250-6122-11e4-b6e9-e5f029e25965</t>
  </si>
  <si>
    <t>http://www.dailymail.co.uk/tvshowbiz/article-2815642/Seth-Rogen-talks-star-Apple-founder-Steve-Wozniak-upcoming-Steve-Jobs-biopic.html</t>
  </si>
  <si>
    <t>Moment Michael Brown was shot dead caught on audio recording: FBI handed potentially damning tape of ELEVEN shots being fired - including final volley of kill shots</t>
  </si>
  <si>
    <t>c6b130a0-2d67-11e4-89c5-1d389b94bc4b</t>
  </si>
  <si>
    <t>http://www.dailymail.co.uk/news/article-2734371/Moment-Michael-Brown-shot-dead-caught-audio-recording-FBI-handed-potentially-damning-tape-ELEVEN-shots-fired-including-final-volley-kill-shots.html</t>
  </si>
  <si>
    <t>Audio recording of Michael Brown being gunned down WAS made at the time he was killed: App company appears to confirm tape of ELEVEN bullets being fired - including final volley of kill shots</t>
  </si>
  <si>
    <t>b5517830-36c5-11e4-ae63-d5574342724c</t>
  </si>
  <si>
    <t>http://www.dailymail.co.uk/news/article-2737051/Audio-recording-Michael-Brown-gunned-REAL-Video-messaging-service-Glide-confirms-tape-ELEVEN-bullets-fired-including-final-volley-kill-shots.html</t>
  </si>
  <si>
    <t>Tourist wakes to find strange red trail on his stomach - and discovers a spider has burrowed through his appendix scar and crawled UNDER his skin while on holiday in Bali</t>
  </si>
  <si>
    <t>5fcb5aa0-565c-11e4-aaf5-a1ddcfbcd5a9</t>
  </si>
  <si>
    <t>http://www.dailymail.co.uk/news/article-2794933/real-life-spiderman-aussie-tourist-wakes-strange-red-trail-stomach-doctors-spider-burrowed-skin-bali-holiday.html</t>
  </si>
  <si>
    <t>Web of confusion as scientists cast doubt on man's claims that a spider burrowed into his stomach through his SCAR</t>
  </si>
  <si>
    <t>861dda30-5660-11e4-aaf5-a1ddcfbcd5a9</t>
  </si>
  <si>
    <t>http://www.dailymail.co.uk/news/article-2797227/scientists-cast-doubt-mans-claims-spider-burrowed-stomach-scar.html</t>
  </si>
  <si>
    <t>Elementary school suspends boy after he threatens to turn fellow student invisible with the One Ring from Tolkien novels</t>
  </si>
  <si>
    <t>5b08fb30-ab0c-11e4-9a23-0b6010caa867</t>
  </si>
  <si>
    <t>http://www.dailymail.co.uk/news/article-2935761/Elementary-school-suspends-boy-threatens-turn-fellow-student-invisible-One-Ring-Tolkien-novels.html</t>
  </si>
  <si>
    <t>Taliban terrorist swapped for Bowe Bergdahl is under intensified surveillance after he allegedly contacted Al Qaeda</t>
  </si>
  <si>
    <t>6529d980-a8a1-11e4-a133-7514623ae047</t>
  </si>
  <si>
    <t>http://www.dailymail.co.uk/news/article-2932315/Gitmo-detainees-swapped-Bergdahl-reached-al-Qaida-linked-groups-says-U-S-governement.html</t>
  </si>
  <si>
    <t>Michael Phelps self-proclaimed girlfriend, 41, reveals she was born a male as she describes her amazing intimacy with Olympic swimmer</t>
  </si>
  <si>
    <t>b4081ed0-70da-11e4-8e10-b9c720c188ba</t>
  </si>
  <si>
    <t>http://www.dailymail.co.uk/news/article-2841581/Michael-Phelps-girlfriend-admits-born-male-describes-amazing-sex-Olympic-swimmer.html</t>
  </si>
  <si>
    <t>8cb00000-70df-11e4-8e10-b9c720c188ba</t>
  </si>
  <si>
    <t>It was me Student, 19, reveals SHE was the Teletubbies giggling baby in the sky - and was paid just 250 and a box of toys</t>
  </si>
  <si>
    <t>9f150840-8b14-11e4-9799-c7e75be2bcad</t>
  </si>
  <si>
    <t>http://www.dailymail.co.uk/news/article-2884843/Student-reveals-Teletubbies-giggling-baby-sky.html</t>
  </si>
  <si>
    <t>Did a plumber's pick-up truck from Texas end up carrying an anti-aircraft gun for Islamic fighters on the front lines of Syria?</t>
  </si>
  <si>
    <t>3fdddc80-8777-11e4-b1b5-4f1bd36cbfc6</t>
  </si>
  <si>
    <t>http://www.dailymail.co.uk/news/article-2876735/How-plumber-s-truck-Texas-ended-hands-Islamic-fighters-lines-Syria.html</t>
  </si>
  <si>
    <t>Fake or freak? Woman, 21, claims to have paid 20,000 to surgically add third breast in desperate bid to become a reality TV star</t>
  </si>
  <si>
    <t>4b552ce0-428e-11e4-9e78-ff09d5b0049d</t>
  </si>
  <si>
    <t>http://www.dailymail.co.uk/news/article-2765212/Woman-21-pays-20-000-surgically-add-breast-desperate-bid-reality-TV-star.html</t>
  </si>
  <si>
    <t>They're fake Woman who claims to have surgically implanted third breast is a self-proclaimed hoaxer who once reported a 3 breast prosthesis stolen from her luggage</t>
  </si>
  <si>
    <t>975e5570-6bfc-11e4-b528-9d5aa2d2e8e7</t>
  </si>
  <si>
    <t>http://www.dailymail.co.uk/news/article-2766603/Meet-massage-therapist-self-proclaimed-hoaxer-claims-surgically-implanted-breast.html</t>
  </si>
  <si>
    <t>Tee-off in your own putting paradise: Swedish luxury island owned by Tiger Woods up for sale - and it comes with a villa, a hot tub and a lodge</t>
  </si>
  <si>
    <t>8d03dba0-9a7c-11e4-bf59-1bb8b99952ce</t>
  </si>
  <si>
    <t>http://www.dailymail.co.uk/news/article-2900305/A-chance-tee-putting-paradise-Swedish-luxury-island-previously-owned-Tiger-Woods-sale.html</t>
  </si>
  <si>
    <t>America's oldest time capsule unearthed at Boston statehouse after being buried in 1795 by Sam Adams and Paul Revere Read more: http:www.dailymail.co.uknewsarticle-2870826Time-capsule-removed-Massachusetts-Statehouse.htmlixzz3LkxsT77z Follow us: MailOnline on Twitter DailyMail on Facebook</t>
  </si>
  <si>
    <t>bc121280-8290-11e4-b1b5-4f1bd36cbfc6</t>
  </si>
  <si>
    <t>http://www.dailymail.co.uk/news/article-2870826/Time-capsule-removed-Massachusetts-Statehouse.html</t>
  </si>
  <si>
    <t>Transgender teenager, 17, leaves heartbreaking suicide note blaming her Christian parents before walking in front of tractor trailer on highway</t>
  </si>
  <si>
    <t>87bdf910-905d-11e4-9799-c7e75be2bcad</t>
  </si>
  <si>
    <t>http://www.dailymail.co.uk/news/article-2891267/Transgender-teenager-leaves-heartbreaking-suicide-note-blaming-Christian-parents-walking-tractor-trailer-highway.html</t>
  </si>
  <si>
    <t>Devoted pet owner spends 300 to save his GOLDFISH after it became constipated</t>
  </si>
  <si>
    <t>6bef78b0-92cb-11e4-b271-b1de57982894</t>
  </si>
  <si>
    <t>http://www.dailymail.co.uk/news/article-2893453/Devoted-pet-owner-spends-300-save-GOLDFISH-constipated.html</t>
  </si>
  <si>
    <t>They ate through the ceilings and pooped on the keyboards: Rats are taking over Vogue's new World Trade Center office and Anna Wintour no longer wants to work there</t>
  </si>
  <si>
    <t>c833d5f0-83bf-11e4-b1b5-4f1bd36cbfc6</t>
  </si>
  <si>
    <t>http://www.dailymail.co.uk/news/article-2871864/They-ate-ceilings-pooped-keyboards-Rats-taking-Vogue-s-new-World-Trade-Center-office-Anna-Wintour-no-longer-wants-work-infestation-intensifies.html</t>
  </si>
  <si>
    <t>Anna Wintour refuses to work at new World Trade Center Vogue office due to rat infestation</t>
  </si>
  <si>
    <t>b6a03c30-7306-11e4-99be-fb3662a4a6dd</t>
  </si>
  <si>
    <t>http://www.dailymail.co.uk/tvshowbiz/article-2845032/Anna-Wintour-refuses-work-new-Vogue-offices-rat-infestation.html</t>
  </si>
  <si>
    <t>Eye-catching Rare sighting of Anna Wintour without her trademark sunglasses as she leaves rat-infested Vogue office</t>
  </si>
  <si>
    <t>471f73e0-83f4-11e4-b1b5-4f1bd36cbfc6</t>
  </si>
  <si>
    <t>http://www.dailymail.co.uk/tvshowbiz/article-2872792/Rare-sighting-Anna-Wintour-without-trademark-sunglasses-leaves-rat-infested-Vogue-office.html</t>
  </si>
  <si>
    <t>Comfort eating? Chinese woman, 26, spends an entire WEEK in KFC after being dumped by boyfriend</t>
  </si>
  <si>
    <t>6188f970-9ff8-11e4-a353-5b831fe927be</t>
  </si>
  <si>
    <t>http://www.dailymail.co.uk/news/article-2803459/Comfort-eating-Chinese-woman-26-spends-entire-WEEK-KFC-dumped-boyfriend.html</t>
  </si>
  <si>
    <t>Pregnant Ferguson woman loses her EYE after police shoot her car with bean bag during violent protests</t>
  </si>
  <si>
    <t>553c55e0-773f-11e4-94c6-4131d5b705e4</t>
  </si>
  <si>
    <t>http://www.dailymail.co.uk/news/article-2852980/Pregnant-Ferguson-woman-loses-EYE-police-shoot-car-bean-bag-violent-protests.html</t>
  </si>
  <si>
    <t>Teenager wakes up while undergoing BRAIN SURGERY in Poland... and asks the surgeons how the operation is going</t>
  </si>
  <si>
    <t>86463400-93bc-11e4-b6bf-fdc8b7e3bcff</t>
  </si>
  <si>
    <t>http://www.dailymail.co.uk/news/article-2894276/Teenager-wakes-undergoing-BRAIN-SURGERY-Poland-asks-surgeons-operation-going.html</t>
  </si>
  <si>
    <t>U.S. airstrikes hit ISIS leader: Terror group chief critically wounded in Iraq after coalition forces bomb jihadi leaders</t>
  </si>
  <si>
    <t>f061de30-68e6-11e4-b528-9d5aa2d2e8e7</t>
  </si>
  <si>
    <t>http://www.dailymail.co.uk/news/article-2826488/U-S-air-strikes-hit-ISIS-leader-Abu-Bakr-al-Baghdadi.html</t>
  </si>
  <si>
    <t>ISIS terror chief believed dead: Iraqi military confirm warlord WAS injured in US-led airstrike as speculation grows feared jihadist perished in attack</t>
  </si>
  <si>
    <t>cf15b2b0-68e6-11e4-b528-9d5aa2d2e8e7</t>
  </si>
  <si>
    <t>http://www.dailymail.co.uk/news/article-2827728/ISIS-terror-chief-believed-dead-Iraqi-military-confirm-warlord-injured-led-airstrike-speculation-grows-feared-jihadist-perished-attack.html</t>
  </si>
  <si>
    <t>Pictured: Libyan Islamist rebels pose with planes seized from Tripoli airport as U.S. officials warn they could be used to carry out terrorist attack on 911 anniversary</t>
  </si>
  <si>
    <t>84c3d8d0-33cc-11e4-8453-710264d9a1f8</t>
  </si>
  <si>
    <t>http://www.dailymail.co.uk/news/article-2741428/Officials-warn-ELEVEN-missing-airplanes-Libya-used-carry-terrorist-attack-9-11-anniversary.html</t>
  </si>
  <si>
    <t>Cruel aunt cuts her three-year-old nephew's penis off because he burst in on her on the loo and asked to use her phone</t>
  </si>
  <si>
    <t>338ec730-a4f7-11e4-aa4f-ff16e52e0d56</t>
  </si>
  <si>
    <t>http://www.dailymail.co.uk/news/article-2837967/A-wicked-aunt-cut-three-year-old-nephews-penis-burst-loo-asked-use-phone.html</t>
  </si>
  <si>
    <t>Vandals spray a rude drawing on 2.4m Bugatti Veyron but fortunately for the owner it is all a prank</t>
  </si>
  <si>
    <t>39db5440-4ff3-11e4-b6a0-9705a8f94440</t>
  </si>
  <si>
    <t>http://www.dailymail.co.uk/news/article-2786876/Crude-drawing-2-5million-Bugatti-Veyron-turns-YouTube-hoax.html</t>
  </si>
  <si>
    <t>REVEALED: Navy Seals hiked six miles and got within 100 yards of Yemen compound where executed US hostage was being held - before a dog bark alerted al-Qaeda captors</t>
  </si>
  <si>
    <t>4dad05f0-7d2e-11e4-8faa-9748b2fc07a1</t>
  </si>
  <si>
    <t>http://www.dailymail.co.uk/news/article-2863215/British-born-U-S-photojournalist-held-hostage-al-Qaeda-killed-failed-rescue-attempt-Yemen.html</t>
  </si>
  <si>
    <t>Al-Qaeda kills hostages as US tries dramatic rescue bid</t>
  </si>
  <si>
    <t>6c804230-7d2e-11e4-8faa-9748b2fc07a1</t>
  </si>
  <si>
    <t>http://www.dailymail.co.uk/wires/afp/article-2863233/US-Yemeni-forces-bid-free-American-held-Qaeda.html</t>
  </si>
  <si>
    <t>Barbaric hostage murder condemned</t>
  </si>
  <si>
    <t>5f724750-7d2e-11e4-8faa-9748b2fc07a1</t>
  </si>
  <si>
    <t>http://www.dailymail.co.uk/wires/pa/article-2863216/Al-Qaida-kills-British-born-hostage.html</t>
  </si>
  <si>
    <t>American, South African hostages die in rescue attempt in Yemen</t>
  </si>
  <si>
    <t>7b7c0350-7d2e-11e4-8faa-9748b2fc07a1</t>
  </si>
  <si>
    <t>http://www.dailymail.co.uk/wires/reuters/article-2863243/American-hostage-Yemen-freed-military-raid-Defence-Ministry.html</t>
  </si>
  <si>
    <t>American hostage killed in rescue attempt in Yemen - senior official</t>
  </si>
  <si>
    <t>2df89170-7d2e-11e4-8faa-9748b2fc07a1</t>
  </si>
  <si>
    <t>http://www.dailymail.co.uk/wires/reuters/article-2863268/American-hostage-killed-rescue-attempt-Yemen--senior-official.html</t>
  </si>
  <si>
    <t>The school lunches that shame America: Photos reveal just how meager US students meals are compared to even the most cash-strapped of nations</t>
  </si>
  <si>
    <t>32378f60-c0f5-11e4-8747-5b024dd6dd6c</t>
  </si>
  <si>
    <t>http://www.dailymail.co.uk/news/article-2958640/Photos-school-lunches-served-world-reveal-just-meager-America-s-meals-compared-cash-strapped-nations.html</t>
  </si>
  <si>
    <t>ISIS fighters have contracted Ebola: World Health Organisation investigating reports militants showed up at Iraqi hospital with lethal disease</t>
  </si>
  <si>
    <t>57f84450-9298-11e4-b271-b1de57982894</t>
  </si>
  <si>
    <t>http://www.dailymail.co.uk/news/article-2894154/ISIS-fighters-contracted-Ebola-World-Health-Organisation-investigating-reports-Islamist-militants-disease-showed-Iraqi-hospital.html</t>
  </si>
  <si>
    <t>db31e3d0-50da-11e4-b6a0-9705a8f94440</t>
  </si>
  <si>
    <t>http://www.dailymail.co.uk/news/article-2786786/Pull-Un-North-Korean-dictator-not-seen-weeks-pulled-tendon-doing-drill-generals.html?ito=social-twitter_mailonline</t>
  </si>
  <si>
    <t>Canadian cat Mittens to undergo gender reassignment surgery after it is revealed to be a hermaphrodite</t>
  </si>
  <si>
    <t>5536b840-a43c-11e4-aa4f-ff16e52e0d56</t>
  </si>
  <si>
    <t>http://www.dailymail.co.uk/news/article-2920446/Canadian-cat-Mittens-undergo-gender-reassignment-surgery-revealed-hermaphrodite.html</t>
  </si>
  <si>
    <t>Grieving Afghan mother takes bloody revenge by killing 25 Taliban militants during seven hour battle after they gunned down her son</t>
  </si>
  <si>
    <t>1278f6e0-76f5-11e4-b9e8-ab92b2da133c</t>
  </si>
  <si>
    <t>http://www.dailymail.co.uk/news/article-2850031/Mother-kills-25-Taliban-militants-watching-kill-police-officer-son.html</t>
  </si>
  <si>
    <t>Pictured: Recent Muslim convert Michael Zehaf-Bibeau who shot dead a solider and opened fire on Canadian Parliament</t>
  </si>
  <si>
    <t>af1cc8e0-5a45-11e4-aaf5-a1ddcfbcd5a9</t>
  </si>
  <si>
    <t>http://www.dailymail.co.uk/news/article-2804099/Pictured-Recent-Muslim-convert-Michael-Zehaf-Bibeau-shot-dead-solider-opened-fire-Canadian-Parliament.html</t>
  </si>
  <si>
    <t>Canada probes Michael Zehaf-Bibeau as possible suspect in Ottawa shooting - source</t>
  </si>
  <si>
    <t>844c8c90-5a45-11e4-aaf5-a1ddcfbcd5a9</t>
  </si>
  <si>
    <t>http://www.dailymail.co.uk/wires/reuters/article-2803944/Canada-probes-Michael-Zehaf-Bibeau-possible-suspect-Ottawa-shooting--source.html</t>
  </si>
  <si>
    <t>A Chinese man ended up with a tapeworm after eating Sashimi</t>
  </si>
  <si>
    <t>Sushi lover's entire body left riddled with WORMS after eating contaminated sashimi</t>
  </si>
  <si>
    <t>8228de80-c7fc-11e4-883c-a7fa7a3c5066</t>
  </si>
  <si>
    <t>6cd79030-c7fc-11e4-883c-a7fa7a3c5066</t>
  </si>
  <si>
    <t>http://www.dailymail.co.uk/health/article-2768117/Sushi-lover-s-entire-body-left-riddled-tapeworm-parasites-eating-contaminated-sashimi.html</t>
  </si>
  <si>
    <t>Saudi women with attractive eyes may be forced to cover even them up, if resolution is passed</t>
  </si>
  <si>
    <t>cb570230-6b45-11e4-b528-9d5aa2d2e8e7</t>
  </si>
  <si>
    <t>http://www.dailymail.co.uk/news/article-2063143/Saudi-women-attractive-eyes-forced-cover-resolution-passed.html</t>
  </si>
  <si>
    <t>Boyfriend cuts off his penis and throws it in the bin after girlfriend dumps him for being bad in bed</t>
  </si>
  <si>
    <t>95005fa0-5b92-11e4-a887-2324afc3f9a8</t>
  </si>
  <si>
    <t>http://www.dailymail.co.uk/news/article-2806653/Boyfriend-cuts-penis-throws-bin-girlfriend-dumps-bad-bed.html</t>
  </si>
  <si>
    <t>Married TV actor wakes up to find his testicles have been STOLEN after he is drugged in Russian bar by attractive blonde working for organ traffickers</t>
  </si>
  <si>
    <t>3a009810-bde7-11e4-bc4d-fff7a1fe3048</t>
  </si>
  <si>
    <t>http://www.dailymail.co.uk/news/article-2969992/Married-TV-actor-wakes-testicles-STOLEN-drugged-Russian-bar-attractive-blonde-working-organ-traffickers.html</t>
  </si>
  <si>
    <t>North Korea dictator Kim Jong-un set to open a new restaurant in SCOTLAND</t>
  </si>
  <si>
    <t>1f8871a0-9b42-11e4-bf59-1bb8b99952ce</t>
  </si>
  <si>
    <t>http://www.dailyrecord.co.uk/whats-on/food-drink-news/north-korea-dictator-kim-jong-un-4962910</t>
  </si>
  <si>
    <t>www.dailyrecord.co.uk</t>
  </si>
  <si>
    <t>Top cop investigating Charlie Hebdo attacks kills himself hours after French massacre</t>
  </si>
  <si>
    <t>16ac4fc0-9a75-11e4-bf59-1bb8b99952ce</t>
  </si>
  <si>
    <t>http://www.dailyrecord.co.uk/news/uk-world-news/top-cop-investigating-charlie-hebdo-4964541</t>
  </si>
  <si>
    <t>Saudi Airlines to ban gender-mixing seating</t>
  </si>
  <si>
    <t>779482e0-947a-11e4-b6bf-fdc8b7e3bcff</t>
  </si>
  <si>
    <t>http://www.dailysabah.com/mideast/2015/01/02/saudi-airlines-to-ban-gendermixing-seating</t>
  </si>
  <si>
    <t>www.dailysabah.com</t>
  </si>
  <si>
    <t>British Aid Worker Confirmed Murdered By ISIS</t>
  </si>
  <si>
    <t>bc1e5ac0-3cc4-11e4-bc0b-3f922b93930d</t>
  </si>
  <si>
    <t>http://www.dailysabah.com/mideast/2014/09/14/british-aid-worker-confirmed-murdered-by-isis</t>
  </si>
  <si>
    <t>ISIS KILLS 300 IRAQI SOLDIERS WITH CHLORINE GAS: SHIA MP</t>
  </si>
  <si>
    <t>98c633c0-4284-11e4-9e78-ff09d5b0049d</t>
  </si>
  <si>
    <t>http://www.dailysabah.com/world/2014/09/22/300-iraqi-soldiers-killed-allegedly-by-isis-in-chlorinegas-attacks</t>
  </si>
  <si>
    <t>Brit teenage jihadi killed in Syrian airstrike as Britain set to enter war</t>
  </si>
  <si>
    <t>ecacd430-4441-11e4-94c0-515d9d816ec6</t>
  </si>
  <si>
    <t>http://www.dailystar.co.uk/news/latest-news/401541/Brit-teenage-jihadi-killed-Syrian-airstrike-Britain-enter-war</t>
  </si>
  <si>
    <t>www.dailystar.co.uk</t>
  </si>
  <si>
    <t>Female teacher facing sack after making SEX TAPE with teenager</t>
  </si>
  <si>
    <t>b0b9a770-d6b1-11e4-956e-77ab1bea7698</t>
  </si>
  <si>
    <t>http://www.dailystar.co.uk/news/latest-news/408443/Lucita-Sandoval-sex-tape-teacher-pupil-Argentina</t>
  </si>
  <si>
    <t>Everyone chill Banksy has NOT been arrested</t>
  </si>
  <si>
    <t>672286b0-5888-11e4-aaf5-a1ddcfbcd5a9</t>
  </si>
  <si>
    <t>http://www.dailystar.co.uk/news/latest-news/405997/Banksy-arrested-hoax</t>
  </si>
  <si>
    <t>Man has his PENIS cut off by angry mob after attempted rape of teenager</t>
  </si>
  <si>
    <t>6e3ce810-a4c7-11e4-aa4f-ff16e52e0d56</t>
  </si>
  <si>
    <t>http://www.dailystar.co.uk/news/latest-news/404341/Man-penis-cut-off-mob</t>
  </si>
  <si>
    <t>Islamic State using SCORPION bombs to terrorise victims</t>
  </si>
  <si>
    <t>da783aa0-8539-11e4-b1b5-4f1bd36cbfc6</t>
  </si>
  <si>
    <t>http://www.dailystar.co.uk/news/latest-news/415658/ISIS-scorpion-bombs</t>
  </si>
  <si>
    <t>Fat dictator Kim Jong-un dying from cheese addiction</t>
  </si>
  <si>
    <t>e422cb90-4585-11e4-a79e-01321ca3a48d</t>
  </si>
  <si>
    <t>http://www.dailystar.co.uk/news/latest-news/400368/Tubby-tyrant-Kim-Jong-un-dying-from-cheese-addiction</t>
  </si>
  <si>
    <t>Missing Kim Jong-un suffering with condition after CHEESE binge</t>
  </si>
  <si>
    <t>eecc6c60-4650-11e4-a79e-01321ca3a48d</t>
  </si>
  <si>
    <t>http://www.dailystar.co.uk/news/latest-news/401894/Kim-Jong-un-North-Korea-leader-falls-ill-following-cheese-binge</t>
  </si>
  <si>
    <t>Kim Jong-un necks litres of rare SNAKE wine because he's too fat to please his wife</t>
  </si>
  <si>
    <t>7eb380f0-74c5-11e4-99be-fb3662a4a6dd</t>
  </si>
  <si>
    <t>http://www.dailystar.co.uk/news/latest-news/411816/kim-jong-un-necks-litres-rare-snake-wine-because-too-fat-please-wife</t>
  </si>
  <si>
    <t>Meet the X-BOY: Electric shock turns kid into MAGNETO</t>
  </si>
  <si>
    <t>ac4ed670-702b-11e4-8e10-b9c720c188ba</t>
  </si>
  <si>
    <t>http://www.dailystar.co.uk/news/weird-news/411117/Nikolai-Kryaglyachenko-magnetic-Megneto-electric-shock</t>
  </si>
  <si>
    <t>Police hunt tweed-jacket wearing man who slaps shoppers for SNEEZING</t>
  </si>
  <si>
    <t>7fd39960-d0fb-11e4-956e-77ab1bea7698</t>
  </si>
  <si>
    <t>http://www.dailystar.co.uk/news/latest-news/432037/Police-hunt-man-slapping-shoppers-sneezing</t>
  </si>
  <si>
    <t>KIM DINE WITH ME: Porky president Kim Jong-un to open UK restaurant serving DOG</t>
  </si>
  <si>
    <t>dd97a940-9b15-11e4-bf59-1bb8b99952ce</t>
  </si>
  <si>
    <t>http://www.dailystar.co.uk/news/weird-news/419578/Kim-Jong-un-opening-a-restaurant-in-Britain-serving-dog-meat-soup-pine-nut-gruel</t>
  </si>
  <si>
    <t>North Korea issued a directive that anyone with the name Kim Jong Un must change it</t>
  </si>
  <si>
    <t>Killing in the name of Kim Jong-un launches attack on others named Kim Jong-un</t>
  </si>
  <si>
    <t>540334b0-7b94-11e4-b794-93ed794d7b91</t>
  </si>
  <si>
    <t>408df960-7b94-11e4-b794-93ed794d7b91</t>
  </si>
  <si>
    <t>http://www.dailystar.co.uk/news/latest-news/413498/Kim-Jong-un-launches-attack-on-others-named-Kim-Jong-un</t>
  </si>
  <si>
    <t>Has North Korean dictator Kim Jong-un been replaced by his sister?</t>
  </si>
  <si>
    <t>79978700-4feb-11e4-b6a0-9705a8f94440</t>
  </si>
  <si>
    <t>http://www.dailystar.co.uk/news/latest-news/404226/Rumours-Kim-Jong-un-replaced-sister-military-coup</t>
  </si>
  <si>
    <t>GRAPHIC CONTENT: Girl sneers at man's tiny penis so he CHOPS IT OFF and bins it</t>
  </si>
  <si>
    <t>80449a90-5b92-11e4-a887-2324afc3f9a8</t>
  </si>
  <si>
    <t>http://www.dailystar.co.uk/news/latest-news/406519/Man-cuts-off-small-penis</t>
  </si>
  <si>
    <t>ISIS executioner Jihadi John named by media</t>
  </si>
  <si>
    <t>0df02980-bdb9-11e4-b073-ed15c88bfa1e</t>
  </si>
  <si>
    <t>http://www.dailystar.com.lb/News/Middle-East/2015/Feb-26/288865-bbc-names-the-jihadi-john-suspect-in-isis-beheading-videos-as-mohammed-emwazi-from-london.ashx</t>
  </si>
  <si>
    <t>www.dailystar.com.lb</t>
  </si>
  <si>
    <t>Disturbed aunt cuts off nephew's penis after he burst's in on her on the toilet.</t>
  </si>
  <si>
    <t>3054dc70-a4f8-11e4-aa4f-ff16e52e0d56</t>
  </si>
  <si>
    <t>http://www.dailytelegraph.com.au/news/world/disturbed-aunt-cuts-off-nephews-penis-after-he-bursts-in-on-her-on-the-toilet/story-fni0xs63-1227128166247?nk=84e58c4784cbe784c5503f0a0167c514</t>
  </si>
  <si>
    <t>www.dailytelegraph.com.au</t>
  </si>
  <si>
    <t>ISIS leader killed in US airstrikes</t>
  </si>
  <si>
    <t>c5b87430-36e8-11e4-ae63-d5574342724c</t>
  </si>
  <si>
    <t>http://www.dailytimes.com.pk/foreign/08-Sep-2014/isis-leader-killed-in-us-airstrikes</t>
  </si>
  <si>
    <t>www.dailytimes.com.pk</t>
  </si>
  <si>
    <t>At CBS Detroit, Fan Site Scuttlebutt Is Enough to Report False Batmobile Theft</t>
  </si>
  <si>
    <t>bde09f90-3ad4-11e4-bc0b-3f922b93930d</t>
  </si>
  <si>
    <t>http://www.deadlinedetroit.com/articles/10381/at_cbs_detroit_fan_site_scuttlebutt_is_enough_for_article_on_batmobile_rumor#.VBOBlS5dWLE</t>
  </si>
  <si>
    <t>www.deadlinedetroit.com</t>
  </si>
  <si>
    <t>NBC weatherman caught urinating in the woods live on air</t>
  </si>
  <si>
    <t>eec77c90-645b-11e4-b3d8-a32d8ec8ad5e</t>
  </si>
  <si>
    <t>http://www.deathandtaxesmag.com/230503/nbc-weatherman-caught-urinating-in-the-woods-live-on-air/</t>
  </si>
  <si>
    <t>www.deathandtaxesmag.com</t>
  </si>
  <si>
    <t>ISIS beheads American photo-journalist James Wright Foley, threatens more to come</t>
  </si>
  <si>
    <t>be2c1ab0-2800-11e4-a916-bf0b27b73ad5</t>
  </si>
  <si>
    <t>http://www.deathandtaxesmag.com/226730/isis-beheads-american-photo-journalist-james-wright-foley-threatens-more-to-come/</t>
  </si>
  <si>
    <t>Someone painted a graffiti dick on a 2.5 million car</t>
  </si>
  <si>
    <t>5ad25ae0-4ff3-11e4-b6a0-9705a8f94440</t>
  </si>
  <si>
    <t>http://www.deathandtaxesmag.com/229167/someone-painted-a-graffiti-dick-on-a-2-5-million-car/</t>
  </si>
  <si>
    <t>Student interviews his dad for vlog, fails spectacularly</t>
  </si>
  <si>
    <t>73825420-6e69-11e4-8e10-b9c720c188ba</t>
  </si>
  <si>
    <t>http://www.deathandtaxesmag.com/231218/student-interviews-his-dad-for-vlog-fails-spectacularly/</t>
  </si>
  <si>
    <t>Angry mob chops off man's genitals with butcher's knife for alleged rape attempt</t>
  </si>
  <si>
    <t>d86c4960-a4c7-11e4-aa4f-ff16e52e0d56</t>
  </si>
  <si>
    <t>http://www.deccanchronicle.com/141011/nation-crime/article/angry-mob-chops-mans-genitals-butcher%E2%80%99s-knife-alleged-rape-attempt</t>
  </si>
  <si>
    <t>www.deccanchronicle.com</t>
  </si>
  <si>
    <t>Watch: US marine survives Taliban sniper headshot in Afghanistan</t>
  </si>
  <si>
    <t>47e2e760-5543-11e4-b6a0-9705a8f94440</t>
  </si>
  <si>
    <t>http://www.deccanchronicle.com/141016/world-middle-east/article/watch-us-marine-survives-taliban-sniper-headshot-afghanistan</t>
  </si>
  <si>
    <t>Comcast Declares War on Tor?</t>
  </si>
  <si>
    <t>5fcf9580-3ce3-11e4-bc0b-3f922b93930d</t>
  </si>
  <si>
    <t>http://www.deepdotweb.com/2014/09/13/comcast-declares-war-tor/</t>
  </si>
  <si>
    <t>www.deepdotweb.com</t>
  </si>
  <si>
    <t>Rumor: Apple Watch Production Gearing Up For Valentine's Day Release With High Prices</t>
  </si>
  <si>
    <t>953ecd30-c1e5-11e4-8747-5b024dd6dd6c</t>
  </si>
  <si>
    <t>http://www.designntrend.com/articles/25128/20141113/rumor-apple-watch-production-gearing-up-valentines-day-release-high-prices.htm</t>
  </si>
  <si>
    <t>www.designntrend.com</t>
  </si>
  <si>
    <t>Op-Ed: Hoax Priest who never existed claims he died, saw female God</t>
  </si>
  <si>
    <t>8fbd8440-bb74-11e4-b073-ed15c88bfa1e</t>
  </si>
  <si>
    <t>http://www.digitaljournal.com/news/religion/op-ed-hoax-priest-who-never-existed-claims-he-died-saw-female-god/article/426745</t>
  </si>
  <si>
    <t>www.digitaljournal.com</t>
  </si>
  <si>
    <t>WHO investigates media reports ISIS fighters contracted Ebola</t>
  </si>
  <si>
    <t>eefa0b20-93b7-11e4-b6bf-fdc8b7e3bcff</t>
  </si>
  <si>
    <t>http://www.digitaljournal.com/news/world/have-isis-fighters-contracted-ebola-who-investigates/article/422504</t>
  </si>
  <si>
    <t>Met police denies reports of Banksy arrest</t>
  </si>
  <si>
    <t>cf0fd2f0-5856-11e4-aaf5-a1ddcfbcd5a9</t>
  </si>
  <si>
    <t>http://www.digitallook.com/news/general-news/banksy--610669.html</t>
  </si>
  <si>
    <t>www.digitallook.com</t>
  </si>
  <si>
    <t>Lenovo resumes efforts to acquire struggling phone maker BlackBerry</t>
  </si>
  <si>
    <t>86ccb310-5869-11e4-aaf5-a1ddcfbcd5a9</t>
  </si>
  <si>
    <t>http://www.digitalspy.ca/tech/news/a604654/lenovo-resumes-efforts-to-acquire-struggling-phone-maker-blackberry.html#~oTfa8xAD3jA1ym</t>
  </si>
  <si>
    <t>www.digitalspy.ca</t>
  </si>
  <si>
    <t>Apple Stores to install safes to secure gold Apple Watches</t>
  </si>
  <si>
    <t>aa0b3140-bfba-11e4-8747-5b024dd6dd6c</t>
  </si>
  <si>
    <t>http://www.digitaltrends.com/wearables/apple-stores-to-install-special-safes-to-secure-gold-apple-watches-overnight/</t>
  </si>
  <si>
    <t>www.digitaltrends.com</t>
  </si>
  <si>
    <t>The Apple Watch will include an AMOLED panel from LG Display</t>
  </si>
  <si>
    <t>Apple Watch to come with AMOLED panels from LG Display</t>
  </si>
  <si>
    <t>9f122ee0-c287-11e4-8747-5b024dd6dd6c</t>
  </si>
  <si>
    <t>94807ea0-c287-11e4-8747-5b024dd6dd6c</t>
  </si>
  <si>
    <t>http://www.digitimes.com/news/a20140917PD208.html</t>
  </si>
  <si>
    <t>www.digitimes.com</t>
  </si>
  <si>
    <t>Samsung reportedly grabs processor orders for Apple Watch</t>
  </si>
  <si>
    <t>d4eaa5c0-c35d-11e4-9435-a96703525a9e</t>
  </si>
  <si>
    <t>http://www.digitimes.com/news/a20150108PD203.html</t>
  </si>
  <si>
    <t>Joan Rivers doctor took selfie during procedure</t>
  </si>
  <si>
    <t>d1abb820-3f6b-11e4-bc0b-3f922b93930d</t>
  </si>
  <si>
    <t>http://www.dispatch.com/content/stories/life_and_entertainment/2014/09/18/joan_rivers_doctor_selfie.html</t>
  </si>
  <si>
    <t>www.dispatch.com</t>
  </si>
  <si>
    <t>Snake wine to the rescue of Kim Jong-un's love life</t>
  </si>
  <si>
    <t>1930c250-74c6-11e4-99be-fb3662a4a6dd</t>
  </si>
  <si>
    <t>http://www.dnaindia.com/world/report-snake-wine-to-the-rescue-of-kim-jong-un-s-love-life-2037965</t>
  </si>
  <si>
    <t>www.dnaindia.com</t>
  </si>
  <si>
    <t>North Korean leader Kim Jong-un to open restaurant in Scotland</t>
  </si>
  <si>
    <t>cda6aeb0-9b41-11e4-bf59-1bb8b99952ce</t>
  </si>
  <si>
    <t>http://www.dnaindia.com/world/report-north-korean-leader-kim-jong-un-to-open-restaurant-in-scotland-2051817</t>
  </si>
  <si>
    <t>Popular Christmas toy Elf On The Shelf is an espionage project run by the National Security Agency</t>
  </si>
  <si>
    <t>SNOWDEN: Elf On A Shelf Actually Hugely Successful NSA Project Read more: http:www.duffelblog.com201412elf-on-a-shelf-snowdenixzz3MAOziZJf</t>
  </si>
  <si>
    <t>bb0267a0-85fb-11e4-b1b5-4f1bd36cbfc6</t>
  </si>
  <si>
    <t>c37d8960-85fa-11e4-b1b5-4f1bd36cbfc6</t>
  </si>
  <si>
    <t>http://www.duffelblog.com/2014/12/elf-on-a-shelf-snowden/</t>
  </si>
  <si>
    <t>www.duffelblog.com</t>
  </si>
  <si>
    <t>Boko Haram agrees to ceasefire, release of school girls</t>
  </si>
  <si>
    <t>1d5e9cc0-5636-11e4-aaf5-a1ddcfbcd5a9</t>
  </si>
  <si>
    <t>http://www.dw.de/boko-haram-agrees-to-ceasefire-release-of-school-girls/a-18002227</t>
  </si>
  <si>
    <t>www.dw.de</t>
  </si>
  <si>
    <t>Boko Haram ceasefire ignored as violence flares in Borno state</t>
  </si>
  <si>
    <t>ca053870-596b-11e4-aaf5-a1ddcfbcd5a9</t>
  </si>
  <si>
    <t>http://www.dw.de/boko-haram-ceasefire-ignored-as-violence-flares-in-borno-state/a-18009000</t>
  </si>
  <si>
    <t>Boko Haram claims to have German hostage, denies ceasefire</t>
  </si>
  <si>
    <t>00a3b170-6224-11e4-b3d8-a32d8ec8ad5e</t>
  </si>
  <si>
    <t>http://www.dw.de/boko-haram-claims-to-have-german-hostage-denies-ceasefire/a-18033753</t>
  </si>
  <si>
    <t>Parliament Hill shooting: Sergeant-At-Arms Kevin Vickers the family hero who took down Ottawa gunman</t>
  </si>
  <si>
    <t>47346e00-5a1c-11e4-aaf5-a1ddcfbcd5a9</t>
  </si>
  <si>
    <t>http://www.edmontonsun.com/2014/10/22/parliament-hill-shooting-sergeant-at-arms-kevin-vickers-the-family-hero-who-took-down-ottawa-gunman</t>
  </si>
  <si>
    <t>www.edmontonsun.com</t>
  </si>
  <si>
    <t>Photo gallery: Amazing 300 operation by North Walsham vet on constipated goldfish</t>
  </si>
  <si>
    <t>2618bf90-92cb-11e4-b271-b1de57982894</t>
  </si>
  <si>
    <t>http://www.edp24.co.uk/news/photo_gallery_amazing_300_operation_by_north_walsham_vet_on_constipated_goldfish_1_3902958</t>
  </si>
  <si>
    <t>www.edp24.co.uk</t>
  </si>
  <si>
    <t>Sisi denies claims over providing Palestinians with Sinai lands</t>
  </si>
  <si>
    <t>b16408d0-391f-11e4-ae63-d5574342724c</t>
  </si>
  <si>
    <t>http://www.egyptindependent.com/news/sisi-denies-claims-over-providing-palestinians-sinai-lands</t>
  </si>
  <si>
    <t>www.egyptindependent.com</t>
  </si>
  <si>
    <t>At Elon, first-year has not replaced freshman, university says</t>
  </si>
  <si>
    <t>de2a22f0-730d-11e4-99be-fb3662a4a6dd</t>
  </si>
  <si>
    <t>http://www.elonpendulum.com/2014/11/elon-first-year-not-replaced-freshman-university-says/</t>
  </si>
  <si>
    <t>www.elonpendulum.com</t>
  </si>
  <si>
    <t>Google translate AED site: Family Flyer Maryam Mansouri emphasizes fabricating a statement repudiating them</t>
  </si>
  <si>
    <t>0172a070-4668-11e4-a79e-01321ca3a48d</t>
  </si>
  <si>
    <t>http://www.elwatannews.com/news/details/566213</t>
  </si>
  <si>
    <t>www.elwatannews.com</t>
  </si>
  <si>
    <t>Saudi airline, Saudia, to ban gender-mixing</t>
  </si>
  <si>
    <t>282f1fb0-947c-11e4-b6bf-fdc8b7e3bcff</t>
  </si>
  <si>
    <t>http://www.emirates247.com/news/region/saudi-airline-saudia-to-ban-gender-mixing-2014-12-31-1.575074</t>
  </si>
  <si>
    <t>www.emirates247.com</t>
  </si>
  <si>
    <t>Amazon's first brick-and-mortar store said to open in Manhattan</t>
  </si>
  <si>
    <t>69dec960-4fe9-11e4-b6a0-9705a8f94440</t>
  </si>
  <si>
    <t>http://www.engadget.com/2014/10/09/amazon-store-manhattan/</t>
  </si>
  <si>
    <t>www.engadget.com</t>
  </si>
  <si>
    <t>The Apple Watch has a low-power mode that only tells the time</t>
  </si>
  <si>
    <t>04636930-c1b6-11e4-8747-5b024dd6dd6c</t>
  </si>
  <si>
    <t>http://www.engadget.com/2015/03/01/apple-watch-power-reserve/</t>
  </si>
  <si>
    <t>Apple cut watch health features due to erratic sensors</t>
  </si>
  <si>
    <t>a5b0c670-c29c-11e4-8747-5b024dd6dd6c</t>
  </si>
  <si>
    <t>http://www.engadget.com/2015/02/17/apple-watch-health-features-cut/</t>
  </si>
  <si>
    <t>HP officially splitting into two companies update</t>
  </si>
  <si>
    <t>72809d50-4cc4-11e4-949b-f14041b20838</t>
  </si>
  <si>
    <t>http://www.engadget.com/2014/10/05/hp-reportedly-splitting-up/</t>
  </si>
  <si>
    <t>Microsoft is reportedly buying Minecraft developer Mojang for 2 billion</t>
  </si>
  <si>
    <t>8c3fbb30-387a-11e4-ae63-d5574342724c</t>
  </si>
  <si>
    <t>http://www.engadget.com/2014/09/09/microsoft-buying-mojang-minecraft/</t>
  </si>
  <si>
    <t>Amazon reportedly launching free, ad-supported video service updated</t>
  </si>
  <si>
    <t>cea888a0-7310-11e4-99be-fb3662a4a6dd</t>
  </si>
  <si>
    <t>http://www.engadget.com/2014/11/21/amazon-ad-supported-streaming-rumor/</t>
  </si>
  <si>
    <t>bd814590-c29c-11e4-8747-5b024dd6dd6c</t>
  </si>
  <si>
    <t>Comcast Got Me Fired A Man Says After He Complained About The Cable Company's Service, They Called His Boss</t>
  </si>
  <si>
    <t>adaf89f0-4ee4-11e4-949b-f14041b20838</t>
  </si>
  <si>
    <t>http://www.epictimes.com/2014/10/comcast-got-me-fired-a-man-says-after-he-complained-about-the-cable-companys-service-they-called-his-boss/</t>
  </si>
  <si>
    <t>www.epictimes.com</t>
  </si>
  <si>
    <t>WATCH: Stan Beaton cries tears of joy when phone engineers find treasured voicemail recording of his late wife he thought was lost forever</t>
  </si>
  <si>
    <t>f4817d20-a8a3-11e4-a133-7514623ae047</t>
  </si>
  <si>
    <t>http://www.examiner.co.uk/news/west-yorkshire-news/watch-stan-beaton-cried-tears-8532023</t>
  </si>
  <si>
    <t>www.examiner.co.uk</t>
  </si>
  <si>
    <t>20 year old burger? McDonald's burger purchased in 1995 hasn't aged a bit</t>
  </si>
  <si>
    <t>08c84b70-b6a9-11e4-8507-b58af63d1078</t>
  </si>
  <si>
    <t>http://www.examiner.com/article/20-year-old-burger-mcdonald-s-burger-purchased-1995-hasn-t-aged-a-bit</t>
  </si>
  <si>
    <t>www.examiner.com</t>
  </si>
  <si>
    <t>20-year-old burger: McDonald's Quarter Pounder looks eerily new after 2 decades</t>
  </si>
  <si>
    <t>ef4142b0-b6a8-11e4-8507-b58af63d1078</t>
  </si>
  <si>
    <t>http://www.examiner.com/article/20-year-old-burger-mcdonald-s-quarter-pounder-looks-eerily-new-after-2-decades</t>
  </si>
  <si>
    <t>Abdel-Majed Abdel Bary in Foley beheading: London rapper songs help identify him</t>
  </si>
  <si>
    <t>2618ad40-2bf9-11e4-89c5-1d389b94bc4b</t>
  </si>
  <si>
    <t>http://www.examiner.com/article/abdel-majed-abdel-bary-foley-beheading-london-rapper-songs-help-identify-him?cid=rss</t>
  </si>
  <si>
    <t>Saudi Arabia airline segregation: Saudi airlines to assign seats based on gender</t>
  </si>
  <si>
    <t>fc7546b0-947b-11e4-b6bf-fdc8b7e3bcff</t>
  </si>
  <si>
    <t>http://www.examiner.com/article/saudi-arabia-airline-segregation-saudi-airlines-to-assign-seats-based-on-gender</t>
  </si>
  <si>
    <t>Macaulay Culkin dead: The death hoax is once again on the child actor</t>
  </si>
  <si>
    <t>61299700-67b3-11e4-b528-9d5aa2d2e8e7</t>
  </si>
  <si>
    <t>http://www.examiner.com/article/macaulay-culkin-dead-the-death-hoax-is-once-again-on-the-child-actor</t>
  </si>
  <si>
    <t>Iga Jasica brain surgery: Teen wakes up mid-procedure on table, chats about cat</t>
  </si>
  <si>
    <t>c8d0cf60-93bc-11e4-b6bf-fdc8b7e3bcff</t>
  </si>
  <si>
    <t>http://www.examiner.com/article/iga-jasica-brain-surgery-chat-teen-wakes-talking-mid-surgery-with-brain-exposed</t>
  </si>
  <si>
    <t>School children in Johannesburg imitate dog fighting during recess</t>
  </si>
  <si>
    <t>e25278d0-a1d1-11e4-a353-5b831fe927be</t>
  </si>
  <si>
    <t>http://www.examiner.com/article/school-children-johannesburg-imitate-dog-fighting-during-recess</t>
  </si>
  <si>
    <t>Allegation Bill Cosby sexually molested Raven Symone are just a hoax</t>
  </si>
  <si>
    <t>a9d58090-7000-11e4-8e10-b9c720c188ba</t>
  </si>
  <si>
    <t>http://www.examiner.com/article/allegation-bill-cosby-sexually-molested-raven-symone-are-just-a-hoax</t>
  </si>
  <si>
    <t>Jihadist Brit teen killed in US air strikes</t>
  </si>
  <si>
    <t>fdf4d7a0-4433-11e4-94c0-515d9d816ec6</t>
  </si>
  <si>
    <t>http://www.express.co.uk/news/world/514889/Jihadist-Brit-teen-killed-US-air-strikes</t>
  </si>
  <si>
    <t>www.express.co.uk</t>
  </si>
  <si>
    <t>Man saved from bear attack - thanks to his Justin Bieber ringtone</t>
  </si>
  <si>
    <t>ec7485c0-1ce7-11e4-8c09-cd48fe37674e</t>
  </si>
  <si>
    <t>http://www.express.co.uk/news/uk/495861/Man-saved-from-bear-thanks-to-Justin-Bieber</t>
  </si>
  <si>
    <t>Is this Crabzilla? Giant crab measuring 50ft spotted off British coast</t>
  </si>
  <si>
    <t>b7e444a0-555c-11e4-aaf5-a1ddcfbcd5a9</t>
  </si>
  <si>
    <t>http://www.express.co.uk/news/weird/521553/Giant-crab-spotted-off-British-coast</t>
  </si>
  <si>
    <t>Hunt for cruel owner who abandoned dog at train station</t>
  </si>
  <si>
    <t>1dcfff80-969d-11e4-87a8-1d5d45e62193</t>
  </si>
  <si>
    <t>http://www.express.co.uk/news/uk/550515/Dog-abandoned-with-suitcase-at-Ayr-station</t>
  </si>
  <si>
    <t>Hopeless romantic BURNS DOWN college sports hall after fireworks proposal stunt fails</t>
  </si>
  <si>
    <t>c1ee7c70-9ffa-11e4-a353-5b831fe927be</t>
  </si>
  <si>
    <t>http://www.express.co.uk/news/world/528566/proposal-fire-fireworks-college</t>
  </si>
  <si>
    <t>Sex attacker has penis cut off with a cleaver in India</t>
  </si>
  <si>
    <t>b59052f0-a4c3-11e4-aa4f-ff16e52e0d56</t>
  </si>
  <si>
    <t>http://www.express.co.uk/news/world/520992/Penis-cut-off-meat-cleaver-India</t>
  </si>
  <si>
    <t>Islamic State is funding its terror operations by brutally harvesting organs, UN is warned</t>
  </si>
  <si>
    <t>bbfcb6d0-b777-11e4-8507-b58af63d1078</t>
  </si>
  <si>
    <t>http://www.express.co.uk/news/world/558869/Islamic-State-Organ-Harvest-Un-Security-Council-Iraq-Mosul</t>
  </si>
  <si>
    <t>PM vows to redouble efforts against Islamic extremism after barbaric IS murder</t>
  </si>
  <si>
    <t>fd68f530-2801-11e4-a916-bf0b27b73ad5</t>
  </si>
  <si>
    <t>http://www.express.co.uk/news/world/501318/Missing-journalist-James-Wright-Foley-reportedly-beheaded-by-Isis</t>
  </si>
  <si>
    <t>There is no limit to their depravity Islamic State FEED mother her own SON</t>
  </si>
  <si>
    <t>59c0e8d0-c11b-11e4-8747-5b024dd6dd6c</t>
  </si>
  <si>
    <t>http://www.express.co.uk/news/world/561385/Islamic-State-Mother-Feed-Corpse-Body-Cooked-Son-ISIS-Kurdish-Fighter</t>
  </si>
  <si>
    <t>Islamic State fighters detonate SCORPION bombs in terror siege</t>
  </si>
  <si>
    <t>f77bb980-85f5-11e4-b1b5-4f1bd36cbfc6</t>
  </si>
  <si>
    <t>http://www.express.co.uk/news/world/547326/Islamic-State-Terrorist-Use-SCORPION-Bombs-Terror-Siege</t>
  </si>
  <si>
    <t>Islamic State trying to SELL decapitated body of US hostage James Foley for 1 MILLION</t>
  </si>
  <si>
    <t>f0258560-8138-11e4-8faa-9748b2fc07a1</t>
  </si>
  <si>
    <t>http://www.express.co.uk/news/world/546278/Islamic-State-James-Foley-Body-Sale-Sell-Million-Hostage-Decapitated-Britain-US</t>
  </si>
  <si>
    <t>Jihadi John UNMASKED: Islamic State killer NAMED as west London graduate Mohammed Emwazi</t>
  </si>
  <si>
    <t>02865b00-bdb4-11e4-b073-ed15c88bfa1e</t>
  </si>
  <si>
    <t>http://www.express.co.uk/news/world/560572/Jihadi-John-named-Mohammed-Emwazi-Isis-militant-west-London-man</t>
  </si>
  <si>
    <t>Mum faces real-life Sophie's Choice as she tries to sell her son to fund daughter's care</t>
  </si>
  <si>
    <t>af013890-96b4-11e4-87a8-1d5d45e62193</t>
  </si>
  <si>
    <t>http://www.express.co.uk/news/world/550517/Mum-Sophies-Choice-Tries-To-Sell-Fund-Daughters-Medical-Bills</t>
  </si>
  <si>
    <t>Gunman shot dead after killing soldier near Canadian parliament</t>
  </si>
  <si>
    <t>c1c915e0-59f8-11e4-aaf5-a1ddcfbcd5a9</t>
  </si>
  <si>
    <t>http://www.express.co.uk/news/world/526091/Ottawa-shooting-Canada-parliament-National-War-Memorial?utm_source=feedburner&amp;utm_medium=feed&amp;utm_campaign=Feed%3A+daily-express-news-showbiz+%28Daily+Express+%3A%3A+News+%2F+Showbiz+Feed%29</t>
  </si>
  <si>
    <t>Boy, 5, billed with no show fee for missing friend's BIRTHDAY PARTY</t>
  </si>
  <si>
    <t>37e27670-a000-11e4-a353-5b831fe927be</t>
  </si>
  <si>
    <t>http://www.express.co.uk/news/uk/552837/Boy-fined-not-showing-up-birthday-party</t>
  </si>
  <si>
    <t>British-born journalist and South African aid worker KILLED in hostage rescue attempt</t>
  </si>
  <si>
    <t>51c9a500-7d2c-11e4-8faa-9748b2fc07a1</t>
  </si>
  <si>
    <t>http://www.express.co.uk/news/world/544289/Sister-claims-British-born-hostage-killed-in-failed-rescue-attempt</t>
  </si>
  <si>
    <t>Fears Islamic State could launch EBOLA attack on Britain after fighters contract virus</t>
  </si>
  <si>
    <t>6ae84f60-936f-11e4-b6bf-fdc8b7e3bcff</t>
  </si>
  <si>
    <t>http://www.express.co.uk/news/world/549845/Fears-Islamic-State-Ebola-attack-Britain-fighters-contract-virus</t>
  </si>
  <si>
    <t>A message from Jim's mom, Diane Foley:</t>
  </si>
  <si>
    <t>b3e2f570-285e-11e4-a916-bf0b27b73ad5</t>
  </si>
  <si>
    <t>https://www.facebook.com/FBNewswire/posts/760362977335159</t>
  </si>
  <si>
    <t>www.facebook.com</t>
  </si>
  <si>
    <t>Macaulay Culkin Dead: Actor Once Again Victim Of Death Hoax</t>
  </si>
  <si>
    <t>42548600-67b3-11e4-b528-9d5aa2d2e8e7</t>
  </si>
  <si>
    <t>http://www.fashionnstyle.com/articles/30375/20141108/macaulay-culkin-dead-actor-once-again-victim-of-death-hoax.htm</t>
  </si>
  <si>
    <t>www.fashionnstyle.com</t>
  </si>
  <si>
    <t>Apple Stores Are Reportedly Installing Custom Safes To House Apple Watches</t>
  </si>
  <si>
    <t>31bf4220-c416-11e4-88c9-eb158a06b9a5</t>
  </si>
  <si>
    <t>http://www.fastcompany.com/3041858/fast-feed/apple-stores-are-reportedly-installing-custom-safes-to-house-apple-watches</t>
  </si>
  <si>
    <t>www.fastcompany.com</t>
  </si>
  <si>
    <t>Video Messaging App Says Audio Recording Of Michael Brown's Shooting Is Authentic</t>
  </si>
  <si>
    <t>d6a321f0-36c5-11e4-ae63-d5574342724c</t>
  </si>
  <si>
    <t>http://www.fastcompany.com/3035021/fast-feed/video-messaging-app-says-audio-recording-of-michael-browns-shooting-is-authentic</t>
  </si>
  <si>
    <t>HBO Reportedly in Talks with Apple for Launch of New Unbundled Streaming Service</t>
  </si>
  <si>
    <t>62d48020-c432-11e4-883c-a7fa7a3c5066</t>
  </si>
  <si>
    <t>http://www.fastcompany.com/3043215/hbo-reportedly-in-talks-with-apple-for-launch-of-new-unbundled-streaming-service</t>
  </si>
  <si>
    <t>Pizza delivery man gets tipped more than 2,000 for a single delivery</t>
  </si>
  <si>
    <t>e54cfc80-a1c3-11e4-a353-5b831fe927be</t>
  </si>
  <si>
    <t>http://www.firstpost.com/business/pizza-delivery-man-gets-tipped-2000-single-delivery-2054989.html</t>
  </si>
  <si>
    <t>www.firstpost.com</t>
  </si>
  <si>
    <t>Apple's New MacBook Will Be A Thinner, Cleaner, Faster 12-Inch MacBook Air</t>
  </si>
  <si>
    <t>53950160-96a2-11e4-87a8-1d5d45e62193</t>
  </si>
  <si>
    <t>http://www.forbes.com/sites/ewanspence/2015/01/06/macbook-air-12-inch-specs/</t>
  </si>
  <si>
    <t>www.forbes.com</t>
  </si>
  <si>
    <t>Apple Watch Edition Will Save On Gold With Patented Alloy, Could Start At 2,999</t>
  </si>
  <si>
    <t>881231f0-c673-11e4-883c-a7fa7a3c5066</t>
  </si>
  <si>
    <t>http://www.forbes.com/sites/anthonykosner/2015/03/08/apple-watch-edition-will-not-be-worth-its-weight-in-gold-but-could-start-at-2999/</t>
  </si>
  <si>
    <t>Robert Plant Reportedly Tears Up 800 Million Led Zeppelin Reunion Contract</t>
  </si>
  <si>
    <t>119f4c90-68fb-11e4-b528-9d5aa2d2e8e7</t>
  </si>
  <si>
    <t>http://www.forbes.com/sites/hughmcintyre/2014/11/10/robert-plant-reportedly-tears-up-800-million-led-zeppelin-reunion-contract/</t>
  </si>
  <si>
    <t>Heads up oil traders: Big pipeline explosion reported in Saudi Arabia</t>
  </si>
  <si>
    <t>a9ccd4e0-6506-11e4-b3d8-a32d8ec8ad5e</t>
  </si>
  <si>
    <t>http://www.forexlive.com/blog/2014/11/05/heads-up-oil-traders-big-pipeline-explosion-reported-in-saudi-arabia/?utm_medium=twitter&amp;utm_source=twitterfeed</t>
  </si>
  <si>
    <t>www.forexlive.com</t>
  </si>
  <si>
    <t>Saudi oil explosion now said to be diesel pipeline</t>
  </si>
  <si>
    <t>67afdd80-6508-11e4-b3d8-a32d8ec8ad5e</t>
  </si>
  <si>
    <t>http://www.forexlive.com/blog/2014/11/05/saudi-oil-explosion-now-said-to-be-diesel-pipeline/</t>
  </si>
  <si>
    <t>US, UK eye rapper as British-born militant who beheaded journalist James Foley</t>
  </si>
  <si>
    <t>03519800-2bed-11e4-89c5-1d389b94bc4b</t>
  </si>
  <si>
    <t>http://www.foxnews.com/world/2014/08/24/us-uk-reportedly-getting-closer-to-identifying-journalist-killer-as-british/</t>
  </si>
  <si>
    <t>www.foxnews.com</t>
  </si>
  <si>
    <t>Sugarhill Gang co-founder Big Bank Hank dies</t>
  </si>
  <si>
    <t>871e9640-69c5-11e4-b528-9d5aa2d2e8e7</t>
  </si>
  <si>
    <t>http://www.foxnews.com/entertainment/2014/11/11/sugarhill-gang-founder-big-bank-hank-dies/</t>
  </si>
  <si>
    <t>NBC's Tom Brokaw reportedly wants Brian Williams fired over fabricated Iraq helicopter story</t>
  </si>
  <si>
    <t>7868d540-ae15-11e4-9a23-0b6010caa867</t>
  </si>
  <si>
    <t>http://www.foxnews.com/entertainment/2015/02/06/nbc-tom-brokaw-reportedly-wants-brian-williams-fired-over-fabricated-iraq/</t>
  </si>
  <si>
    <t>US probing claims ISIS fighters seized airdropped weapons meant for Kurds</t>
  </si>
  <si>
    <t>167c6ea0-5965-11e4-aaf5-a1ddcfbcd5a9</t>
  </si>
  <si>
    <t>http://www.foxnews.com/politics/2014/10/21/us-probing-claims-isis-fighters-seized-airdropped-weapons-meant-for-kurds/</t>
  </si>
  <si>
    <t>ISIS Video Claims to Show Beheading of British Hostage</t>
  </si>
  <si>
    <t>c48697f0-3c9b-11e4-bc0b-3f922b93930d</t>
  </si>
  <si>
    <t>http://www.foxnews.com/world/2014/09/14/isis-video-claims-to-show-beheading-british-hostage-david-haines/</t>
  </si>
  <si>
    <t>Congressman: At least 10 ISIS fighters caught trying to cross into US</t>
  </si>
  <si>
    <t>17df79e0-4fc9-11e4-b6a0-9705a8f94440</t>
  </si>
  <si>
    <t>http://www.foxnews.com/politics/2014/10/08/congressman-at-least-10-isis-fighters-caught-trying-to-cross-into-us/</t>
  </si>
  <si>
    <t>ISIS might be harvesting organs, Iraq tells UN</t>
  </si>
  <si>
    <t>6458a600-b777-11e4-8507-b58af63d1078</t>
  </si>
  <si>
    <t>http://www.foxnews.com/world/2015/02/18/isis-might-be-harvesting-organs-iraq-tells-un/</t>
  </si>
  <si>
    <t>ISIS might be harvesting organs, Iraqi ambassador tells UN, amid reports of more hostages being burned alive</t>
  </si>
  <si>
    <t>20daa9f0-b777-11e4-8507-b58af63d1078</t>
  </si>
  <si>
    <t>http://www.foxnews.com/world/2015/02/18/isis-reportedly-burns-alive-45-people-in-western-iraqi-town/</t>
  </si>
  <si>
    <t>Identity of ISIS terrorist known as Jihadi John reportedly revealed</t>
  </si>
  <si>
    <t>0ca35070-bdb4-11e4-b073-ed15c88bfa1e</t>
  </si>
  <si>
    <t>http://www.foxnews.com/world/2015/02/26/identity-isis-terrorist-known-as-jihadi-john-reportedly-revealed/</t>
  </si>
  <si>
    <t>Report claims Kim Jong-un underwent surgery to repair fractured ankles</t>
  </si>
  <si>
    <t>eef36870-48d9-11e4-9960-a165dd517bbb</t>
  </si>
  <si>
    <t>http://www.foxnews.com/world/2014/09/30/report-claims-kim-jong-un-underwent-surgery-to-repair-fractured-ankles/</t>
  </si>
  <si>
    <t>Former Cosby Show actor Lisa Bonet tweeted about the accusations against Bill Cosby</t>
  </si>
  <si>
    <t>Twitter messages attributed to Lisa Bonet was hoax, manager says</t>
  </si>
  <si>
    <t>5224b0c0-737d-11e4-99be-fb3662a4a6dd</t>
  </si>
  <si>
    <t>67a716a0-737c-11e4-99be-fb3662a4a6dd</t>
  </si>
  <si>
    <t>http://www.foxnews.com/entertainment/2014/11/23/lisa-bonet-cryptic-tweets-may-hint-at-bill-cosby-scandal/</t>
  </si>
  <si>
    <t>Missing Afghan soldiers found at Canadian border near Niagara Falls</t>
  </si>
  <si>
    <t>9e00b0d0-4280-11e4-9e78-ff09d5b0049d</t>
  </si>
  <si>
    <t>http://www.foxnews.com/us/2014/09/22/three-afghan-soldiers-reported-missing-from-cape-cod-base/</t>
  </si>
  <si>
    <t>White House confirms authenticity of ISIS video showing beheading of reporter</t>
  </si>
  <si>
    <t>de6c3c70-32cc-11e4-8453-710264d9a1f8</t>
  </si>
  <si>
    <t>http://www.foxnews.com/world/2014/09/02/video-reportedly-shows-beheading-reporter-steven-sotloff-by-isis/</t>
  </si>
  <si>
    <t>Official: Gitmo prisoner traded for Bergdahl reaching out to Taliban</t>
  </si>
  <si>
    <t>4e7e2b50-a8a1-11e4-a133-7514623ae047</t>
  </si>
  <si>
    <t>http://www.foxnews.com/politics/2015/01/29/official-gitmo-prisoner-traded-for-bergdahl-reaching-out-to-taliban/</t>
  </si>
  <si>
    <t>North Korea reportedly bans anyone sharing Kim Jong Un's name</t>
  </si>
  <si>
    <t>5eaa68c0-7b94-11e4-b794-93ed794d7b91</t>
  </si>
  <si>
    <t>http://www.foxnews.com/world/2014/12/03/north-korea-reportedly-bans-anyone-sharing-kim-jong-un-name/?intcmp=latestnews</t>
  </si>
  <si>
    <t>Woman claims she had third breast added, hopes to become a TV star</t>
  </si>
  <si>
    <t>11997bc0-4291-11e4-9e78-ff09d5b0049d</t>
  </si>
  <si>
    <t>http://www.foxnews.com/entertainment/2014/09/22/woman-has-surgery-to-get-third-breast-hopes-to-become-tv-star/</t>
  </si>
  <si>
    <t>Woman who claimed to have third breast added is fake</t>
  </si>
  <si>
    <t>fdc55230-6bfe-11e4-b528-9d5aa2d2e8e7</t>
  </si>
  <si>
    <t>http://www.foxnews.com/entertainment/2014/09/23/report-woman-who-claimed-to-have-third-breast-added-is-fake/</t>
  </si>
  <si>
    <t>Vogue's new digs are reportedly swarming with rats</t>
  </si>
  <si>
    <t>c9977870-7307-11e4-99be-fb3662a4a6dd</t>
  </si>
  <si>
    <t>http://www.foxnews.com/entertainment/2014/11/22/vogue-new-digs-are-reportedely-swarming-with-rats/</t>
  </si>
  <si>
    <t>Dumped woman spends a week in KFC to get over ex</t>
  </si>
  <si>
    <t>79234d60-9ff8-11e4-a353-5b831fe927be</t>
  </si>
  <si>
    <t>http://www.foxnews.com/leisure/2014/10/22/dumped-woman-spends-week-in-kfc-to-get-over-ex/</t>
  </si>
  <si>
    <t>19-year-old girl wakes up during brain surgery, asks doctors How's it going?</t>
  </si>
  <si>
    <t>f014c5c0-93be-11e4-b6bf-fdc8b7e3bcff</t>
  </si>
  <si>
    <t>http://www.foxnews.com/health/2015/01/02/1-year-old-girl-wakes-up-during-brain-surgery-asks-doctors-hows-it-going/</t>
  </si>
  <si>
    <t>Missing Libyan jetliners raise fears of suicide airliner attacks on 911</t>
  </si>
  <si>
    <t>394716f0-33cd-11e4-8453-710264d9a1f8</t>
  </si>
  <si>
    <t>http://www.foxnews.com/politics/2014/09/02/report-missing-libyan-jetliners-raise-fears-suicide-airliner-attacks-on-11/</t>
  </si>
  <si>
    <t>Gender assignment surgery to be given to hermaphrodite cat</t>
  </si>
  <si>
    <t>81345100-a43c-11e4-aa4f-ff16e52e0d56</t>
  </si>
  <si>
    <t>http://www.foxnews.com/science/2015/01/22/gender-assignment-surgery-to-be-given-to-hermaphrodite-cat/?utm_medium=twitter&amp;utm_source=twitterfeed</t>
  </si>
  <si>
    <t>Saudi Women May Have to Cover Up Sexy Eyes</t>
  </si>
  <si>
    <t>cee55910-6b45-11e4-b528-9d5aa2d2e8e7</t>
  </si>
  <si>
    <t>http://www.foxnews.com/world/2011/11/17/saudi-women-may-have-to-cover-up-sexy-eyes/</t>
  </si>
  <si>
    <t>NHL expansion ahead? No, says Gary Bettman</t>
  </si>
  <si>
    <t>639411d0-54f0-11e4-b6a0-9705a8f94440</t>
  </si>
  <si>
    <t>http://www.foxsports.com/nhl/story/nhl-expansion-plans-none-gary-bettman-commissioner-says-100714</t>
  </si>
  <si>
    <t>www.foxsports.com</t>
  </si>
  <si>
    <t>Cameron vows to hunt down IS monsters after Haines murder</t>
  </si>
  <si>
    <t>f0acaad0-3c9c-11e4-bc0b-3f922b93930d</t>
  </si>
  <si>
    <t>http://www.france24.com/en/20140914-uk-cameron-aid-worker-killers-not-muslims-but-monsters-islamic-state-david-haines/</t>
  </si>
  <si>
    <t>www.france24.com</t>
  </si>
  <si>
    <t>Batmobile stolen in Detroit? Good one, joker</t>
  </si>
  <si>
    <t>7dc15a10-3b30-11e4-bc0b-3f922b93930d</t>
  </si>
  <si>
    <t>http://www.freep.com/article/20140912/ENT01/309120213/Batmobile-stolen-Detroit-rumors-Superman</t>
  </si>
  <si>
    <t>www.freep.com</t>
  </si>
  <si>
    <t>Bettman says NHL expansion not imminent</t>
  </si>
  <si>
    <t>e3dc2590-54ef-11e4-b6a0-9705a8f94440</t>
  </si>
  <si>
    <t>http://www.freep.com/story/sports/nhl/red-wings/2014/09/24/nhl-expansion-rumors/16147119/</t>
  </si>
  <si>
    <t>Ann Arbor pizza delivery driver surprised with 2,000 tip</t>
  </si>
  <si>
    <t>d8cee590-a1c3-11e4-a353-5b831fe927be</t>
  </si>
  <si>
    <t>http://www.freep.com/story/news/local/michigan/2015/01/16/pizza-driver-tip-ann-arbor/21894497/</t>
  </si>
  <si>
    <t>Michelle Obama's face blurred by Saudi state television</t>
  </si>
  <si>
    <t>f97da420-a69b-11e4-aa4f-ff16e52e0d56</t>
  </si>
  <si>
    <t>http://www.freerepublic.com/focus/f-news/3251288/posts</t>
  </si>
  <si>
    <t>www.freerepublic.com</t>
  </si>
  <si>
    <t>Isis claims US hostage Kayla Mueller killed in coalition airstrike</t>
  </si>
  <si>
    <t>d348c570-ae3c-11e4-9a23-0b6010caa867</t>
  </si>
  <si>
    <t>http://www.ft.com/cms/s/0/e43cdefa-ae2a-11e4-8188-00144feab7de.html#axzz3QzoDskxK</t>
  </si>
  <si>
    <t>www.ft.com</t>
  </si>
  <si>
    <t>Isis claims to behead US journalist</t>
  </si>
  <si>
    <t>ddd479e0-2803-11e4-a916-bf0b27b73ad5</t>
  </si>
  <si>
    <t>http://www.ft.com/intl/cms/s/0/07a0870a-27f0-11e4-b7a9-00144feabdc0.html#axzz3At1JrhXV</t>
  </si>
  <si>
    <t>Vice squad's 1m win lights up Las Vegas</t>
  </si>
  <si>
    <t>1b503870-b889-11e4-b073-ed15c88bfa1e</t>
  </si>
  <si>
    <t>http://www.ft.com/intl/cms/s/0/e7098c76-b7c3-11e4-981d-00144feab7de.html#axzz3SEOpUSQF</t>
  </si>
  <si>
    <t>Texas City plumber's truck ends up in Syrian war</t>
  </si>
  <si>
    <t>54947170-8777-11e4-b1b5-4f1bd36cbfc6</t>
  </si>
  <si>
    <t>http://www.galvestondailynews.com/free/article_5f269ed2-8557-11e4-8588-37eb16686b02.html</t>
  </si>
  <si>
    <t>www.galvestondailynews.com</t>
  </si>
  <si>
    <t>Apple may launch 12-inch MacBook Air with Retina Display</t>
  </si>
  <si>
    <t>333bdde0-96a1-11e4-87a8-1d5d45e62193</t>
  </si>
  <si>
    <t>http://www.geek.com/apple/apple-may-launch-12-inch-macbook-air-with-retina-display-1612924/</t>
  </si>
  <si>
    <t>www.geek.com</t>
  </si>
  <si>
    <t>That's one way to clean it: Apple Watch will reportedly survive a trip through the shower</t>
  </si>
  <si>
    <t>ec8d2ea0-c1be-11e4-8747-5b024dd6dd6c</t>
  </si>
  <si>
    <t>http://www.geekwire.com/2015/thats-one-way-to-clean-it-apple-watch-will-reportedly-survive-a-trip-through-the-shower/</t>
  </si>
  <si>
    <t>www.geekwire.com</t>
  </si>
  <si>
    <t>Lenovo Could Make A Bid For BlackBerry Rumor</t>
  </si>
  <si>
    <t>92059fd0-5869-11e4-aaf5-a1ddcfbcd5a9</t>
  </si>
  <si>
    <t>http://www.geeky-gadgets.com/lenovo-could-make-a-bid-for-blackberry-rumor-20-10-2014/</t>
  </si>
  <si>
    <t>www.geeky-gadgets.com</t>
  </si>
  <si>
    <t>Samsung will supply application processors for Apple Watch</t>
  </si>
  <si>
    <t>iPhone 6 and Even Apple Watch To Feature Samsung Components Rumor</t>
  </si>
  <si>
    <t>1aa6d530-c362-11e4-9435-a96703525a9e</t>
  </si>
  <si>
    <t>0aee2cb0-c362-11e4-9435-a96703525a9e</t>
  </si>
  <si>
    <t>http://www.gforgames.com/gadgets/iphone-6-apple-watch-samsung-components-45871/</t>
  </si>
  <si>
    <t>www.gforgames.com</t>
  </si>
  <si>
    <t>Samsung Rumoured to be Supplying the Screens for Apple Watch... Mk II</t>
  </si>
  <si>
    <t>3a815fe0-c210-11e4-8747-5b024dd6dd6c</t>
  </si>
  <si>
    <t>http://www.gizmodo.co.uk/2015/03/samsung-rumoured-to-be-supplying-the-screens-for-apple-watch-mk-ii/</t>
  </si>
  <si>
    <t>www.gizmodo.co.uk</t>
  </si>
  <si>
    <t>Sony Hackers Email: Thanks For Running Scared, We'll Stop Now</t>
  </si>
  <si>
    <t>500dfbf0-8798-11e4-a13d-d9bce527941d</t>
  </si>
  <si>
    <t>http://www.gizmodo.in/news/Sony-Hackers-Email-Thanks-For-Running-Scared-Well-Stop-Now/articleshow/45577863.cms</t>
  </si>
  <si>
    <t>www.gizmodo.in</t>
  </si>
  <si>
    <t>Mexico finds 4 more graves at site of suspected student massacre</t>
  </si>
  <si>
    <t>11b1f4f0-50b7-11e4-b6a0-9705a8f94440</t>
  </si>
  <si>
    <t>http://www.globalpost.com/dispatch/news/regions/americas/mexico/141010/mexico-finds-4-more-graves-at-site-suspected-student-ma</t>
  </si>
  <si>
    <t>www.globalpost.com</t>
  </si>
  <si>
    <t>Missing Mexico students not among 28 bodies found in mass grave</t>
  </si>
  <si>
    <t>07971c30-7091-11e4-8e10-b9c720c188ba</t>
  </si>
  <si>
    <t>http://www.globalpost.com/dispatch/news/regions/americas/mexico/141015/missing-mexico-students-not-among-28-mass-grave</t>
  </si>
  <si>
    <t>Nicaraguan commission on possible meteorite crash presents rock samples</t>
  </si>
  <si>
    <t>0f37b2a0-38fc-11e4-ae63-d5574342724c</t>
  </si>
  <si>
    <t>http://www.globalpost.com/dispatch/news/xinhua-news-agency/140910/nicaraguan-commission-possible-meteorite-crash-presents-rock</t>
  </si>
  <si>
    <t>Iraqi Army Downs Two British Planes Carrying Weapons for ISIL Terrorists</t>
  </si>
  <si>
    <t>e6740400-bd25-11e4-b073-ed15c88bfa1e</t>
  </si>
  <si>
    <t>http://www.globalresearch.ca/iraqi-army-downs-two-british-planes-carrying-weapons-for-isil-terrorists/5433089</t>
  </si>
  <si>
    <t>www.globalresearch.ca</t>
  </si>
  <si>
    <t>For sale: Tiger's former island in Sweden</t>
  </si>
  <si>
    <t>581eea70-9a80-11e4-bf59-1bb8b99952ce</t>
  </si>
  <si>
    <t>http://www.golfchannel.com/news/grill-room/sale-tigers-private-island-sweden/</t>
  </si>
  <si>
    <t>www.golfchannel.com</t>
  </si>
  <si>
    <t>Lisa Bonet Did NOT Send Cryptic Tweet About Bill Cosby Twitter Account Fake</t>
  </si>
  <si>
    <t>c8eae120-737d-11e4-99be-fb3662a4a6dd</t>
  </si>
  <si>
    <t>http://www.gossipcop.com/lisa-bonet-bill-cosby-tweet-fake-karma-twitter-hoax/</t>
  </si>
  <si>
    <t>www.gossipcop.com</t>
  </si>
  <si>
    <t>Macaulay Culkin NOT Dead: Facebook, Twitter Death Hoax Goes Viral</t>
  </si>
  <si>
    <t>895fa7d0-67b0-11e4-b528-9d5aa2d2e8e7</t>
  </si>
  <si>
    <t>http://www.gossipcop.com/macaulay-culkin-dead-died-november-2014-rip-death/</t>
  </si>
  <si>
    <t>VIDEO: Son Stuns Parents By Paying Off Their Mortgage As Christmas Surprise</t>
  </si>
  <si>
    <t>364710e0-8d73-11e4-9799-c7e75be2bcad</t>
  </si>
  <si>
    <t>http://www.gossipcop.com/son-pays-off-parents-mortgage-christmas-video-joe-riquelme/</t>
  </si>
  <si>
    <t>Axl Rose NOT Dead: Fake MSNBC Death Hoax Goes Viral On Facebook</t>
  </si>
  <si>
    <t>5680fb60-7b93-11e4-b794-93ed794d7b91</t>
  </si>
  <si>
    <t>http://www.gossipcop.com/axl-rose-dead-died-death-hoax-msnbc-rip-december-2014/</t>
  </si>
  <si>
    <t>Raven-Symone Did NOT Accuse Bill Cosby Of Molestation Or Rape It's A HOAX</t>
  </si>
  <si>
    <t>fd1e3e30-705b-11e4-8e10-b9c720c188ba</t>
  </si>
  <si>
    <t>http://www.gossipcop.com/raven-symone-molested-bill-cosby-rape-molestation/</t>
  </si>
  <si>
    <t>Italian catches huge wels catfish is it a record?</t>
  </si>
  <si>
    <t>a5826c40-bd32-11e4-b073-ed15c88bfa1e</t>
  </si>
  <si>
    <t>http://www.grindtv.com/outdoor/outposts/post/italian-catches-huge-wels-catfish-record/</t>
  </si>
  <si>
    <t>www.grindtv.com</t>
  </si>
  <si>
    <t>There Are Still Two McDonald's That Serve McPizza From the 90s</t>
  </si>
  <si>
    <t>6c415300-a7e4-11e4-a43b-f10f6756f801</t>
  </si>
  <si>
    <t>http://www.grubstreet.com/2015/01/mcdonalds-mcpizza-exists.html</t>
  </si>
  <si>
    <t>www.grubstreet.com</t>
  </si>
  <si>
    <t>Apple Watch delayed for February in limited quantity</t>
  </si>
  <si>
    <t>978f98c0-54bd-11e4-b6a0-9705a8f94440</t>
  </si>
  <si>
    <t>http://www.gsmarena.com/apple_watch_delayed_for_february_in_limited_quantity-news-9847.php</t>
  </si>
  <si>
    <t>www.gsmarena.com</t>
  </si>
  <si>
    <t>Apple to launch new 4 iPhone next year</t>
  </si>
  <si>
    <t>ff1eab70-7ee8-11e4-8faa-9748b2fc07a1</t>
  </si>
  <si>
    <t>http://www.gsmarena.com/rumor_apple_to_launch_new_4_iphone_next_year-news-10391.php</t>
  </si>
  <si>
    <t>Argentina president adopts Jewish godson for first time in country's history</t>
  </si>
  <si>
    <t>68854bb0-8f96-11e4-9799-c7e75be2bcad</t>
  </si>
  <si>
    <t>http://www.haaretz.com/jewish-world/jewish-world-news/1.633834</t>
  </si>
  <si>
    <t>www.haaretz.com</t>
  </si>
  <si>
    <t>British intelligence has identified Foley's killer</t>
  </si>
  <si>
    <t>59c35ed0-2bf7-11e4-89c5-1d389b94bc4b</t>
  </si>
  <si>
    <t>http://www.haaretz.com/news/middle-east/1.612137</t>
  </si>
  <si>
    <t>Saudi Arabia's national airline plans to keep men and women apart</t>
  </si>
  <si>
    <t>e80d9510-947b-11e4-b6bf-fdc8b7e3bcff</t>
  </si>
  <si>
    <t>http://www.haaretz.com/jewish-world/jewish-world-news/1.634766</t>
  </si>
  <si>
    <t>Israeli Canadian fighting ISIS posts on Facebook: I'm safe and secure</t>
  </si>
  <si>
    <t>629137a0-7a1a-11e4-b794-93ed794d7b91</t>
  </si>
  <si>
    <t>http://www.haaretz.com/news/diplomacy-defense/1.629497</t>
  </si>
  <si>
    <t>Unconfirmed reports claim Canadian-Israeli Gill Rosenberg captured by ISIS</t>
  </si>
  <si>
    <t>53045a60-78b7-11e4-b794-93ed794d7b91</t>
  </si>
  <si>
    <t>http://www.haaretz.com/news/middle-east/1.629251</t>
  </si>
  <si>
    <t>ISIS executioner Jihadi John reported wounded in air strike UK investigating</t>
  </si>
  <si>
    <t>5a4a7c50-6d36-11e4-8e10-b9c720c188ba</t>
  </si>
  <si>
    <t>http://www.haaretz.com/news/middle-east/1.626620</t>
  </si>
  <si>
    <t>Is North Korea, world's most secret state, really planning a new restaurant in Scotland?</t>
  </si>
  <si>
    <t>5e478610-9b42-11e4-bf59-1bb8b99952ce</t>
  </si>
  <si>
    <t>http://www.heraldscotland.com/news/home-news/worlds-most-secretive-state-considering-restaurants-in-scotland-claim.116033828</t>
  </si>
  <si>
    <t>www.heraldscotland.com</t>
  </si>
  <si>
    <t>76a43f70-3e57-11e4-bc0b-3f922b93930d</t>
  </si>
  <si>
    <t>http://www.hindustantimes.com/entertainment/tabloid/weirdest-selfie-ever-doctor-clicked-pic-with-anesthetised-joan-rivers/article1-1264996.aspx</t>
  </si>
  <si>
    <t>www.hindustantimes.com</t>
  </si>
  <si>
    <t>Raven Symone Files Molestation Charges Against Bill Cosby</t>
  </si>
  <si>
    <t>a6fba210-6fff-11e4-8e10-b9c720c188ba</t>
  </si>
  <si>
    <t>http://www.hiphophangover.com/index.php/15-enter/64-raven-symone-files-molestation-charges-against-bill-cosby</t>
  </si>
  <si>
    <t>www.hiphophangover.com</t>
  </si>
  <si>
    <t>Rare Case: Seven Bosnian Girls, Aged 13 And 14, Fall Pregnant After Five-Day School Trip Parents Outraged After School Cites Parental Neglect</t>
  </si>
  <si>
    <t>6cd31340-8aba-11e4-adc5-33f8455b16a2</t>
  </si>
  <si>
    <t>http://www.hngn.com/articles/53670/20141222/seven-bosnian-girls-aged-13-14-fall-pregnant-five-day.htm</t>
  </si>
  <si>
    <t>www.hngn.com</t>
  </si>
  <si>
    <t>Fake-News Report Claims Michael Jackson Is Father Of Bruno Mars</t>
  </si>
  <si>
    <t>05b672c0-94d7-11e4-b6bf-fdc8b7e3bcff</t>
  </si>
  <si>
    <t>http://www.hoax-slayer.com/fake-news-michael-jackson-father-bruno-mars.shtml</t>
  </si>
  <si>
    <t>www.hoax-slayer.com</t>
  </si>
  <si>
    <t>Fake-News: McDonald's Will Stop Serving Overweight Customers</t>
  </si>
  <si>
    <t>b7bd7e10-8775-11e4-b1b5-4f1bd36cbfc6</t>
  </si>
  <si>
    <t>http://www.hoax-slayer.com/hoax-mcdonalds-to-stop-serving-overweight-customers.shtml</t>
  </si>
  <si>
    <t>Fake News Report Claims Loggers Have Cut Down World's Oldest Tree</t>
  </si>
  <si>
    <t>ec92dd40-807e-11e4-8faa-9748b2fc07a1</t>
  </si>
  <si>
    <t>http://www.hoax-slayer.com/hoax-loggers-cut-down-oldest-tree.shtml</t>
  </si>
  <si>
    <t>Hoax Report Claims 250,000 Texas Turkeys Infected With Ebola</t>
  </si>
  <si>
    <t>e3df36d0-6d2d-11e4-8e10-b9c720c188ba</t>
  </si>
  <si>
    <t>http://www.hoax-slayer.com/texas-turkey-farm-ebola-hoax.shtml</t>
  </si>
  <si>
    <t>Evander Kane could be traded by the Jets</t>
  </si>
  <si>
    <t>Evander Kane On Way Out From Source, Price Is Very High Who Is In?</t>
  </si>
  <si>
    <t>beca1430-ad9e-11e4-9a23-0b6010caa867</t>
  </si>
  <si>
    <t>a549c230-ad9e-11e4-9a23-0b6010caa867</t>
  </si>
  <si>
    <t>http://www.hockeybuzz.com/blog.php?post_id=66105&amp;blogger_id=1</t>
  </si>
  <si>
    <t>www.hockeybuzz.com</t>
  </si>
  <si>
    <t>Macaulay Culkin Victim of Another Online Death Hoax</t>
  </si>
  <si>
    <t>37010c60-67b3-11e4-b528-9d5aa2d2e8e7</t>
  </si>
  <si>
    <t>http://www.hollywoodreporter.com/news/macaulay-culkin-victim-online-death-747654</t>
  </si>
  <si>
    <t>www.hollywoodreporter.com</t>
  </si>
  <si>
    <t>Paul Rudd Is Not the Viral Video Hero Who Tackled a Gay Basher in Dallas</t>
  </si>
  <si>
    <t>4ddaa130-5e17-11e4-a887-2324afc3f9a8</t>
  </si>
  <si>
    <t>http://www.hollywoodreporter.com/news/paul-rudd-is-not-viral-744157</t>
  </si>
  <si>
    <t>Joan Rivers Doctor Took a Selfie During Procedure: CNN</t>
  </si>
  <si>
    <t>a1976980-3e09-11e4-bc0b-3f922b93930d</t>
  </si>
  <si>
    <t>http://www.hollywoodreporter.com/news/joan-rivers-doctor-took-a-733546</t>
  </si>
  <si>
    <t>Steve Jobs Biopic Eyes Seth Rogen to Play Apple Co-Founder Steve Wozniak</t>
  </si>
  <si>
    <t>ad3dac40-6122-11e4-b6e9-e5f029e25965</t>
  </si>
  <si>
    <t>http://www.hollywoodreporter.com/news/steve-jobs-biopic-eyes-seth-745160?mobile_redirect=false</t>
  </si>
  <si>
    <t>Christian Bale Exits Steve Jobs Movie Exclusive</t>
  </si>
  <si>
    <t>4014c490-6394-11e4-b3d8-a32d8ec8ad5e</t>
  </si>
  <si>
    <t>http://www.hollywoodreporter.com/news/christian-bale-exits-steve-jobs-745784</t>
  </si>
  <si>
    <t>Christian Bale in Talks to Play Steve Jobs Exclusive</t>
  </si>
  <si>
    <t>70f24c30-54c7-11e4-b6a0-9705a8f94440</t>
  </si>
  <si>
    <t>http://www.hollywoodreporter.com/news/christian-bale-talks-play-steve-739569</t>
  </si>
  <si>
    <t>Vice Media CEO Shane Smith Spent 300,000 on Las Vegas Dinner Report</t>
  </si>
  <si>
    <t>9150fd50-b886-11e4-b073-ed15c88bfa1e</t>
  </si>
  <si>
    <t>http://www.hollywoodreporter.com/news/vice-media-ceo-shane-smith-774914</t>
  </si>
  <si>
    <t>Did Banksy Post This Poignant Tribute To Paris Shooting Victims? Probably Not</t>
  </si>
  <si>
    <t>3645fce0-96de-11e4-87a8-1d5d45e62193</t>
  </si>
  <si>
    <t>http://www.huffingtonpost.ca/2015/01/07/banksy-paris-cartoon-charlie-hebdo_n_6432984.html</t>
  </si>
  <si>
    <t>www.huffingtonpost.ca</t>
  </si>
  <si>
    <t>Kevin Vickers Hailed As Hero For Reportedly Shooting Gunman Inside Parliament</t>
  </si>
  <si>
    <t>36482fe0-5a0e-11e4-aaf5-a1ddcfbcd5a9</t>
  </si>
  <si>
    <t>http://www.huffingtonpost.ca/2014/10/22/parliament-shooting-shots-national-war-memorial_n_6027912.html</t>
  </si>
  <si>
    <t>NHL Expansion Plan Report Is Complete Fabrication: Bettman</t>
  </si>
  <si>
    <t>322b0a30-3435-11e4-8453-710264d9a1f8</t>
  </si>
  <si>
    <t>http://www.huffingtonpost.ca/2014/09/03/nhl-expansion-bettman_n_5762120.html?ncid=tweetlnkushpmg00000067</t>
  </si>
  <si>
    <t>Spider Burrows Into Australian Man's Appendix Scar VIDEO</t>
  </si>
  <si>
    <t>a39a11f0-5660-11e4-aaf5-a1ddcfbcd5a9</t>
  </si>
  <si>
    <t>http://www.huffingtonpost.ca/2014/10/16/spider-burrow-abdomen_n_5998790.html</t>
  </si>
  <si>
    <t>Rodney Constantine, Newfoundland Suspect, Keeps Facebook Pledge To Turn Himself In</t>
  </si>
  <si>
    <t>a5b1ef30-a7d2-11e4-aa4f-ff16e52e0d56</t>
  </si>
  <si>
    <t>http://www.huffingtonpost.ca/2015/01/26/rodney-constantine-facebook-comment-police-newfoundland_n_6549812.html</t>
  </si>
  <si>
    <t>British teenager Ibrahim Kamara Killed In US Airstrikes In Syria</t>
  </si>
  <si>
    <t>a1992850-458a-11e4-a79e-01321ca3a48d</t>
  </si>
  <si>
    <t>http://www.huffingtonpost.co.uk/2014/09/25/british-teenager-syria-killed-ibrahim-kamara_n_5880324.html?utm_hp_ref=uk</t>
  </si>
  <si>
    <t>www.huffingtonpost.co.uk</t>
  </si>
  <si>
    <t>Argentina's President Cristina Kirchner Adopts Jewish Godson To Prevent Him Turning Into A Werewolf</t>
  </si>
  <si>
    <t>505fcec0-8f96-11e4-9799-c7e75be2bcad</t>
  </si>
  <si>
    <t>http://www.huffingtonpost.co.uk/2014/12/27/cristina-kirchner-adopts-jewish-godson-argentina-werewolf-_n_6384460.html?1419687372</t>
  </si>
  <si>
    <t>Banksy Arrested Real Identity Revealed Is The Same Hoax From Last Year</t>
  </si>
  <si>
    <t>6f42e8d0-5888-11e4-aaf5-a1ddcfbcd5a9</t>
  </si>
  <si>
    <t>http://www.huffingtonpost.co.uk/2014/10/20/banksy-arrested-identity-revealed-same-hoax-_n_6014438.html</t>
  </si>
  <si>
    <t>Woman, Ting Su, Finds Husband Cheating With Her Own Twin, Gets Spectacular Revenge</t>
  </si>
  <si>
    <t>3ed9f050-9ffd-11e4-a353-5b831fe927be</t>
  </si>
  <si>
    <t>http://www.huffingtonpost.co.uk/2014/12/18/cheating-husband-left-naked_n_6346994.html</t>
  </si>
  <si>
    <t>Crabzilla Satellite Picture Reveals Giant Crustacean Lurking Off The Coast Of Whitstable</t>
  </si>
  <si>
    <t>ca3af090-555c-11e4-aaf5-a1ddcfbcd5a9</t>
  </si>
  <si>
    <t>http://www.huffingtonpost.co.uk/2014/10/13/crabzilla-crustacean-whitstable-satellite_n_5977222.html</t>
  </si>
  <si>
    <t>Feminist Lana Aborts Baby Because It's A Boy And Is Surprised By Backlash</t>
  </si>
  <si>
    <t>93ae2520-b20d-11e4-9a23-0b6010caa867</t>
  </si>
  <si>
    <t>http://www.huffingtonpost.co.uk/2015/02/10/feminist-lana-aborts-baby_n_6651442.html</t>
  </si>
  <si>
    <t>Josh Paler Lin Gives A Homeless Man 100 And Follows Him To See How He Spends It</t>
  </si>
  <si>
    <t>47d8dc70-9224-11e4-9799-c7e75be2bcad</t>
  </si>
  <si>
    <t>http://www.huffingtonpost.co.uk/2014/12/23/homeless-man-money_n_6372034.html</t>
  </si>
  <si>
    <t>Indian Rapist Castrated By Angry Mob Who Hack Off Gentials With Meat Cleaver GRAPHIC PICTURES</t>
  </si>
  <si>
    <t>75da5730-a4ca-11e4-aa4f-ff16e52e0d56</t>
  </si>
  <si>
    <t>http://www.huffingtonpost.co.uk/2014/10/11/indian-rapist-castrated-angry-mob_n_5969656.html</t>
  </si>
  <si>
    <t>Islamic State May Have Fighter Jets Now After Seizing Russian-Made MiGs</t>
  </si>
  <si>
    <t>f6e0d300-5627-11e4-aaf5-a1ddcfbcd5a9</t>
  </si>
  <si>
    <t>http://www.huffingtonpost.co.uk/2014/10/17/islamic-state-fighter-jet_n_6002912.html</t>
  </si>
  <si>
    <t>South Korean Woman's Hair Eaten By Robot Vacuum Cleaner</t>
  </si>
  <si>
    <t>5b065750-b097-11e4-9a23-0b6010caa867</t>
  </si>
  <si>
    <t>http://www.huffingtonpost.co.uk/2015/02/09/robot-vacuum-cleaner-hair_n_6643640.html</t>
  </si>
  <si>
    <t>Gay Teacher Receives Touching Letter From Student, 9, After He Comes Out</t>
  </si>
  <si>
    <t>616e4070-8618-11e4-b1b5-4f1bd36cbfc6</t>
  </si>
  <si>
    <t>http://www.huffingtonpost.co.uk/2014/12/17/gay-teacher-receives-touching-letter-from-student-9-he-comes-out_n_6339594.html?1418818351&amp;ncid=tweetlnkushpmg00000067</t>
  </si>
  <si>
    <t>Daysofdarkness: No, There Won't Be Six Days Of Darkness In December</t>
  </si>
  <si>
    <t>8b6b2830-5efd-11e4-a887-2324afc3f9a8</t>
  </si>
  <si>
    <t>http://www.huffingtonpost.co.uk/2014/10/27/days-of-darkness-hoax-nasa_n_6052614.html</t>
  </si>
  <si>
    <t>Jasmine Tridevil Has Surgery To Add Third Breast Total Recall Style</t>
  </si>
  <si>
    <t>75cce8f0-428e-11e4-9e78-ff09d5b0049d</t>
  </si>
  <si>
    <t>http://www.huffingtonpost.co.uk/2014/09/22/jasmine-tridevil-surgery-third-breast-total-recall-style_n_5859776.html</t>
  </si>
  <si>
    <t>Is Jasmine Tridevil's Triple Breasted Tale An Internet Hoax?</t>
  </si>
  <si>
    <t>22f46680-4329-11e4-9e78-ff09d5b0049d</t>
  </si>
  <si>
    <t>http://www.huffingtonpost.co.uk/2014/09/23/is-jasmine-tridevils-triple-breasted-internet-hoax_n_5867146.html?1411474266</t>
  </si>
  <si>
    <t>Transgender Teen Leelah Alcorn Blames Christian Parents In Tumblr Suicide Note</t>
  </si>
  <si>
    <t>8bea1690-905d-11e4-9799-c7e75be2bcad</t>
  </si>
  <si>
    <t>http://www.huffingtonpost.co.uk/2014/12/30/leelah-alcorn-trans-suicide_n_6395594.html</t>
  </si>
  <si>
    <t>Norfolk Man Pays 300 For His Constipated Goldfish To Have Lifesaving Surgery</t>
  </si>
  <si>
    <t>375c26c0-92cb-11e4-b271-b1de57982894</t>
  </si>
  <si>
    <t>http://www.huffingtonpost.co.uk/2015/01/02/vet-saves-goldfish_n_6406010.html</t>
  </si>
  <si>
    <t>China App Store Manipulation Photo Goes Viral - But Is It Real?</t>
  </si>
  <si>
    <t>a039a390-ad6d-11e4-9a23-0b6010caa867</t>
  </si>
  <si>
    <t>http://www.huffingtonpost.co.uk/2015/02/05/china-app-store-manipulation-photo_n_6620376.html</t>
  </si>
  <si>
    <t>Woman Stays In KFC For A Week To Get Over Her Break-Up</t>
  </si>
  <si>
    <t>fe8ce5b0-9ff8-11e4-a353-5b831fe927be</t>
  </si>
  <si>
    <t>http://www.huffingtonpost.co.uk/2014/10/22/woman-kfc-break-up_n_6026202.html</t>
  </si>
  <si>
    <t>Islamist Militants Steal 11 Commercial Planes In Libya, Sparking Terror Attack Fears</t>
  </si>
  <si>
    <t>16b01bf0-33cd-11e4-8453-710264d9a1f8</t>
  </si>
  <si>
    <t>http://www.huffingtonpost.co.uk/2014/09/03/libya-islamist-militants_n_5758520.html</t>
  </si>
  <si>
    <t>Penis Drawn On Bugatti Veyron Could Be World's Most Expensive Car Vandalism</t>
  </si>
  <si>
    <t>4c0a53f0-4ff3-11e4-b6a0-9705a8f94440</t>
  </si>
  <si>
    <t>http://www.huffingtonpost.co.uk/2014/10/09/penis-drawn-on-bugatti-veyron_n_5956928.html</t>
  </si>
  <si>
    <t>Wife Of ISIS Leader Abu Bakr al-Baghdadi Detained In Lebanon</t>
  </si>
  <si>
    <t>efa03b00-7af1-11e4-b794-93ed794d7b91</t>
  </si>
  <si>
    <t>http://www.huffingtonpost.com/2014/12/02/isis-leader-wife-son-detained_n_6252816.html</t>
  </si>
  <si>
    <t>www.huffingtonpost.com</t>
  </si>
  <si>
    <t>Argentina President, Christina Kirchner, Has Bizarre Werewolf Mishap</t>
  </si>
  <si>
    <t>56dc6020-903f-11e4-9799-c7e75be2bcad</t>
  </si>
  <si>
    <t>http://www.huffingtonpost.com/2014/12/29/christina-kirchner-werewo_n_6392688.html?utm_hp_ref=weird-news</t>
  </si>
  <si>
    <t>Once Again, The Banksy Arrest Is A Giant Hoax. Repeat: A Hoax.</t>
  </si>
  <si>
    <t>4bb88d20-5888-11e4-aaf5-a1ddcfbcd5a9</t>
  </si>
  <si>
    <t>http://www.huffingtonpost.com/2014/10/20/banksy-arrested_n_6015068.html</t>
  </si>
  <si>
    <t>Sugarhill Gang's Big Bank Hank Dead At 57</t>
  </si>
  <si>
    <t>73500e00-69de-11e4-b528-9d5aa2d2e8e7</t>
  </si>
  <si>
    <t>http://www.huffingtonpost.com/2014/11/11/big-bank-hank-dead-dies_n_6140258.html</t>
  </si>
  <si>
    <t>Bigfoot Strolls Through A Russian Forest -- At Least That's The Claim VIDEO</t>
  </si>
  <si>
    <t>61379900-9d22-11e4-bf59-1bb8b99952ce</t>
  </si>
  <si>
    <t>http://www.huffingtonpost.com/2015/01/15/bigfoot-in-russia-forest_n_6473582.html?utm_hp_ref=weird-news&amp;ir=Weird+News</t>
  </si>
  <si>
    <t>Crabzilla or Crapzilla -- You Decide</t>
  </si>
  <si>
    <t>ec9027a0-555c-11e4-aaf5-a1ddcfbcd5a9</t>
  </si>
  <si>
    <t>http://www.huffingtonpost.com/2014/10/14/crabzilla-hoax_n_5982180.html</t>
  </si>
  <si>
    <t>Weather Reporter Caught Writing His Name In The Snow Was NOT Ready To Go On Camera UPDATED</t>
  </si>
  <si>
    <t>c4c34a30-6458-11e4-b3d8-a32d8ec8ad5e</t>
  </si>
  <si>
    <t>http://www.huffingtonpost.com/2014/11/03/nbc-mike-peeing-lester-holt-nightly-news_n_6094028.html</t>
  </si>
  <si>
    <t>Rumors Of Fidel Castro's Death Circulate After Prolonged Absence From Public Life</t>
  </si>
  <si>
    <t>b60bf7c0-982f-11e4-bb36-07f7e019de19</t>
  </si>
  <si>
    <t>http://www.huffingtonpost.com/2015/01/09/fidel-castro-dead-rumors-_n_6443268.html</t>
  </si>
  <si>
    <t>Canadian-Israeli Woman May Have Been Captured In Syria: Reports</t>
  </si>
  <si>
    <t>5b6237e0-78fd-11e4-b794-93ed794d7b91</t>
  </si>
  <si>
    <t>http://www.huffingtonpost.com/2014/11/30/canadian-kidnapped-syria_n_6244114.html</t>
  </si>
  <si>
    <t>Gill Rosenberg, Canadian-Israeli Woman Feared Kidnapped By ISIS, Says She's Safe</t>
  </si>
  <si>
    <t>507bda70-7a1a-11e4-b794-93ed794d7b91</t>
  </si>
  <si>
    <t>http://www.huffingtonpost.com/2014/12/01/gill-rosenberg-safe_n_6250604.html</t>
  </si>
  <si>
    <t>Prankster Gives Homeless Man 100, Secretly Follows Him And Learns He Buys Food For Others</t>
  </si>
  <si>
    <t>2dfc2be0-921f-11e4-9799-c7e75be2bcad</t>
  </si>
  <si>
    <t>http://www.huffingtonpost.com/2014/12/24/homeless-man-100_n_6378022.html</t>
  </si>
  <si>
    <t>Hewlett-Packard Plans To Break Into Two Companies: Report</t>
  </si>
  <si>
    <t>5562dd70-4cbd-11e4-949b-f14041b20838</t>
  </si>
  <si>
    <t>http://www.huffingtonpost.com/2014/10/05/hewlett-packard-breakup_n_5935310.html</t>
  </si>
  <si>
    <t>Islamic State Militants Have Been Flying 3 Captured Warplanes Over Syrian Airport, Witnesses Say</t>
  </si>
  <si>
    <t>9325bf90-5629-11e4-aaf5-a1ddcfbcd5a9</t>
  </si>
  <si>
    <t>http://www.huffingtonpost.com/2014/10/17/isis-warplanes-syria_n_6001866.html</t>
  </si>
  <si>
    <t>GOP Rep. Duncan Hunter Claims At Least 10 ISIS Fighters Apprehended On Texas Border</t>
  </si>
  <si>
    <t>d640ef60-4fcc-11e4-b6a0-9705a8f94440</t>
  </si>
  <si>
    <t>http://www.huffingtonpost.com/2014/10/08/duncan-hunter-isis_n_5954282.html</t>
  </si>
  <si>
    <t>Jeh Johnson: Politicians Shouldn't Feed The Flames Of Fear Over ISIS, Ebola</t>
  </si>
  <si>
    <t>994b2d10-768b-11e4-b9e8-ab92b2da133c</t>
  </si>
  <si>
    <t>http://www.huffingtonpost.com/2014/10/09/jeh-johnson-border_n_5961810.html</t>
  </si>
  <si>
    <t>James Foley, Missing American Photojournalist, Beheaded By ISIS In Syria</t>
  </si>
  <si>
    <t>1622b720-27e7-11e4-96be-dfc0d1eebaea</t>
  </si>
  <si>
    <t>http://www.huffingtonpost.com/2014/08/19/james-foley-executed-isis_n_5692695.html?utm_hp_ref=media&amp;ir=Media</t>
  </si>
  <si>
    <t>Obama Denounces James Foley's Execution: Today The Entire World Is Appalled</t>
  </si>
  <si>
    <t>e2fde810-2890-11e4-a916-bf0b27b73ad5</t>
  </si>
  <si>
    <t>http://www.huffingtonpost.com/2014/08/20/obama-james-foley_n_5695270.html</t>
  </si>
  <si>
    <t>US officials: Video shows American's execution</t>
  </si>
  <si>
    <t>5791fa30-2865-11e4-a916-bf0b27b73ad5</t>
  </si>
  <si>
    <t>http://www.huffingtonpost.com/huff-wires/20140819/ap-us-missing-american-syria/</t>
  </si>
  <si>
    <t>North Korea Leader Kim Jong Un Is Still In Charge: Source</t>
  </si>
  <si>
    <t>0a70cc20-4fef-11e4-b6a0-9705a8f94440</t>
  </si>
  <si>
    <t>http://www.huffingtonpost.com/2014/10/09/north-korea-kim_n_5959070.html</t>
  </si>
  <si>
    <t>Rumor Robert Plant Ripped Up 800 Million Contract To Reunite Led Zeppelin Called Rubbish</t>
  </si>
  <si>
    <t>a4a15760-68f9-11e4-b528-9d5aa2d2e8e7</t>
  </si>
  <si>
    <t>http://www.huffingtonpost.com/2014/11/10/robert-plant-rips-up-800-million-contract-led-zeppelin_n_6132966.html?utm_hp_ref=comedy&amp;ir=Comedy</t>
  </si>
  <si>
    <t>Letter From LEGO To Parents In The 70s Makes An Important Point About Gender</t>
  </si>
  <si>
    <t>89a495b0-7409-11e4-99be-fb3662a4a6dd</t>
  </si>
  <si>
    <t>http://www.huffingtonpost.com/2014/11/24/lego-letter-from-the-70s_n_6212362.html</t>
  </si>
  <si>
    <t>Zombie Cat Claws Way Out Of Grave And Into Our Hearts UPDATED</t>
  </si>
  <si>
    <t>0d951810-a68a-11e4-aa4f-ff16e52e0d56</t>
  </si>
  <si>
    <t>http://www.huffingtonpost.com/2015/01/27/zombie-cat-florida-ellis-hutson_n_6557444.html</t>
  </si>
  <si>
    <t>Missing Afghan Soldiers Apprehended Trying To Cross Border Into Canada</t>
  </si>
  <si>
    <t>c1b8c8b0-427f-11e4-9e78-ff09d5b0049d</t>
  </si>
  <si>
    <t>http://www.huffingtonpost.com/2014/09/22/afghan-soldiers_n_5862498.html</t>
  </si>
  <si>
    <t>Kim Jong-Un's Scottish Dog Meat Restaurant Is Probably Fabricated Shite</t>
  </si>
  <si>
    <t>495fabf0-9b16-11e4-bf59-1bb8b99952ce</t>
  </si>
  <si>
    <t>http://www.huffingtonpost.com/2015/01/12/kim-jong-un-restaurant-scotland_n_6457218.html</t>
  </si>
  <si>
    <t>Fei Lin's Penis Stolen By Thieves</t>
  </si>
  <si>
    <t>194b6880-a806-11e4-a43b-f10f6756f801</t>
  </si>
  <si>
    <t>http://www.huffingtonpost.com/2012/07/24/fei-lin-penis_n_1699017.html</t>
  </si>
  <si>
    <t>When Street Harassers Realize The Women They're Catcalling Are Their Moms In Disguise</t>
  </si>
  <si>
    <t>7684c7b0-a62d-11e4-aa4f-ff16e52e0d56</t>
  </si>
  <si>
    <t>http://www.huffingtonpost.com/2015/01/26/street-harassers-realize-women-catcalling-moms-everlast_n_6549086.html</t>
  </si>
  <si>
    <t>Flight Delayed Due To Rampaging Scorpion</t>
  </si>
  <si>
    <t>d65d9420-b6cf-11e4-8507-b58af63d1078</t>
  </si>
  <si>
    <t>http://www.huffingtonpost.com/2015/02/16/flight-delayed-scorpion_n_6688694.html?utm_hp_ref=weird-news&amp;ir=Weird+News</t>
  </si>
  <si>
    <t>New Audio Allegedly Captures Moment Michael Brown Was Shot</t>
  </si>
  <si>
    <t>a95fd970-2d67-11e4-89c5-1d389b94bc4b</t>
  </si>
  <si>
    <t>http://www.huffingtonpost.com/2014/08/26/michael-brown-audio_n_5714287.html</t>
  </si>
  <si>
    <t>Multiple Shootings Near Canadian Parliament In Ottawa, Soldier Killed</t>
  </si>
  <si>
    <t>5a759970-59fa-11e4-aaf5-a1ddcfbcd5a9</t>
  </si>
  <si>
    <t>http://www.huffingtonpost.com/2014/10/22/canada-soldier-shot_n_6027966.html</t>
  </si>
  <si>
    <t>Steven Sotloff, American Journalist, Beheaded By ISIS</t>
  </si>
  <si>
    <t>62556130-32cb-11e4-8453-710264d9a1f8</t>
  </si>
  <si>
    <t>http://www.huffingtonpost.com/2014/09/02/steven-sotloff-beheaded-isis_n_5753564.html</t>
  </si>
  <si>
    <t>Video Of Steven Sotloff Slaying By ISIS Is Authentic, U.S. Confirms</t>
  </si>
  <si>
    <t>699e2830-4196-11e4-9e78-ff09d5b0049d</t>
  </si>
  <si>
    <t>http://www.huffingtonpost.com/2014/09/03/steven-sotloff-video_n_5757324.html</t>
  </si>
  <si>
    <t>This College Student Claims She Was The Teletubbies Sun Baby</t>
  </si>
  <si>
    <t>ea68c8e0-8b14-11e4-9799-c7e75be2bcad</t>
  </si>
  <si>
    <t>http://www.huffingtonpost.com/2014/12/23/college-student-teletubbies_n_6374066.html</t>
  </si>
  <si>
    <t>Texas Plumber Isn't Sure How Extremists In Syria Ended Up With His Work Truck</t>
  </si>
  <si>
    <t>e48a14b0-8777-11e4-b1b5-4f1bd36cbfc6</t>
  </si>
  <si>
    <t>http://www.huffingtonpost.com/2014/12/17/texas-plumber-work-truck-syria-terrorists_n_6341070.html</t>
  </si>
  <si>
    <t>No One In North Korea Is Allowed To Share Kim Jong Un's Name</t>
  </si>
  <si>
    <t>8b011e00-7b94-11e4-b794-93ed794d7b91</t>
  </si>
  <si>
    <t>http://www.huffingtonpost.com/2014/12/03/kim-jong-un-name-ban-north-korea_n_6261972.html</t>
  </si>
  <si>
    <t>Christian Bale Won't Play Steve Jobs After All</t>
  </si>
  <si>
    <t>ff59c3a0-6394-11e4-b3d8-a32d8ec8ad5e</t>
  </si>
  <si>
    <t>http://www.huffingtonpost.com/2014/11/03/christian-bale-steve-jobs_n_6095656.html</t>
  </si>
  <si>
    <t>Widower Cries Tears Of Joy After Hearing Late Wife's Voice Again</t>
  </si>
  <si>
    <t>fff1a680-a8a3-11e4-a133-7514623ae047</t>
  </si>
  <si>
    <t>http://www.huffingtonpost.com/2015/01/29/widower-reunited-with-voicemail-tears-of-joy_n_6573130.html</t>
  </si>
  <si>
    <t>Mittens The Intersex Cat To Get Gender Assignment</t>
  </si>
  <si>
    <t>87aa5e80-a43c-11e4-aa4f-ff16e52e0d56</t>
  </si>
  <si>
    <t>http://www.huffingtonpost.com/2015/01/21/hermaphroditic-cat_n_6515214.html</t>
  </si>
  <si>
    <t>Nigeria Says It Struck A Cease-Fire With Boko Haram, But Are They Talking To The Right Guy?</t>
  </si>
  <si>
    <t>0eb55340-5969-11e4-aaf5-a1ddcfbcd5a9</t>
  </si>
  <si>
    <t>http://www.huffingtonpost.com/2014/10/21/nigeria-ceasefire-boko-haram_n_6008894.html?utm_hp_ref=world</t>
  </si>
  <si>
    <t>Boko Haram: Kidnapped Girls Have Been Married Off, Truce Never Happened</t>
  </si>
  <si>
    <t>2b283b90-6220-11e4-b3d8-a32d8ec8ad5e</t>
  </si>
  <si>
    <t>http://www.huffingtonpost.com/2014/11/01/boko-haram-kidnapped-girls-married_n_6086420.html</t>
  </si>
  <si>
    <t>Ottawa Gunman Identified As Michael Zehaf-Bibeau</t>
  </si>
  <si>
    <t>7f6cc490-5a47-11e4-aaf5-a1ddcfbcd5a9</t>
  </si>
  <si>
    <t>http://www.huffingtonpost.com/2014/10/22/michael-zehaf-bibea-ottawa_n_6031064.html</t>
  </si>
  <si>
    <t>Sadly, Pumpkin Spice Condoms Aren't A Thing After All</t>
  </si>
  <si>
    <t>cc9e7ee0-3817-11e4-ae63-d5574342724c</t>
  </si>
  <si>
    <t>http://www.huffingtonpost.com/2014/09/08/durex-pumpkin-spice-condom_n_5784808.html</t>
  </si>
  <si>
    <t>Court Orders Probe Into Complaints Of Forced Castration In Religious Dera Sect</t>
  </si>
  <si>
    <t>60d20470-c084-11e4-8747-5b024dd6dd6c</t>
  </si>
  <si>
    <t>http://www.huffingtonpost.in/2014/12/24/dera-forced-castratrion_n_6375758.html</t>
  </si>
  <si>
    <t>www.huffingtonpost.in</t>
  </si>
  <si>
    <t>Islamic State uses chlorine gas against Iraqi forces</t>
  </si>
  <si>
    <t>0de7f360-42bb-11e4-9e78-ff09d5b0049d</t>
  </si>
  <si>
    <t>http://www.i24news.tv/en/news/international/middle-east/44709-140922-kurds-is-offensive-in-syria-is-genocide</t>
  </si>
  <si>
    <t>www.i24news.tv</t>
  </si>
  <si>
    <t>Dera Sacha Sauda Chief Forced Castration of 400 Devotees? CBI Files Case Against MSG: The Messenger of God Actor</t>
  </si>
  <si>
    <t>5bce72b0-c084-11e4-8747-5b024dd6dd6c</t>
  </si>
  <si>
    <t>http://www.ibtimes.co.in/dera-sacha-sauda-chief-forced-castration-400-devotees-cbi-files-case-against-msg-messenger-619672</t>
  </si>
  <si>
    <t>www.ibtimes.co.in</t>
  </si>
  <si>
    <t>Iraq Denies Lebanon Captured Abu Bakr al-Baghdadi's Wife and Child</t>
  </si>
  <si>
    <t>bbff8670-7af1-11e4-b794-93ed794d7b91</t>
  </si>
  <si>
    <t>http://www.ibtimes.co.in/iraq-denies-lebanon-captured-abu-bakr-al-baghdadis-wife-child-615977</t>
  </si>
  <si>
    <t>Rajasthan: Man Tries to Rape Teenager, Angry Mob Chops His Penis Off</t>
  </si>
  <si>
    <t>569d6400-a4c7-11e4-aa4f-ff16e52e0d56</t>
  </si>
  <si>
    <t>http://www.ibtimes.co.in/rajasthan-man-tries-rape-teenager-angry-mob-chops-his-penis-off-611116</t>
  </si>
  <si>
    <t>Female Kurdish Fighter Rehana is Alive, Claim Supporters Post CNN Video as Proof</t>
  </si>
  <si>
    <t>bf132a60-5eea-11e4-a887-2324afc3f9a8</t>
  </si>
  <si>
    <t>http://www.ibtimes.co.in/female-kurdish-fighter-rehana-alive-claim-supporters-post-cnn-video-proof-612436</t>
  </si>
  <si>
    <t>9-Year-Old Writes Moving Letter to Teacher Who Came Out as Gay to His Class</t>
  </si>
  <si>
    <t>abd6ddc0-8618-11e4-b1b5-4f1bd36cbfc6</t>
  </si>
  <si>
    <t>http://www.ibtimes.co.in/9-year-old-writes-moving-letter-teacher-who-came-out-gay-his-class-617432</t>
  </si>
  <si>
    <t>Is Kim Jong-un Opening North Korean Restaurant in Scotland?</t>
  </si>
  <si>
    <t>278e8d70-9b20-11e4-bf59-1bb8b99952ce</t>
  </si>
  <si>
    <t>http://www.ibtimes.co.in/kim-jong-un-opening-north-korean-restaurant-scotland-620150</t>
  </si>
  <si>
    <t>Whistling At Your Mom: Video Showing Sons Catcalling their Mothers Goes Viral VIDEO</t>
  </si>
  <si>
    <t>16ba8860-a62d-11e4-aa4f-ff16e52e0d56</t>
  </si>
  <si>
    <t>http://www.ibtimes.co.in/whistling-your-mom-video-showing-sons-catcalling-their-mothers-goes-viral-video-621632</t>
  </si>
  <si>
    <t>US Drones, Hunting for ISIS Leader, Seen Flying over Syrian Airspace</t>
  </si>
  <si>
    <t>89ef6ec0-381b-11e4-ae63-d5574342724c</t>
  </si>
  <si>
    <t>http://www.ibtimes.co.in/us-drones-hunting-isis-leader-seen-flying-over-syrian-airspace-608614</t>
  </si>
  <si>
    <t>The Force Awakens Release Date: JJ Abrams Plan for an Early Release of Star Wars Movie?</t>
  </si>
  <si>
    <t>b1a60cc0-b2e2-11e4-9a23-0b6010caa867</t>
  </si>
  <si>
    <t>http://www.ibtimes.co.in/force-awakens-release-date-will-star-wars-film-hit-theatres-this-summer-623315</t>
  </si>
  <si>
    <t>Rampur: Angry Bride Marries Guest after Learning Groom is Epileptic</t>
  </si>
  <si>
    <t>856f8750-b790-11e4-8507-b58af63d1078</t>
  </si>
  <si>
    <t>http://www.ibtimes.co.in/rampur-angry-bride-marries-guest-after-learning-groom-epileptic-623850</t>
  </si>
  <si>
    <t>Hoax Busted: Report on Popular Dog Whisperer Cesar Millan's Death is False</t>
  </si>
  <si>
    <t>3eb049e0-7afe-11e4-b794-93ed794d7b91</t>
  </si>
  <si>
    <t>http://www.ibtimes.co.in/hoax-busted-report-popular-dog-whisperer-cesar-millans-death-false-616024</t>
  </si>
  <si>
    <t>Iraq: US to Probe ISIS Chlorine Attack on Iraqi Security Personnel</t>
  </si>
  <si>
    <t>19a954e0-5c34-11e4-a887-2324afc3f9a8</t>
  </si>
  <si>
    <t>http://www.ibtimes.co.in/iraq-us-probe-isis-chlorine-attack-iraqi-security-personnel-612168</t>
  </si>
  <si>
    <t>The Cosby Show Star Raven Symone Joins Long List of Women Accusing Bill Cosby of Rape</t>
  </si>
  <si>
    <t>75fdabe0-6fff-11e4-8e10-b9c720c188ba</t>
  </si>
  <si>
    <t>http://www.ibtimes.co.in/cosby-show-star-raven-symone-joins-long-list-women-accusing-bill-cosby-rape-614483</t>
  </si>
  <si>
    <t>India: 400 men cut off their testicles to get closer to God following advice from guru</t>
  </si>
  <si>
    <t>1e37ffc0-c084-11e4-8747-5b024dd6dd6c</t>
  </si>
  <si>
    <t>http://www.ibtimes.co.uk/india-400-men-cut-off-their-testicles-get-closer-god-following-advice-guru-1489971</t>
  </si>
  <si>
    <t>www.ibtimes.co.uk</t>
  </si>
  <si>
    <t>Syria: Teenage British Jihadi from Brighton Killed in US Airstrikes</t>
  </si>
  <si>
    <t>1f8e2d30-443e-11e4-94c0-515d9d816ec6</t>
  </si>
  <si>
    <t>http://www.ibtimes.co.uk/syria-teenage-british-jihadi-brighton-killed-us-airstrikes-1467064</t>
  </si>
  <si>
    <t>Gold Apple Watch Edition price? Speculators say at least 10,000</t>
  </si>
  <si>
    <t>a5527590-c367-11e4-9435-a96703525a9e</t>
  </si>
  <si>
    <t>http://www.ibtimes.co.uk/gold-apple-watch-edition-price-speculators-say-least-10000-1489243</t>
  </si>
  <si>
    <t>Apple installing safes in-store to protect gold Watch Edition</t>
  </si>
  <si>
    <t>e2859350-bfb8-11e4-8747-5b024dd6dd6c</t>
  </si>
  <si>
    <t>http://www.ibtimes.co.uk/apple-installing-safes-store-protect-gold-watch-edition-1486191</t>
  </si>
  <si>
    <t>Apple Watch shipments to start in March: 12in new MacBook Air expected to be launched in same quarter</t>
  </si>
  <si>
    <t>aa827c70-c120-11e4-8747-5b024dd6dd6c</t>
  </si>
  <si>
    <t>http://www.ibtimes.co.uk/apple-watch-shipments-start-march-12in-new-macbook-air-expected-be-launched-same-quarter-1485051</t>
  </si>
  <si>
    <t>President of Argentina adopts Jewish boy to stop him turning into werewolf</t>
  </si>
  <si>
    <t>b3344400-8f9a-11e4-9799-c7e75be2bcad</t>
  </si>
  <si>
    <t>http://www.ibtimes.co.uk/president-argentina-adopts-jewish-boy-stop-him-turning-into-werewolf-1481242</t>
  </si>
  <si>
    <t>Hoax Banksy Arrested in London Story Dupes the Internet Again</t>
  </si>
  <si>
    <t>6f9c6630-5856-11e4-aaf5-a1ddcfbcd5a9</t>
  </si>
  <si>
    <t>http://www.ibtimes.co.uk/hoax-banksy-arrested-london-story-dupes-internet-again-1470861</t>
  </si>
  <si>
    <t>Bosnia: Seven underage girls return from five day school trip, pregnant</t>
  </si>
  <si>
    <t>1ca96090-8aba-11e4-adc5-33f8455b16a2</t>
  </si>
  <si>
    <t>http://www.ibtimes.co.uk/bosnia-seven-underage-girls-return-five-day-school-trip-pregnant-1480345</t>
  </si>
  <si>
    <t>Saudi Arabia set to introduce gender segregation on national airline flights</t>
  </si>
  <si>
    <t>da63f670-947b-11e4-b6bf-fdc8b7e3bcff</t>
  </si>
  <si>
    <t>http://www.ibtimes.co.uk/saudi-arabia-set-introduce-gender-segregation-national-airline-flights-1481808</t>
  </si>
  <si>
    <t>The gold Apple Watch Edition will cost 9,999 USD</t>
  </si>
  <si>
    <t>a0ae3990-c2b1-11e4-8747-5b024dd6dd6c</t>
  </si>
  <si>
    <t>56beb950-c2b0-11e4-8747-5b024dd6dd6c</t>
  </si>
  <si>
    <t>India Rape Crisis Sees Mob Castrate Alleged Sex Attacker in Shocking Scenes</t>
  </si>
  <si>
    <t>23793d00-a4c8-11e4-aa4f-ff16e52e0d56</t>
  </si>
  <si>
    <t>http://www.ibtimes.co.uk/india-rape-crisis-sees-mob-castrate-alleged-sex-attacker-shocking-scenes-1469424</t>
  </si>
  <si>
    <t>Isis Syria News: Video Shows US Airdropped Weapons and Grenades Captured by Islamic State</t>
  </si>
  <si>
    <t>e8ab0040-5964-11e4-aaf5-a1ddcfbcd5a9</t>
  </si>
  <si>
    <t>http://www.ibtimes.co.uk/isis-syria-news-video-shows-us-airdropped-weapons-grenades-captured-by-islamic-state-1471097</t>
  </si>
  <si>
    <t>Isis Syria News: Iraqi Pilots Training Isis Fighters to Fly Captured Planes</t>
  </si>
  <si>
    <t>fc5b4270-5627-11e4-aaf5-a1ddcfbcd5a9</t>
  </si>
  <si>
    <t>http://www.ibtimes.co.uk/isis-syria-news-iraqi-pilots-training-isis-fighters-fly-captured-planes-1470514</t>
  </si>
  <si>
    <t>Isis: James Foley's beheaded body in 1m humanity case sale offer to family</t>
  </si>
  <si>
    <t>44c7e460-8138-11e4-8faa-9748b2fc07a1</t>
  </si>
  <si>
    <t>http://www.ibtimes.co.uk/isis-james-foleys-beheaded-body-1m-humanity-case-sale-offer-family-1479118</t>
  </si>
  <si>
    <t>Isis Egyptian treasurer steals Zakat funds and flees to Turkey</t>
  </si>
  <si>
    <t>fa4c3460-ae12-11e4-9a23-0b6010caa867</t>
  </si>
  <si>
    <t>http://www.ibtimes.co.uk/isis-egyptian-treasurer-steals-zakat-funds-flees-turkey-1486398</t>
  </si>
  <si>
    <t>Isis: Masked Executioner Jihadi John Injured in US Led Airstrikes in Iraq</t>
  </si>
  <si>
    <t>2398c1c0-6d37-11e4-8e10-b9c720c188ba</t>
  </si>
  <si>
    <t>http://www.ibtimes.co.uk/isis-jihadi-john-injured-us-led-airstrikes-iraq-1475012</t>
  </si>
  <si>
    <t>No, Jordan's King Abdullah II is not personally flying planes against Isis</t>
  </si>
  <si>
    <t>6a74a7e0-ad4b-11e4-9a23-0b6010caa867</t>
  </si>
  <si>
    <t>http://www.ibtimes.co.uk/no-jordans-king-abdullah-ii-not-personally-flying-planes-against-isis-1486742</t>
  </si>
  <si>
    <t>Microsoft Hires Dalek-style Robocops to Guard Silicon Valley HQ</t>
  </si>
  <si>
    <t>24bc1f30-74a2-11e4-99be-fb3662a4a6dd</t>
  </si>
  <si>
    <t>http://www.ibtimes.co.uk/microsoft-hires-dalek-style-robocop-guard-silicon-valley-hq-1474993</t>
  </si>
  <si>
    <t>Nasa Confirms Earth Will Experience 6 Days of Total Darkness in December Fake News Story Goes Viral</t>
  </si>
  <si>
    <t>77250850-5efd-11e4-a887-2324afc3f9a8</t>
  </si>
  <si>
    <t>http://www.ibtimes.co.uk/nasa-confirms-earth-will-experience-6-days-total-darkness-december-fake-news-story-goes-viral-1471809</t>
  </si>
  <si>
    <t>Ottawa Shooting: Soldier Shot at Canada's National War Memorial</t>
  </si>
  <si>
    <t>4f9d6a50-59fa-11e4-aaf5-a1ddcfbcd5a9</t>
  </si>
  <si>
    <t>http://www.ibtimes.co.uk/ottawa-shooting-soldier-shot-canadas-national-war-memorial-1471301</t>
  </si>
  <si>
    <t>Woman Adds Third Breast by Undergoing Surgery to Participate in Reality Show</t>
  </si>
  <si>
    <t>2b2629d0-4291-11e4-9e78-ff09d5b0049d</t>
  </si>
  <si>
    <t>http://www.ibtimes.co.uk/woman-adds-third-breast-by-undergoing-surgery-participate-reality-show-1466531</t>
  </si>
  <si>
    <t>Isis Admits Leader Abu Bakr al-Baghdadi Injured in US Air Strike</t>
  </si>
  <si>
    <t>7f70ae70-68e8-11e4-b528-9d5aa2d2e8e7</t>
  </si>
  <si>
    <t>http://www.ibtimes.co.uk/isis-admits-leader-abu-bakr-baghdadi-injured-us-air-strike-1473970</t>
  </si>
  <si>
    <t>Egypt's Sisi Offered Abbas Creation of Palestinian State in Sinai Peninsula</t>
  </si>
  <si>
    <t>f1f8bc40-394e-11e4-ae63-d5574342724c</t>
  </si>
  <si>
    <t>http://www.ibtimes.co.uk/egypts-sisi-offered-abbas-creation-palestinian-state-sinai-peninsula-1464436</t>
  </si>
  <si>
    <t>China Penis Amputation: Cruel Aunt Viciously Mutilates Toddler's Genitals as Punishment</t>
  </si>
  <si>
    <t>ffca6890-a4f7-11e4-aa4f-ff16e52e0d56</t>
  </si>
  <si>
    <t>http://www.ibtimes.co.uk/china-penis-amputation-cruel-aunt-viciously-mutilates-toddlers-genitals-punishment-1475646</t>
  </si>
  <si>
    <t>India: Angry bride marries guest after original groom falls ill during wedding ceremony</t>
  </si>
  <si>
    <t>ddbb1d90-b7a2-11e4-8507-b58af63d1078</t>
  </si>
  <si>
    <t>http://www.ibtimes.co.uk/india-angry-bride-marries-guest-after-original-groom-falls-ill-during-wedding-ceremony-1488450</t>
  </si>
  <si>
    <t>IBM to cut more than 111,000 jobs in largest corporate lay-off ever</t>
  </si>
  <si>
    <t>b532c000-a57b-11e4-aa4f-ff16e52e0d56</t>
  </si>
  <si>
    <t>http://www.ibtimes.co.uk/ibm-cut-more-111000-jobs-this-week-largest-corporate-lay-off-ever-1485128</t>
  </si>
  <si>
    <t>Has Ebola infected Isis militants in Mosul?</t>
  </si>
  <si>
    <t>814f7530-9298-11e4-b271-b1de57982894</t>
  </si>
  <si>
    <t>http://www.ibtimes.co.uk/has-ebola-infected-militants-mosul-1481521</t>
  </si>
  <si>
    <t>WHO: Isis does not have Ebola but contingency plan being developed for Iraq</t>
  </si>
  <si>
    <t>4085a3f0-95ca-11e4-87a8-1d5d45e62193</t>
  </si>
  <si>
    <t>http://www.ibtimes.co.uk/who-isis-does-not-have-ebola-contingency-plan-being-developed-iraq-1482147</t>
  </si>
  <si>
    <t>Kim Yo-jong in Charge: Kim Jong-un's Sister Replaces North Korean Dictator During Illness</t>
  </si>
  <si>
    <t>dad40d70-4b29-11e4-9960-a165dd517bbb</t>
  </si>
  <si>
    <t>http://www.ibtimes.co.uk/kim-yo-jong-charge-kim-jong-uns-sister-replaces-north-korean-dictator-during-illness-1468375</t>
  </si>
  <si>
    <t>Apple 12-Inch MacBook Air Details Emerge Device Could Be Thinner, Lighter Than Current Model</t>
  </si>
  <si>
    <t>5b709250-96a2-11e4-87a8-1d5d45e62193</t>
  </si>
  <si>
    <t>http://www.ibtimes.com/apple-12-inch-macbook-air-details-emerge-device-could-be-thinner-lighter-current-1775640</t>
  </si>
  <si>
    <t>www.ibtimes.com</t>
  </si>
  <si>
    <t>Everything You Need To Know About Path, The Struggling Social Network In Apple's Sights</t>
  </si>
  <si>
    <t>b76d39d0-3916-11e4-ae63-d5574342724c</t>
  </si>
  <si>
    <t>http://www.ibtimes.com/everything-you-need-know-about-path-struggling-social-network-apples-sights-1684374</t>
  </si>
  <si>
    <t>Tom Brokaw Wants Brian Williams Fired Over Iraq Helicopter Story: Report</t>
  </si>
  <si>
    <t>99aee640-ae15-11e4-9a23-0b6010caa867</t>
  </si>
  <si>
    <t>http://www.ibtimes.com/tom-brokaw-wants-brian-williams-fired-over-iraq-helicopter-story-report-1807548</t>
  </si>
  <si>
    <t>Ebola Frisco 2014: Patient Shows Virus Symptoms After Apparent Thomas Eric Duncan Contact</t>
  </si>
  <si>
    <t>2aca3dd0-4f2c-11e4-949b-f14041b20838</t>
  </si>
  <si>
    <t>http://www.ibtimes.com/ebola-frisco-2014-patient-shows-virus-symptoms-after-apparent-thomas-eric-duncan-contact-1701361</t>
  </si>
  <si>
    <t>White House Chief Of Staff Denis McDonough: No Threats Were Made To Foley, Sotloff Families Over Possible Ransom</t>
  </si>
  <si>
    <t>6493d0a0-42ff-11e4-9e78-ff09d5b0049d</t>
  </si>
  <si>
    <t>http://www.ibtimes.com/white-house-chief-staff-denis-mcdonough-no-threats-were-made-foley-sotloff-families-over-1688256</t>
  </si>
  <si>
    <t>ISIS Claims It Kidnapped Gill Rosenberg, The First Western Woman To Fall Into The Group's Hands</t>
  </si>
  <si>
    <t>79e94ff0-78fd-11e4-b794-93ed794d7b91</t>
  </si>
  <si>
    <t>http://www.ibtimes.com/isis-claims-it-kidnapped-gill-rosenberg-first-western-woman-fall-groups-hands-1730941</t>
  </si>
  <si>
    <t>Israeli-Canadian Woman Captured By ISIS Says She Is Safe And Secure</t>
  </si>
  <si>
    <t>d8bb5cd0-7a1f-11e4-b794-93ed794d7b91</t>
  </si>
  <si>
    <t>http://www.ibtimes.com/israeli-canadian-woman-captured-isis-says-she-safe-secure-1731736</t>
  </si>
  <si>
    <t>iPhone 6s To Have DSLR-Quality Camera? Rumors Suggest Dual-Lens Camera, Apple Watch Force Touch Feature</t>
  </si>
  <si>
    <t>cecd5cf0-9dc9-11e4-a353-5b831fe927be</t>
  </si>
  <si>
    <t>http://www.ibtimes.com/iphone-6s-have-dslr-quality-camera-rumors-suggest-dual-lens-camera-apple-watch-force-1783936</t>
  </si>
  <si>
    <t>New ISIS Video Shows Militants Seizing Weapons Airdropped By US Near Kobani</t>
  </si>
  <si>
    <t>bba8d970-5a0c-11e4-aaf5-a1ddcfbcd5a9</t>
  </si>
  <si>
    <t>http://www.ibtimes.com/new-isis-video-shows-militants-seizing-weapons-airdropped-us-near-kobani-1709537</t>
  </si>
  <si>
    <t>ISIS Baghdad March: Islamic State 1 Mile Away From Iraqi Capital</t>
  </si>
  <si>
    <t>0d57de30-47e6-11e4-9960-a165dd517bbb</t>
  </si>
  <si>
    <t>http://www.ibtimes.com/isis-baghdad-march-islamic-state-1-mile-away-iraqi-capital-1696256</t>
  </si>
  <si>
    <t>ISIS Kobani Update: Possible ISIS Chemical Attack On Kurdish Civilians In Kobani</t>
  </si>
  <si>
    <t>e5ca40f0-5984-11e4-aaf5-a1ddcfbcd5a9</t>
  </si>
  <si>
    <t>http://www.ibtimes.com/isis-kobani-update-possible-isis-chemical-attack-kurdish-civilians-kobani-1709431#.VEb-DkOtb0o.twitter</t>
  </si>
  <si>
    <t>David Haines Beheaded By ISIS, Execution Video Contains Threats Against UK: Reports</t>
  </si>
  <si>
    <t>7c102db0-3c9b-11e4-bc0b-3f922b93930d</t>
  </si>
  <si>
    <t>http://www.ibtimes.com/david-haines-beheaded-isis-execution-video-contains-threats-against-uk-reports-1688032</t>
  </si>
  <si>
    <t>ISIS Border Crisis: DHS Chief Says Terrorists Not Entering US Through Mexico</t>
  </si>
  <si>
    <t>87c6efe0-4fc9-11e4-b6a0-9705a8f94440</t>
  </si>
  <si>
    <t>http://www.ibtimes.com/isis-border-crisis-dhs-chief-says-terrorists-not-entering-us-through-mexico-1702157</t>
  </si>
  <si>
    <t>ISIS Might Be Harvesting Organs To Finance Operations, Iraqi Envoy Tells UN</t>
  </si>
  <si>
    <t>7c970220-b777-11e4-8507-b58af63d1078</t>
  </si>
  <si>
    <t>http://www.ibtimes.com/isis-might-be-harvesting-organs-finance-operations-iraqi-envoy-tells-un-1819936</t>
  </si>
  <si>
    <t>Jihadi John Injured? ISIS Executioner May Have Been Wounded In US Airstrike: Report</t>
  </si>
  <si>
    <t>8908bbb0-6d36-11e4-8e10-b9c720c188ba</t>
  </si>
  <si>
    <t>http://www.ibtimes.com/jihadi-john-injured-isis-executioner-may-have-been-wounded-us-airstrike-report-1724384</t>
  </si>
  <si>
    <t>Purported Lisa Bonet Twitter Account Suspended After Cryptic Cosby Tweet</t>
  </si>
  <si>
    <t>0dd31100-737d-11e4-99be-fb3662a4a6dd</t>
  </si>
  <si>
    <t>http://www.ibtimes.com/purported-lisa-bonet-twitter-account-suspended-after-cryptic-cosby-tweet-1728147</t>
  </si>
  <si>
    <t>Mexico Says Missing Students Not Found In First Mass Graves</t>
  </si>
  <si>
    <t>cb10abf0-708b-11e4-8e10-b9c720c188ba</t>
  </si>
  <si>
    <t>http://www.ibtimes.com/mexico-says-missing-students-not-found-first-mass-graves-1705376</t>
  </si>
  <si>
    <t>Marijuana Law New York: How No-Arrest Policy Could Make Things Worse For Minor Offenders</t>
  </si>
  <si>
    <t>6d2ec230-6918-11e4-b528-9d5aa2d2e8e7</t>
  </si>
  <si>
    <t>http://www.ibtimes.com/marijuana-law-new-york-how-no-arrest-policy-could-make-things-worse-minor-offenders-1721508</t>
  </si>
  <si>
    <t>Fei Lin's Penis Stolen By Thieves: Chinese Man Allegedly Had Penis Stolen By Jealous Lovers</t>
  </si>
  <si>
    <t>02340030-a806-11e4-a43b-f10f6756f801</t>
  </si>
  <si>
    <t>http://www.ibtimes.com/fei-lins-penis-stolen-thieves-chinese-man-allegedly-had-penis-stolen-jealous-lovers-731888</t>
  </si>
  <si>
    <t>Is Jasmine Tridevil's Third Boob Real? Alisha Hessler Hoax Rumors Swirl</t>
  </si>
  <si>
    <t>53bd2050-6c04-11e4-b528-9d5aa2d2e8e7</t>
  </si>
  <si>
    <t>http://www.ibtimes.com/jasmine-tridevils-third-boob-real-alisha-hessler-hoax-rumors-swirl-1693867</t>
  </si>
  <si>
    <t>HBO In Talks With Apple To Be Launch Partner For Coming Web Service HBO Now: Exclusive</t>
  </si>
  <si>
    <t>bf072120-c42f-11e4-883c-a7fa7a3c5066</t>
  </si>
  <si>
    <t>http://www.ibtimes.com/hbo-talks-apple-be-launch-partner-coming-web-service-hbo-now-exclusive-1835882</t>
  </si>
  <si>
    <t>Luke Somers Dies In Rescue Attempt, Sister Says Yemeni Defense Ministry Says Unnamed US Hostage Freed</t>
  </si>
  <si>
    <t>55e15020-7d2c-11e4-8faa-9748b2fc07a1</t>
  </si>
  <si>
    <t>http://www.ibtimes.com/luke-somers-dies-rescue-attempt-sister-says-yemeni-defense-ministry-says-unnamed-us-1737549</t>
  </si>
  <si>
    <t>Officials Refute Iraqi Media Reports That ISIS Members Have Contracted Ebola In Mosul</t>
  </si>
  <si>
    <t>788f77b0-9298-11e4-b271-b1de57982894</t>
  </si>
  <si>
    <t>http://www.ibtimes.com/officials-refute-iraqi-media-reports-isis-members-have-contracted-ebola-mosul-1771792</t>
  </si>
  <si>
    <t>Did Kim Yo-Jong Take Kim Jong Un's Role? North Korea Ill Health Rumors Are Fabricated</t>
  </si>
  <si>
    <t>4c20ae30-4b29-11e4-9960-a165dd517bbb</t>
  </si>
  <si>
    <t>http://www.ibtimes.com/did-kim-yo-jong-take-kim-jong-uns-role-north-korea-ill-health-rumors-are-fabricated-1698852</t>
  </si>
  <si>
    <t>Has Kim Yo-Jong Taken Over For Kim Jong Un? Sister Assumes North Korea State Duties While Brother Undergoes Medical Treatment</t>
  </si>
  <si>
    <t>46ffd070-4b29-11e4-9960-a165dd517bbb</t>
  </si>
  <si>
    <t>http://www.ibtimes.com/has-kim-yo-jong-taken-over-kim-jong-un-sister-assumes-north-korea-state-duties-while-1698550</t>
  </si>
  <si>
    <t>Afghan Mother Kills 25 Taliban Fighters In Seven-Hour Gunbattle After Watching Her Son Slain In Ambush</t>
  </si>
  <si>
    <t>f93d27f0-76f4-11e4-b9e8-ab92b2da133c</t>
  </si>
  <si>
    <t>http://www.ibtimes.com/afghan-mother-kills-25-taliban-fighters-seven-hour-gunbattle-after-watching-her-son-1730258</t>
  </si>
  <si>
    <t>Boko Haram Cease-Fire: Abducted Nigerian Schoolgirls To Be Released, Officials Say</t>
  </si>
  <si>
    <t>6266e250-5636-11e4-aaf5-a1ddcfbcd5a9</t>
  </si>
  <si>
    <t>http://www.ibtimes.com/boko-haram-cease-fire-abducted-nigerian-schoolgirls-be-released-officials-say-1707044</t>
  </si>
  <si>
    <t>Who Is Michael Zehaf-Bibeau? Ottawa Shooter Suspect Identified By Canadian Officials</t>
  </si>
  <si>
    <t>4dd4ff60-5a47-11e4-aaf5-a1ddcfbcd5a9</t>
  </si>
  <si>
    <t>http://www.ibtimes.com/who-michael-zehaf-bibeau-ottawa-shooter-suspect-identified-canadian-officials-1710659</t>
  </si>
  <si>
    <t>Viral Photo Shows How Chinese Workers Are Used to Manipulate App Store Rankings</t>
  </si>
  <si>
    <t>da9cf040-ad73-11e4-9a23-0b6010caa867</t>
  </si>
  <si>
    <t>http://www.iclarified.com/46945/viral-photo-shows-how-chinese-workers-are-used-to-manipulate-app-store-rankings</t>
  </si>
  <si>
    <t>www.iclarified.com</t>
  </si>
  <si>
    <t>eBay working on bidding app for Apple Watch</t>
  </si>
  <si>
    <t>0dee9a70-c36d-11e4-9435-a96703525a9e</t>
  </si>
  <si>
    <t>http://www.idownloadblog.com/2015/01/28/ebay-apple-watch-app/</t>
  </si>
  <si>
    <t>www.idownloadblog.com</t>
  </si>
  <si>
    <t>iOS 8.2 arriving Monday, here are full release notes</t>
  </si>
  <si>
    <t>cfe602c0-c382-11e4-9435-a96703525a9e</t>
  </si>
  <si>
    <t>http://www.idownloadblog.com/2015/03/05/ios-8-2-could-arrive-monday-here-are-full-release-notes/</t>
  </si>
  <si>
    <t>Apple could make a Special Event in late February Update</t>
  </si>
  <si>
    <t>732c2f10-c282-11e4-8747-5b024dd6dd6c</t>
  </si>
  <si>
    <t>http://www.igen.fr/apple-watch/2015/02/apple-pourrait-faire-un-special-event-fin-fevrier-maj-89636</t>
  </si>
  <si>
    <t>www.igen.fr</t>
  </si>
  <si>
    <t>Info iGen: 500 for Apple Watch, February 14?</t>
  </si>
  <si>
    <t>b0e83ff0-c215-11e4-8747-5b024dd6dd6c</t>
  </si>
  <si>
    <t>http://www.igen.fr/apple-watch/2014/11/info-igen-500-pour-lapple-watch-le-14-fevrier-88380</t>
  </si>
  <si>
    <t>Tim Cook: I wear my Apple Watch in the shower</t>
  </si>
  <si>
    <t>ca5cf6a0-c1bc-11e4-8747-5b024dd6dd6c</t>
  </si>
  <si>
    <t>http://www.igen.fr/apple-watch/2015/02/tim-cook-je-garde-mon-apple-watch-sous-la-douche-89937</t>
  </si>
  <si>
    <t>7b3e5540-c212-11e4-8747-5b024dd6dd6c</t>
  </si>
  <si>
    <t>How did Fake Chinese News Site Dupe Washington Post, Atlantic, BBC?</t>
  </si>
  <si>
    <t>561fb5b0-822f-11e4-be1a-2d20e0ce9757</t>
  </si>
  <si>
    <t>http://www.imediaethics.org/News/4937/How_did_fake_chinese_news_site_dupe_washington_post__atlantic__bbc_.php</t>
  </si>
  <si>
    <t>www.imediaethics.org</t>
  </si>
  <si>
    <t>Satire Website Fools ESPN, Kei Nishikori isn't highest paid tennis star</t>
  </si>
  <si>
    <t>7e5b4ca0-a58a-11e4-aa4f-ff16e52e0d56</t>
  </si>
  <si>
    <t>http://www.imediaethics.org/News/10004/Satire_website_fools_espn__kei_nishikori_isnt_highest_paid_tennis_star_.php</t>
  </si>
  <si>
    <t>Al-Sisi proposes: Extend Gaza Strip into Sinai and establish Palestinian state there</t>
  </si>
  <si>
    <t>aac84ae0-391f-11e4-ae63-d5574342724c</t>
  </si>
  <si>
    <t>http://www.imra.org.il/story.php3?id=64842</t>
  </si>
  <si>
    <t>www.imra.org.il</t>
  </si>
  <si>
    <t>Isis leader Abu Bakr al-Baghdadi's wife and son detained in Lebanon</t>
  </si>
  <si>
    <t>8d050160-7af1-11e4-b794-93ed794d7b91</t>
  </si>
  <si>
    <t>http://www.independent.co.uk/news/world/middle-east/isis-leader-abu-bakr-albaghdadis-wife-and-son-detained-by-lebanese-army-9897226.html</t>
  </si>
  <si>
    <t>www.independent.co.uk</t>
  </si>
  <si>
    <t>Brighton teenage jihadi known as Khalil al-Britani killed in Syria drone strike</t>
  </si>
  <si>
    <t>e066eca0-4433-11e4-94c0-515d9d816ec6</t>
  </si>
  <si>
    <t>http://www.independent.co.uk/news/world/middle-east/brighton-jihadi-khalil-albritani-killed-in-syria-drone-strike-9754060.html</t>
  </si>
  <si>
    <t>Apple Watch Edition: special safes to be installed in Apple Stores to house luxury smart watch</t>
  </si>
  <si>
    <t>eb0c7f70-bfb8-11e4-8747-5b024dd6dd6c</t>
  </si>
  <si>
    <t>http://www.independent.co.uk/life-style/gadgets-and-tech/news/apple-watch-edition-special-safes-to-be-installed-in-apple-stores-to-house-luxury-smart-watch-10017249.html</t>
  </si>
  <si>
    <t>President of Argentina adopts Jewish godson to stop him turning into a werewolf</t>
  </si>
  <si>
    <t>62d1cae0-8f96-11e4-9799-c7e75be2bcad</t>
  </si>
  <si>
    <t>http://www.independent.co.uk/news/world/americas/president-of-argentina-adopts-jewish-godson-to-stop-him-turning-into-a-werewolf-9946414.html</t>
  </si>
  <si>
    <t>Banksy not arrested: Internet duped by fake report claiming artist's identity revealed</t>
  </si>
  <si>
    <t>bc8593e0-5856-11e4-aaf5-a1ddcfbcd5a9</t>
  </si>
  <si>
    <t>http://www.independent.co.uk/news/people/banksy-arrest-hoax-internet-duped-by-fake-report-claiming-that-the-street-artists-identity-has-been-revealed-9806157.html</t>
  </si>
  <si>
    <t>Banksy's illustrated response to the Charlie Hebdo attack isn't by Banksy. But it is striking</t>
  </si>
  <si>
    <t>e2292c80-9729-11e4-87a8-1d5d45e62193</t>
  </si>
  <si>
    <t>http://www.independent.co.uk/news/people/banksys-striking-illustrated-response-to-the-charlie-hebdo-attack-9964198.html</t>
  </si>
  <si>
    <t>L Jinny: London rapper turned jihadist believed to be under investigation for James Foley beheading</t>
  </si>
  <si>
    <t>d4fab6e0-2bf5-11e4-89c5-1d389b94bc4b</t>
  </si>
  <si>
    <t>http://www.independent.co.uk/news/world/middle-east/james-foley-beheading-london-rapper-turned-jihadist-believed-to-be-under-investigation-for-murder-of-journalist-in-syria-9687216.html</t>
  </si>
  <si>
    <t>No, Vladimir Putin did not get pooped on by a bird during a First World War speech</t>
  </si>
  <si>
    <t>ea7e1760-1bff-11e4-8c09-cd48fe37674e</t>
  </si>
  <si>
    <t>http://www.independent.co.uk/news/world/europe/no-vladimir-putin-did-not-get-pooped-on-by-a-bird-during-a-first-world-war-speech-9647223.html</t>
  </si>
  <si>
    <t>Five reasons Crabzilla is definitely not real</t>
  </si>
  <si>
    <t>0d9251d0-555d-11e4-aaf5-a1ddcfbcd5a9</t>
  </si>
  <si>
    <t>http://www.independent.co.uk/news/five-reasons-why-crabzilla-is-definitely-not-real-9794056.html</t>
  </si>
  <si>
    <t>The cub of Baghdadi: Has this boy become the youngest victim yet of Isis's use of child soldiers?</t>
  </si>
  <si>
    <t>b406ca60-4f1c-11e4-949b-f14041b20838</t>
  </si>
  <si>
    <t>http://www.independent.co.uk/news/world/middle-east/the-cub-of-baghdadi-has-this-boy-become-the-youngest-victim-of-isiss-use-of-child-soldiers-9782843.html</t>
  </si>
  <si>
    <t>Dog found abandoned outside railway station with suitcase of his belongings</t>
  </si>
  <si>
    <t>137b0a20-969d-11e4-87a8-1d5d45e62193</t>
  </si>
  <si>
    <t>http://www.independent.co.uk/news/uk/dog-found-abandoned-outside-railway-station-with-suitcase-of-his-belongings-9960333.html</t>
  </si>
  <si>
    <t>No hard evidence of Isis claims it kidnapped Canadian-Israeli woman Gill Rosenberg</t>
  </si>
  <si>
    <t>b7bd6ce0-7965-11e4-b794-93ed794d7b91</t>
  </si>
  <si>
    <t>http://www.independent.co.uk/news/world/middle-east/no-hard-evidence-of-isis-claims-it-kidnapped-canadianisraeli-woman-gill-rosenberg-9895318.html</t>
  </si>
  <si>
    <t>Hugh Hefner dead: Playboy founder makes it to film night despite mortality rumours</t>
  </si>
  <si>
    <t>bc52b600-8f6a-11e4-9799-c7e75be2bcad</t>
  </si>
  <si>
    <t>http://www.independent.co.uk/news/people/hugh-hefner-is-not-dead-playboy-founder-makes-it-to-film-night-despite-mortality-rumours-9948311.html</t>
  </si>
  <si>
    <t>Lynch mob chop man's penis off after catching him allegedly trying to rape teenager</t>
  </si>
  <si>
    <t>4c5bf6a0-a4c7-11e4-aa4f-ff16e52e0d56</t>
  </si>
  <si>
    <t>http://www.independent.co.uk/news/world/asia/lynch-mob-chop-mans-penis-off-after-catching-him-allegedly-trying-to-rape-teenager-9787746.html</t>
  </si>
  <si>
    <t>iPhone 6 hairgate: Users encounter latest Apple problem after bendgate</t>
  </si>
  <si>
    <t>5e2b4070-4e5f-11e4-949b-f14041b20838</t>
  </si>
  <si>
    <t>http://www.independent.co.uk/life-style/gadgets-and-tech/forget-bendgate-now-hairgate-is-apples-latest-problem-with-the-iphone-6-9777301.html</t>
  </si>
  <si>
    <t>Isis just one mile from Baghdad as al-Qaeda fighters join forces against Syria air strikes</t>
  </si>
  <si>
    <t>128c6b00-47e6-11e4-9960-a165dd517bbb</t>
  </si>
  <si>
    <t>http://www.independent.co.uk/news/world/middle-east/islamic-state-crisis-alqaeda-fighters-joining-forces-with-isis-against-air-strikes-in-syria-9761392.html</t>
  </si>
  <si>
    <t>Iraq's ambassador urges UN to investigate claims Isis is harvesting organs: We have bodies - it is clear they are missing certain parts</t>
  </si>
  <si>
    <t>60e1f5d0-b777-11e4-8507-b58af63d1078</t>
  </si>
  <si>
    <t>http://www.independent.co.uk/news/world/middle-east/iraqs-ambassador-urges-un-to-investigate-claims-isis-is-harvesting-organs-we-have-bodies--it-is-clear-they-are-missing-certain-parts-10052758.html</t>
  </si>
  <si>
    <t>Islamic State releases video apparently showing the beheading of missing US journalist James Foley</t>
  </si>
  <si>
    <t>a76737d0-2803-11e4-a916-bf0b27b73ad5</t>
  </si>
  <si>
    <t>http://www.independent.co.uk/news/world/middle-east/islamic-state-releases-video-apparently-showing-the-beheading-of-missing-us-journalist-james-foley-9679753.html</t>
  </si>
  <si>
    <t>Enormous 20-stone catfish caught with fishing rod in Italy after 40-minute boat battle</t>
  </si>
  <si>
    <t>c4fcac00-bd34-11e4-b073-ed15c88bfa1e</t>
  </si>
  <si>
    <t>http://www.independent.co.uk/news/world/europe/enormous-20stone-catfish-caught-with-fishing-rod-in-italy-after-40minute-boat-battle-10069898.html</t>
  </si>
  <si>
    <t>Nun gives birth to surprise baby after complaining of stomach pains</t>
  </si>
  <si>
    <t>9f54e340-a435-11e4-aa4f-ff16e52e0d56</t>
  </si>
  <si>
    <t>http://www.independent.co.uk/news/world/europe/nun-gives-birth-to-surprise-baby-after-complaining-of-stomach-pains-10000320.html</t>
  </si>
  <si>
    <t>Jihadi John: Isis fighter named as Mohammed Emwazi from west London</t>
  </si>
  <si>
    <t>ba20b9a0-bdb3-11e4-b073-ed15c88bfa1e</t>
  </si>
  <si>
    <t>http://www.independent.co.uk/news/world/middle-east/isis-fighter-jihadi-john-named-as-mohammed-emwazi-from-west-london-10071805.html</t>
  </si>
  <si>
    <t>Mohammed Emwazi: Man identified as Isis killer Jihadi John was stopped by MI5 while on safari holiday in Africa in 2010</t>
  </si>
  <si>
    <t>824b42c0-bdb8-11e4-b073-ed15c88bfa1e</t>
  </si>
  <si>
    <t>http://www.independent.co.uk/news/world/middle-east/mohammed-emwazi-man-identified-as-isis-killer-jihadi-john-was-stopped-by-mi5-while-on-safari-holiday-in-africa-in-2010-10071972.html</t>
  </si>
  <si>
    <t>Kim Jong-un: North Korean leader recovering from ankle surgery</t>
  </si>
  <si>
    <t>d1bb3e90-48d9-11e4-9960-a165dd517bbb</t>
  </si>
  <si>
    <t>http://www.independent.co.uk/news/world/asia/kim-jongun-absent-north-korean-leader-is-recovering-from-ankle-surgery-9765375.html</t>
  </si>
  <si>
    <t>Sorry, KFC isn't going to be selling weed in Colorado restaurants</t>
  </si>
  <si>
    <t>64aec0e0-c2de-11e4-8747-5b024dd6dd6c</t>
  </si>
  <si>
    <t>http://www.independent.co.uk/news/world/americas/sorry-kfc-isnt-going-to-be-selling-weed-in-colorado-restaurants-10084253.html</t>
  </si>
  <si>
    <t>South Korean woman freed by firefighters after robot vacuum cleaner eats her hair as she sleeps</t>
  </si>
  <si>
    <t>93c10bd0-b097-11e4-9a23-0b6010caa867</t>
  </si>
  <si>
    <t>http://www.independent.co.uk/news/world/asia/south-korean-woman-freed-by-firefighters-after-robot-vacuum-cleaner-eats-her-hair-as-she-sleeps-10032921.html</t>
  </si>
  <si>
    <t>Lego letter from the 1970s still offers a powerful message to parents 40 years later</t>
  </si>
  <si>
    <t>7e9291e0-7409-11e4-99be-fb3662a4a6dd</t>
  </si>
  <si>
    <t>http://www.independent.co.uk/news/lego-letter-from-the-1970s-still-offers-a-powerful-message-to-parents-40-years-later-9878303.html</t>
  </si>
  <si>
    <t>Macaulay Culkin death hoax: Rumours about former child star confirmed as false</t>
  </si>
  <si>
    <t>b42c1390-67b0-11e4-b528-9d5aa2d2e8e7</t>
  </si>
  <si>
    <t>http://www.independent.co.uk/news/people/news/macaulay-culkin-death-claims-about-former-child-star-revealed-to-be-yet-another-hoax-9848842.html</t>
  </si>
  <si>
    <t>Psychoactive magic mushroom found in grounds of Buckingham Palace</t>
  </si>
  <si>
    <t>d76b2660-83f4-11e4-b1b5-4f1bd36cbfc6</t>
  </si>
  <si>
    <t>http://www.independent.co.uk/news/uk/psychoactive-magic-mushroom-found-in-grounds-of-buckingham-palace-9919593.html</t>
  </si>
  <si>
    <t>Charles Manson wedding off after it emerges that fiancee Afton Elaine Burton just wanted his corpse for display</t>
  </si>
  <si>
    <t>7d5439f0-b11c-11e4-9a23-0b6010caa867</t>
  </si>
  <si>
    <t>http://www.independent.co.uk/news/people/charles-manson-wedding-off-after-it-emerges-that-girlfriend-afton-elaine-burton-just-wanted-his-corpse-for-display-10034793.html</t>
  </si>
  <si>
    <t>Video: Marine saved by helmet after Taliban sniper attack</t>
  </si>
  <si>
    <t>76403350-5549-11e4-b6a0-9705a8f94440</t>
  </si>
  <si>
    <t>http://www.independent.co.uk/news/world/middle-east/video-marine-saved-by-helmet-after-taliban-sniper-attack-9798795.html</t>
  </si>
  <si>
    <t>Nicaragua meteorite: Experts attempt to understand whether mysterious meteorite fell from passing Pitbull asteroid</t>
  </si>
  <si>
    <t>23a10240-3849-11e4-ae63-d5574342724c</t>
  </si>
  <si>
    <t>http://www.independent.co.uk/news/world/americas/nicaragua-meteorite-experts-attempt-to-understand-whether-mysterious-meteorite-fell-from-passing-pitbull-asteroid-9719303.html</t>
  </si>
  <si>
    <t>Nine-year-old girl writes letter to amazing, fantastic teacher after he comes out as gay</t>
  </si>
  <si>
    <t>76e713f0-8618-11e4-b1b5-4f1bd36cbfc6</t>
  </si>
  <si>
    <t>http://www.independent.co.uk/news/uk/nineyearold-girl-writes-letter-to-amazing-fantastic-teacher-after-he-comes-out-as-gay-9927411.html</t>
  </si>
  <si>
    <t>North Korea denies reports Kim Jong-un is to open state-backed restaurant in Scotland</t>
  </si>
  <si>
    <t>21d4d6a0-9b16-11e4-bf59-1bb8b99952ce</t>
  </si>
  <si>
    <t>http://www.independent.co.uk/news/people/north-korea-denies-reports-kim-jongun-is-to-open-statebacked-restaurant-in-scotland-9972483.html</t>
  </si>
  <si>
    <t>Low-level marijuana possession could soon land you a ticket instead of arrest in New York City</t>
  </si>
  <si>
    <t>856572a0-6917-11e4-b528-9d5aa2d2e8e7</t>
  </si>
  <si>
    <t>http://www.independent.co.uk/news/world/americas/lowlevel-marijuana-possession-could-soon-land-you-a-ticket-instead-of-arrest-in-new-york-city-9851731.html</t>
  </si>
  <si>
    <t>No, the world's oldest tree has not been accidentally cut down by loggers in the Amazon</t>
  </si>
  <si>
    <t>3b350590-807f-11e4-8faa-9748b2fc07a1</t>
  </si>
  <si>
    <t>http://www.independent.co.uk/news/world/americas/no-the-worlds-oldest-tree-has-not-been-accidentally-cut-down-by-loggers-in-the-amazon-9915272.html</t>
  </si>
  <si>
    <t>Nasa Confirms Six Days of Darkness in December: No, they don't - it's a hoax</t>
  </si>
  <si>
    <t>d52b45f0-5efc-11e4-a887-2324afc3f9a8</t>
  </si>
  <si>
    <t>http://www.independent.co.uk/news/science/nasa-confirms-six-days-of-darkness-in-december-no-they-really-dont--its-a-hoax-9822744.html</t>
  </si>
  <si>
    <t>Steven Sotloff beheading: British captive shown in Isis video which claims to show death of second US journalist</t>
  </si>
  <si>
    <t>1f862640-32cc-11e4-8453-710264d9a1f8</t>
  </si>
  <si>
    <t>http://www.independent.co.uk/news/world/middle-east/steven-sotloff-beheading-islamic-state-fighters-release-video-claiming-to-show-death-of-second-us-journalist-9707200.html</t>
  </si>
  <si>
    <t>Spider burrowed through tourist's stomach and up into his chest</t>
  </si>
  <si>
    <t>8c695540-5660-11e4-aaf5-a1ddcfbcd5a9</t>
  </si>
  <si>
    <t>http://www.independent.co.uk/news/world/australasia/spider-burrowed-through-tourists-stomach-and-up-into-his-chest-9799584.html</t>
  </si>
  <si>
    <t>Kim Jong-Un bans the name Kim Jong-un</t>
  </si>
  <si>
    <t>511f2790-7b94-11e4-b794-93ed794d7b91</t>
  </si>
  <si>
    <t>http://www.independent.co.uk/news/people/kim-jongun-bans-the-name-kim-jongun-9900128.html</t>
  </si>
  <si>
    <t>Conde Nast's rat problem at One World Trade Centre: From red carpets to rodent droppings</t>
  </si>
  <si>
    <t>ce70d210-83bf-11e4-b1b5-4f1bd36cbfc6</t>
  </si>
  <si>
    <t>http://www.independent.co.uk/news/world/americas/conde-nasts-rat-problem-at-one-world-trade-centre-from-red-carpets-to-rodent-droppings-9921375.html</t>
  </si>
  <si>
    <t>Abu Bakr al-Baghdadi's fate still unknown after US air strike on Isis as Iraqi forces enter Baiji</t>
  </si>
  <si>
    <t>e16ea890-68e6-11e4-b528-9d5aa2d2e8e7</t>
  </si>
  <si>
    <t>http://www.independent.co.uk/news/world/middle-east/abu-bakr-baghdadis-fate-still-unknown-after-us-air-strike-on-isis-as-iraqi-forces-enter-baiji-9850102.html</t>
  </si>
  <si>
    <t>Isis air strikes: Abu Bakr al-Baghdadi critically wounded in air strikes near Mosul</t>
  </si>
  <si>
    <t>ae26c260-68e6-11e4-b528-9d5aa2d2e8e7</t>
  </si>
  <si>
    <t>http://www.independent.co.uk/news/world/middle-east/isis-air-strikes-usled-coalition-bombs-convoy-of-militant-leaders-leaving-abu-bakr-albaghdadi-critically-wounded-9849411.html</t>
  </si>
  <si>
    <t>Indian bride marries wedding guest after husband has epileptic seizure during ceremony</t>
  </si>
  <si>
    <t>a4f375f0-b790-11e4-8507-b58af63d1078</t>
  </si>
  <si>
    <t>http://www.independent.co.uk/news/world/asia/indian-bride-marries-wedding-guest-after-husband-has-epileptic-seizure-during-ceremony-10053824.html</t>
  </si>
  <si>
    <t>Luke Somers killed: Barack Obama condemns the barbaric murder of British-born photojournalist by al-Qaeda</t>
  </si>
  <si>
    <t>5bac0270-7d2c-11e4-8faa-9748b2fc07a1</t>
  </si>
  <si>
    <t>http://www.independent.co.uk/news/world/middle-east/luke-somers-britishborn-photojournalist-killed-by-alqaeda-after-failed-rescue-attempt-in-yemen-9907719.html</t>
  </si>
  <si>
    <t>A wonderful, wonderful sound: Man breaks down after hearing voicemail from his late wife that was lost for 14 years</t>
  </si>
  <si>
    <t>0555f5e0-a8a4-11e4-a133-7514623ae047</t>
  </si>
  <si>
    <t>http://www.independent.co.uk/news/uk/a-wonderful-wonderful-sound-man-breaks-down-after-hearing-voicemail-from-his-late-wife-lost-for-14-years-10011247.html</t>
  </si>
  <si>
    <t>Isis behead their own fighters for spying and embezzlement in Syria</t>
  </si>
  <si>
    <t>b3454c70-552d-11e4-b6a0-9705a8f94440</t>
  </si>
  <si>
    <t>http://www.independent.co.uk/news/world/middle-east/isis-behead-their-own-fighters-for-spying-and-embezzlement-in-syria-9797687.html</t>
  </si>
  <si>
    <t>Reports Isis fighters have contracted Ebola are incorrect, says Iraqi health ministry</t>
  </si>
  <si>
    <t>d1e7db50-92b0-11e4-b271-b1de57982894</t>
  </si>
  <si>
    <t>http://www.independent.co.uk/news/world/middle-east/reports-isis-fighters-have-contracted-ebola-are-incorrect-says-iraqi-health-ministry-9954055.html</t>
  </si>
  <si>
    <t>Boko Haram will release abducted schoolgirls and agree to ceasefire claims Nigerian official</t>
  </si>
  <si>
    <t>17404c30-5636-11e4-aaf5-a1ddcfbcd5a9</t>
  </si>
  <si>
    <t>http://www.independent.co.uk/news/world/africa/abducted-schoolgirls-to-be-released-as-nigeria-and-boko-haram-agree-ceasefire-9802306.html</t>
  </si>
  <si>
    <t>Kidnapped Nigerian schoolgirls: Government claims ceasefire deal with Boko Haram that will bring missing girls home</t>
  </si>
  <si>
    <t>10812d00-57d1-11e4-aaf5-a1ddcfbcd5a9</t>
  </si>
  <si>
    <t>http://www.independent.co.uk/news/world/africa/kidnapped-nigerian-schoolgirls-government-claims-ceasefire-deal-with-boko-haram-that-will-bring-the-missing-girls-home-9804290.html</t>
  </si>
  <si>
    <t>Ottawa shooting: Nathan Cirillo named as dead soldier while suspect identified as Michael Zehaf-Bibeau</t>
  </si>
  <si>
    <t>78648930-5a47-11e4-aaf5-a1ddcfbcd5a9</t>
  </si>
  <si>
    <t>http://www.independent.co.uk/news/world/americas/ottawa-shooting-slain-soldier-named-as-nathan-cirillo-while-suspect-identified-as-michael-zehafbibeau-9812244.html</t>
  </si>
  <si>
    <t>dc363700-a435-11e4-aa4f-ff16e52e0d56</t>
  </si>
  <si>
    <t>http://www.independent.ie/world-news/europe/nun-gives-birth-to-surprise-baby-after-complaining-of-stomach-pains-30934639.html</t>
  </si>
  <si>
    <t>www.independent.ie</t>
  </si>
  <si>
    <t>Doc calls macabre selfie claims completely crazy</t>
  </si>
  <si>
    <t>67f4eac0-41f3-11e4-9e78-ff09d5b0049d</t>
  </si>
  <si>
    <t>http://www.independent.ie/style/celebrity/celebrity-news/doc-calls-macabre-selfie-claims-completely-crazy-30603003.html</t>
  </si>
  <si>
    <t>Lynch Mob Castrates Alleged Rapist In Rajasthan</t>
  </si>
  <si>
    <t>91fe2ae0-a4ca-11e4-aa4f-ff16e52e0d56</t>
  </si>
  <si>
    <t>http://www.indiatimes.com/culture/who-we-are/lynch-mob-strikes-again-and-castrates-alleged-rapist-in-rajasthan-227943.html</t>
  </si>
  <si>
    <t>www.indiatimes.com</t>
  </si>
  <si>
    <t>The Groom Was Sick, So The Bride Married A Guest At Her Wedding In A Fit Of Rage</t>
  </si>
  <si>
    <t>98c1aa40-b790-11e4-8507-b58af63d1078</t>
  </si>
  <si>
    <t>http://www.indiatimes.com/news/india/the-groom-was-sick-so-the-bride-married-a-guest-at-her-wedding-in-a-fit-of-rage-230329.html</t>
  </si>
  <si>
    <t>Rumors Swirling About Israel's Shocking Sinai Endgame Plan for Palestinians in Gaza</t>
  </si>
  <si>
    <t>e195bf60-54ec-11e4-b6a0-9705a8f94440</t>
  </si>
  <si>
    <t>http://www.indybay.org/newsitems/2014/10/13/18762820.php</t>
  </si>
  <si>
    <t>www.indybay.org</t>
  </si>
  <si>
    <t>IRAQ ACCUSES BRITAIN OF DELIVERING WEAPONS TO ISLAMIC STATE</t>
  </si>
  <si>
    <t>b1fc9a50-bd2c-11e4-b073-ed15c88bfa1e</t>
  </si>
  <si>
    <t>http://www.infowars.com/iraq-accuses-britain-of-delivering-weapons-to-islamic-state/</t>
  </si>
  <si>
    <t>www.infowars.com</t>
  </si>
  <si>
    <t>Abdel-Majed Abdel Bary: London Rapper Identified As ISIS Militant Who Beheaded James Foley</t>
  </si>
  <si>
    <t>1a64ba50-2c8c-11e4-89c5-1d389b94bc4b</t>
  </si>
  <si>
    <t>http://www.inquisitr.com/1429387/abdel-majed-abdel-bary-london-rapper-identified-as-isis-militant-who-beheaded-james-foley/</t>
  </si>
  <si>
    <t>www.inquisitr.com</t>
  </si>
  <si>
    <t>Russian Yeti Or Bigfoot Hoax? New Footage Sparks Debate</t>
  </si>
  <si>
    <t>3eb222d0-9d25-11e4-bf59-1bb8b99952ce</t>
  </si>
  <si>
    <t>http://www.inquisitr.com/1755492/russian-yeti-or-bigfoot-hoax-new-footage-sparks-debate/</t>
  </si>
  <si>
    <t>Seven High School Girls Get Pregnant On Five-Day School Trip, Parents Outraged</t>
  </si>
  <si>
    <t>4ae9e7a0-8abe-11e4-adc5-33f8455b16a2</t>
  </si>
  <si>
    <t>http://www.inquisitr.com/1698995/seven-high-school-girls-get-pregnant-on-school-trip/</t>
  </si>
  <si>
    <t>Dzhokhar Tsarnaev Beaten In Prison? Satirical Site Claims Boston Marathon Bombing Suspect Blinded And Paralyzed</t>
  </si>
  <si>
    <t>bdc3a200-9ffb-11e4-a353-5b831fe927be</t>
  </si>
  <si>
    <t>http://www.inquisitr.com/1764947/dzhokhar-tsarnaev-beaten-in-prison-satirical-site-claims-boston-marathon-bombing-suspect-blinded-and-paralyzed/</t>
  </si>
  <si>
    <t>No, Michael Jackson Isn't Bruno Mars Dad</t>
  </si>
  <si>
    <t>f2f98af0-94d6-11e4-b6bf-fdc8b7e3bcff</t>
  </si>
  <si>
    <t>http://www.inquisitr.com/1715331/no-michael-jackson-isnt-bruno-mars-dad/</t>
  </si>
  <si>
    <t>Crabzilla: Photo Appears To Show Giant, 50-Foot Crab Lurking In British Waters</t>
  </si>
  <si>
    <t>2a673090-555e-11e4-aaf5-a1ddcfbcd5a9</t>
  </si>
  <si>
    <t>http://www.inquisitr.com/1537821/crabzilla-photo-appears-to-show-giant-50-foot-crab-lurking-in-british-waters/</t>
  </si>
  <si>
    <t>Former Porn Star Behind YouTube Sensation DC Toy Collector, Makes 5 Million Per Year Unboxing Disney Toys</t>
  </si>
  <si>
    <t>7d2ca1a0-bd39-11e4-b073-ed15c88bfa1e</t>
  </si>
  <si>
    <t>http://www.inquisitr.com/1870478/former-porn-star-behind-youtube-sensation-dc-toy-collector-makes-5-million-per-year-unboxing-disney-toys/</t>
  </si>
  <si>
    <t>Fidel Castro Dead? Yes, He Is But The Cuban Leader Is Alive, Death Rumors Proven False</t>
  </si>
  <si>
    <t>aabfc580-98fd-11e4-bf59-1bb8b99952ce</t>
  </si>
  <si>
    <t>http://www.inquisitr.com/1742456/fidel-castro-dead-yes-he-is-but-the-cuban-leader-is-alive-death-is-proven-false/</t>
  </si>
  <si>
    <t>James Foley's Family Claims Government Threatened Them Over Ransom Payments</t>
  </si>
  <si>
    <t>c29b6dd0-42fe-11e4-9e78-ff09d5b0049d</t>
  </si>
  <si>
    <t>http://www.inquisitr.com/1471467/james-foleys-family-claims-government-threatened-them-over-ransom-payments/</t>
  </si>
  <si>
    <t>Saudi Arabia Airline Segregation: New Islamic Law Takes Flight On Airliner, Seating By Gender Coming Soon</t>
  </si>
  <si>
    <t>ac4a3bd0-9478-11e4-b6bf-fdc8b7e3bcff</t>
  </si>
  <si>
    <t>http://www.inquisitr.com/1721945/saudi-arabia-airline-segregation-new-islamic-law-takes-flight-on-airliner-seating-by-gender-coming-soon/</t>
  </si>
  <si>
    <t>Saudi Airlines Sexist: Airline Intends To Enforce Rules To Separate Male And Female Passengers</t>
  </si>
  <si>
    <t>b96f4120-9478-11e4-b6bf-fdc8b7e3bcff</t>
  </si>
  <si>
    <t>http://www.inquisitr.com/1726286/saudi-airlines-sexist-airline-intends-to-enforce-rules-to-separate-male-and-female-passengers/</t>
  </si>
  <si>
    <t>NYC High School Student Nicknamed Teen Wolf Made 72 Million On Stock Market</t>
  </si>
  <si>
    <t>24b53650-8485-11e4-b1b5-4f1bd36cbfc6</t>
  </si>
  <si>
    <t>http://www.inquisitr.com/1680073/nyc-high-school-student-nicknamed-teen-wolf-made-72-million-on-stock-market/</t>
  </si>
  <si>
    <t>See How This Homeless Man Spends A Hundred Dollars, And Keep A Tissue Handy Video</t>
  </si>
  <si>
    <t>3b135910-9220-11e4-9799-c7e75be2bcad</t>
  </si>
  <si>
    <t>http://www.inquisitr.com/1699830/homeless-man-hundred-dollars-josh-paler-lin/</t>
  </si>
  <si>
    <t>Viral Video Of Homeless Man Spending 100 On Food For Other Homeless Was Faked, Witness Says</t>
  </si>
  <si>
    <t>536ab0e0-921f-11e4-9799-c7e75be2bcad</t>
  </si>
  <si>
    <t>http://www.inquisitr.com/1718260/vira-video-homeless-faked/</t>
  </si>
  <si>
    <t>Hugh Hefner Found Dead But Still Makes It To Family Movie Night</t>
  </si>
  <si>
    <t>87609e10-8f71-11e4-9799-c7e75be2bcad</t>
  </si>
  <si>
    <t>http://www.inquisitr.com/1712933/hugh-hefner-found-dead-but-still-makes-it-to-family-movie-night/</t>
  </si>
  <si>
    <t>ISIS Is One Mile From Baghdad</t>
  </si>
  <si>
    <t>7c7fbd60-4899-11e4-9960-a165dd517bbb</t>
  </si>
  <si>
    <t>http://www.inquisitr.com/1507460/isis-is-one-mile-from-baghdad/</t>
  </si>
  <si>
    <t>ISIS Leader Killed: Abu Bakr Al-Baghdadi Reportedly Killed By U.S. Airstrike</t>
  </si>
  <si>
    <t>b4562180-3673-11e4-ae63-d5574342724c</t>
  </si>
  <si>
    <t>http://www.inquisitr.com/1457912/isis-leader-killed-abu-bakr-al-baghdadi-reportedly-killed-by-u-s-airstrike/</t>
  </si>
  <si>
    <t>70b98c30-36bb-11e4-ae63-d5574342724c</t>
  </si>
  <si>
    <t>http://www.inquisitr.com/1457912/isis-leader-killed-abu-bakr-al-baghdadi-reportedly-killed-by-u-s-airstrike/#8xLfSZDu4SSzXweh.99</t>
  </si>
  <si>
    <t>280 Pound Catfish: Fisherman Makes Huge Catch In Italy, Catfish Could Set Record</t>
  </si>
  <si>
    <t>b229cb30-bd34-11e4-b073-ed15c88bfa1e</t>
  </si>
  <si>
    <t>http://www.inquisitr.com/1872155/280-pound-catfish-fisherman-makes-huge-catch-in-italy-catfish-might-set-record/</t>
  </si>
  <si>
    <t>Switzerland's Assassination, Kim Jong Un Might Die From Cheese Overdose</t>
  </si>
  <si>
    <t>5d35d980-4583-11e4-a79e-01321ca3a48d</t>
  </si>
  <si>
    <t>http://www.inquisitr.com/1482397/switzerlands-assassination-kim-jong-un-might-die-from-cheese-overdose/</t>
  </si>
  <si>
    <t>Judd Nelson Proof Of Life After Death Hoax: FOX News Impersonator Claims Actor Found Dead In Los Angeles Condo Updated</t>
  </si>
  <si>
    <t>4ba36960-5d68-11e4-a887-2324afc3f9a8</t>
  </si>
  <si>
    <t>http://www.inquisitr.com/1564847/judd-nelson-death-hoax-fox-news-impersonator-claims-actor-found-dead-in-los-angeles-condo/</t>
  </si>
  <si>
    <t>KFC Marijuana Sales To Begin In Colorado? It's Unbelievable Literally</t>
  </si>
  <si>
    <t>69fa5820-c2de-11e4-8747-5b024dd6dd6c</t>
  </si>
  <si>
    <t>http://www.inquisitr.com/1892909/kfc-marijuana-sales-begin-colorado/</t>
  </si>
  <si>
    <t>Led Zeppelin Reunion: Robert Plant Rips Up 300 Million Contract, Refuses To Rejoin Legendary Band</t>
  </si>
  <si>
    <t>36681bb0-68fb-11e4-b528-9d5aa2d2e8e7</t>
  </si>
  <si>
    <t>http://www.inquisitr.com/1596388/led-zeppelin-reunion-robert-plant/</t>
  </si>
  <si>
    <t>Macaulay Culkin Dead: Internet Death Hoax Claims Actor Found Dead In Apartment</t>
  </si>
  <si>
    <t>cc0d3480-67b0-11e4-b528-9d5aa2d2e8e7</t>
  </si>
  <si>
    <t>http://www.inquisitr.com/1594427/macaulay-culkin-dead-internet-death-hoax-claims-actor-found-dead-in-apartment/</t>
  </si>
  <si>
    <t>Charles Manson Wedding Off: Fiancee's Morbid Plan To Exploit His Corpse Emerges</t>
  </si>
  <si>
    <t>9d1f43b0-b11c-11e4-9a23-0b6010caa867</t>
  </si>
  <si>
    <t>http://www.inquisitr.com/1828178/charles-manson-wedding-off-fiancees-morbid-plan-to-exploit-his-corpse-emerges/</t>
  </si>
  <si>
    <t>Updated Saudi State Television Allegedly Blurs Michelle Obama's Face During Meeting With New Saudi King</t>
  </si>
  <si>
    <t>9e340af0-a69b-11e4-aa4f-ff16e52e0d56</t>
  </si>
  <si>
    <t>http://www.inquisitr.com/1793130/saudi-state-television-blurs-michelle-obamas-face-during-meeting-with-new-saudi-king/</t>
  </si>
  <si>
    <t>Zombie Cat: Buried Cat Claws Way Out Of Grave After Being Left For Dead</t>
  </si>
  <si>
    <t>15dead10-a68a-11e4-aa4f-ff16e52e0d56</t>
  </si>
  <si>
    <t>http://www.inquisitr.com/1791945/zombie-cat-buried-cat-claws-way-out-of-grave-after-being-left-for-dead/</t>
  </si>
  <si>
    <t>Man's Penis Destroyed By Battery Acid Over Viral Sex Video In South Africa</t>
  </si>
  <si>
    <t>c35bd9a0-abe3-11e4-9a23-0b6010caa867</t>
  </si>
  <si>
    <t>http://www.inquisitr.com/1810121/mans-penis-destroyed-by-acid-over-viral-sex-video-in-south-africa/</t>
  </si>
  <si>
    <t>Mariam Al Mansouri: Female Fighter Pilot Disowned By Family For Bombing ISIS Terrorists In Syria</t>
  </si>
  <si>
    <t>c3cd2ca0-4657-11e4-a79e-01321ca3a48d</t>
  </si>
  <si>
    <t>http://www.inquisitr.com/1500649/mariam-al-mansouri-female-pilot-disowned-by-family-for-bombing-isis-terrorists-in-syria/</t>
  </si>
  <si>
    <t>Predator Drone Reportedly Spotted Over ISIS Hotbed in Syria Airstrikes Hit ISIS Targets</t>
  </si>
  <si>
    <t>9a5241e0-3616-11e4-ae63-d5574342724c</t>
  </si>
  <si>
    <t>http://www.inquisitr.com/1457161/drone-spotted-over-isis/</t>
  </si>
  <si>
    <t>Catholic Priest Dead For 48 Minutes, Is Miraculously Revived His Revelations About God Are Even More Shocking</t>
  </si>
  <si>
    <t>3da97680-ba9f-11e4-b073-ed15c88bfa1e</t>
  </si>
  <si>
    <t>http://www.inquisitr.com/1864245/catholic-priest-dead-for-48-minutes-is-miraculously-revived-his-revelations-about-god-are-even-more-shocking/</t>
  </si>
  <si>
    <t>Joan Rivers Death Preventable? Melissa Rivers Taking Legal Action, News Of Doctor's Selfie Surfaces</t>
  </si>
  <si>
    <t>b5a08060-3e09-11e4-bc0b-3f922b93930d</t>
  </si>
  <si>
    <t>http://www.inquisitr.com/1479785/joan-rivers-death-preventable-melissa-rivers-taking-legal-action-learns-of-doctors-selfie/</t>
  </si>
  <si>
    <t>Saudi Arabia Cleric Issues Fatwa Against Building Snowmen</t>
  </si>
  <si>
    <t>5ed56f70-9a98-11e4-bf59-1bb8b99952ce</t>
  </si>
  <si>
    <t>http://www.inquisitr.com/1749354/fatwa-snowmen-saudi-arabia-cleric/</t>
  </si>
  <si>
    <t>Bergdahl: Senator Says Jihadists Swapped For U.S. Troop In Touch With Al-Qaida Affiliate</t>
  </si>
  <si>
    <t>f29109b0-a8a1-11e4-a133-7514623ae047</t>
  </si>
  <si>
    <t>http://www.inquisitr.com/1799912/bergdahl-senator-says-jihadists-swapped-for-u-s-troop-in-touch-with-al-qaida-affiliate/</t>
  </si>
  <si>
    <t>Tiger Woods Is Selling His Private Island For 7.1 Million</t>
  </si>
  <si>
    <t>11d39d90-9a80-11e4-bf59-1bb8b99952ce</t>
  </si>
  <si>
    <t>http://www.inquisitr.com/1747372/tiger-woods-is-selling-his-private-island-for-7-1-million/</t>
  </si>
  <si>
    <t>Transgender Teen Leelah Alcorn Commits Suicide By Walking In Front Of Semi Truck, Blames Parents In Viral Suicide Note</t>
  </si>
  <si>
    <t>d4e4f310-905d-11e4-9799-c7e75be2bcad</t>
  </si>
  <si>
    <t>http://www.inquisitr.com/1715736/transgender-teen-leelah-acorn-kills-himself-by-walking-in-front-of-semi-truck-blames-christian-parents-in-viral-suicide-note/</t>
  </si>
  <si>
    <t>Anna Wintour: Is Rat Infestation At NYC Vogue Office Kim Kardashian's Fault?</t>
  </si>
  <si>
    <t>450924f0-7307-11e4-99be-fb3662a4a6dd</t>
  </si>
  <si>
    <t>http://www.inquisitr.com/1627051/anna-wintour-is-rat-infestation-at-nyc-vogue-office-kim-kardashians-fault/</t>
  </si>
  <si>
    <t>Willie Nelson Dead? Internet Freaks Out As Another Celebrity Death Hoax Makes The Rounds</t>
  </si>
  <si>
    <t>f28523d0-bc1e-11e4-b073-ed15c88bfa1e</t>
  </si>
  <si>
    <t>http://www.inquisitr.com/1861609/willie-nelson-dead-internet-freaks-out-as-another-celebrity-death-hoax-makes-the-rounds/</t>
  </si>
  <si>
    <t>Brain Surgery Recovery: Teenage Girl Wakes Up During Procedure, Talks About Cats</t>
  </si>
  <si>
    <t>be37f330-93bc-11e4-b6bf-fdc8b7e3bcff</t>
  </si>
  <si>
    <t>http://www.inquisitr.com/1724265/brain-surgery-recovery-teenage-girl-wakes-up-during-procedure-talks-about-cats/</t>
  </si>
  <si>
    <t>11 Tripoli Planes Still Missing, Sparks 911 Concerns</t>
  </si>
  <si>
    <t>be2e4360-33ce-11e4-8453-710264d9a1f8</t>
  </si>
  <si>
    <t>http://www.inquisitr.com/1449050/11-triploi-planes-still-missing-sparks-911-concerns/</t>
  </si>
  <si>
    <t>Angry Aunt Who Sliced Off Three-Year-Old Nephew's Penis Facing Five Years In Jail</t>
  </si>
  <si>
    <t>50e882d0-a4f7-11e4-aa4f-ff16e52e0d56</t>
  </si>
  <si>
    <t>http://www.inquisitr.com/1616393/angry-aunt-who-sliced-off-three-year-old-nephews-penis-facing-five-years-in-jail/</t>
  </si>
  <si>
    <t>Posted in: Celebrity News Posted: December 3, 2014 Axl Rose Dead? Of Course Not Tiresome Internet Death Hoax Plague Hits Guns N Roses Frontman</t>
  </si>
  <si>
    <t>2ff26060-7b93-11e4-b794-93ed794d7b91</t>
  </si>
  <si>
    <t>http://www.inquisitr.com/1653202/axl-rose-dead-death-hoax/</t>
  </si>
  <si>
    <t>Torpoint: Five-Year-Old Billed For Missing Friend's Birthday Party In England</t>
  </si>
  <si>
    <t>4129cc60-a000-11e4-a353-5b831fe927be</t>
  </si>
  <si>
    <t>http://www.inquisitr.com/1768749/torpoint-five-year-old-billed-for-missing-friends-birthday-party-in-england/</t>
  </si>
  <si>
    <t>Comcast Turns Complaints Back On Customer, Gets His Employer To Fire Him</t>
  </si>
  <si>
    <t>5eb062a0-4ee6-11e4-949b-f14041b20838</t>
  </si>
  <si>
    <t>http://www.inquisitr.com/1524783/comcast-turns-customer-complaints-back-on-customer-gets-his-employer-to-fire-him/</t>
  </si>
  <si>
    <t>ISIS Militants In Mosul Have Contracted Ebola, Iraqi Media Sources Claim</t>
  </si>
  <si>
    <t>c9930fa0-9298-11e4-b271-b1de57982894</t>
  </si>
  <si>
    <t>http://www.inquisitr.com/1721611/isis-militants-in-mosul-have-contracted-ebola-iraqi-media-sources-claim/</t>
  </si>
  <si>
    <t>Tempting Eyes Ban: Saudi Women With Pretty Eyes Made To Cover Them Up</t>
  </si>
  <si>
    <t>d94e2490-6b45-11e4-b528-9d5aa2d2e8e7</t>
  </si>
  <si>
    <t>http://www.inquisitr.com/1592726/tempting-eyes-ban/</t>
  </si>
  <si>
    <t>Judd Nelson rebuffs Internet rumors that he died of a drug overdose.</t>
  </si>
  <si>
    <t>befae660-5d48-11e4-a887-2324afc3f9a8</t>
  </si>
  <si>
    <t>https://www.inside.com/celeb/u4h6b/judd-nelson-rebuffs-internet-rumors-that-he?utm_source=twitter.com&amp;utm_medium=twitterhandle&amp;utm_campaign=@getinsideceleb</t>
  </si>
  <si>
    <t>www.inside.com</t>
  </si>
  <si>
    <t>Matt Taibbi takes a leave of absence from First Look Media</t>
  </si>
  <si>
    <t>88d56520-5edc-11e4-a887-2324afc3f9a8</t>
  </si>
  <si>
    <t>https://www.inside.com/media/u4hp4/matt-taibbi-takes-a-leave-of-absence?utm_source=twitter.com&amp;utm_medium=twitterhandle&amp;utm_campaign=@goinsidemedia</t>
  </si>
  <si>
    <t>MACAULAY CULKIN IS THE LATEST VICTIM OF A CELEBRITY DEATH HOAX AND THESE 9 STARS KNOW EXACTLY HOW HE FEELS</t>
  </si>
  <si>
    <t>58f3ff30-67b3-11e4-b528-9d5aa2d2e8e7</t>
  </si>
  <si>
    <t>http://www.intouchweekly.com/posts/macaulay-culkin-is-the-latest-victim-of-a-celebrity-death-hoax-and-these-9-stars-know-exactly-how-he-feels-45704</t>
  </si>
  <si>
    <t>www.intouchweekly.com</t>
  </si>
  <si>
    <t>Children in dog fighting horror</t>
  </si>
  <si>
    <t>58c28f60-a1d1-11e4-a353-5b831fe927be</t>
  </si>
  <si>
    <t>http://www.iol.co.za/news/crime-courts/children-in-dog-fighting-horror-1.1803685#.VMA242TF-7p</t>
  </si>
  <si>
    <t>www.iol.co.za</t>
  </si>
  <si>
    <t>Gene Munster Predicts 499 Steel Apple Watch, 4,999 for 18k Gold Edition</t>
  </si>
  <si>
    <t>1f1bcd50-c277-11e4-8747-5b024dd6dd6c</t>
  </si>
  <si>
    <t>http://www.iphoneincanada.ca/news/499-usd-price-for-steel-apple-watch-4999-usd-edition/</t>
  </si>
  <si>
    <t>www.iphoneincanada.ca</t>
  </si>
  <si>
    <t>da329df0-c275-11e4-8747-5b024dd6dd6c</t>
  </si>
  <si>
    <t>APPLE WATCH: THE ENGRAVING MAY ALSO BE PART OF THE SHOW</t>
  </si>
  <si>
    <t>6d05e0a0-c371-11e4-9435-a96703525a9e</t>
  </si>
  <si>
    <t>http://www.iphonote.com/actu/76493/apple-watch-la-gravure-pourrait-etre-de-la-partie-aussi-sur-la-montre</t>
  </si>
  <si>
    <t>www.iphonote.com</t>
  </si>
  <si>
    <t>URGENT: ISIS leader Abu Bakr al-Baghdadi allegedly killed by US airstrikes</t>
  </si>
  <si>
    <t>2f82fcd0-3673-11e4-ae63-d5574342724c</t>
  </si>
  <si>
    <t>http://www.iraqinews.com/iraq-war/urgent-isis-leader-abu-bakr-al-baghdadi-allegedly-killed-us-airstrikes/</t>
  </si>
  <si>
    <t>www.iraqinews.com</t>
  </si>
  <si>
    <t>URGENT: ISIS beheads Kurdish female fighter Rehana</t>
  </si>
  <si>
    <t>05736ba0-5e37-11e4-a887-2324afc3f9a8</t>
  </si>
  <si>
    <t>http://www.iraqinews.com/iraq-war/urgent-isis-beheaded-kurdish-female-fighter-rehana/</t>
  </si>
  <si>
    <t>URGENT: ISIS kills 300 Iraqi soldiers by chlorine gas attack in Saqlawiyah</t>
  </si>
  <si>
    <t>9d4659f0-425e-11e4-9e78-ff09d5b0049d</t>
  </si>
  <si>
    <t>http://www.iraqinews.com/iraq-war/urgent-isis-kills-300-iraqi-soldiers-chlorine-gas-attack-saqlawiyah/</t>
  </si>
  <si>
    <t>Is this the world's oldest burger? Man claims to have kept McDonald's Quarter Pounder for 20 YEARS</t>
  </si>
  <si>
    <t>f221f040-b6af-11e4-8507-b58af63d1078</t>
  </si>
  <si>
    <t>http://www.irishmirror.ie/news/weird-news/worlds-oldest-burger-man-claims-5173952</t>
  </si>
  <si>
    <t>www.irishmirror.ie</t>
  </si>
  <si>
    <t>Sexually frustrated female owl killed male because his penis was too SMALL</t>
  </si>
  <si>
    <t>94afb690-b060-11e4-9a23-0b6010caa867</t>
  </si>
  <si>
    <t>http://www.irishmirror.ie/news/weird-news/sexually-frustrated-female-owl-killed-5125812</t>
  </si>
  <si>
    <t>Kurds Deny Gill Rosenberg was in Kobane</t>
  </si>
  <si>
    <t>a1276bf0-7999-11e4-b794-93ed794d7b91</t>
  </si>
  <si>
    <t>http://www.israelnationalnews.com/News/News.aspx/188078#.VHzQpKTF9uV</t>
  </si>
  <si>
    <t>www.israelnationalnews.com</t>
  </si>
  <si>
    <t>ISIS Islamists at the Gates of Baghdad</t>
  </si>
  <si>
    <t>d31d8630-47f3-11e4-9960-a165dd517bbb</t>
  </si>
  <si>
    <t>http://www.israelnationalnews.com/News/News.aspx/185600#.VCmE_CldX2k</t>
  </si>
  <si>
    <t>Mystery of 50ft giant crab caught on camera in Kent harbour</t>
  </si>
  <si>
    <t>2f5c1c50-555e-11e4-aaf5-a1ddcfbcd5a9</t>
  </si>
  <si>
    <t>http://www.itv.com/news/meridian/update/2014-10-13/mystery-of-50ft-giant-crab-caught-on-camera-in-kent-harbour/</t>
  </si>
  <si>
    <t>www.itv.com</t>
  </si>
  <si>
    <t>Nun has surprise baby after complaining of stomach pains</t>
  </si>
  <si>
    <t>e0f78fa0-a435-11e4-aa4f-ff16e52e0d56</t>
  </si>
  <si>
    <t>http://www.itv.com/news/2015-01-24/nun-has-surprise-baby-after-complaining-of-stomach-pains/</t>
  </si>
  <si>
    <t>Kim Jong-un's discomfort down to cheese addiction</t>
  </si>
  <si>
    <t>1948b1c0-4650-11e4-a79e-01321ca3a48d</t>
  </si>
  <si>
    <t>http://www.itv.com/news/2014-09-27/kim-jong-uns-discomfort-down-to-cheese-addiction/</t>
  </si>
  <si>
    <t>Saudi Arabian cleric issues fatwa against snowmen</t>
  </si>
  <si>
    <t>92ccf690-9a98-11e4-bf59-1bb8b99952ce</t>
  </si>
  <si>
    <t>http://www.itv.com/news/2015-01-12/saudi-arabian-cleric-issues-fatwa-against-snowmen/</t>
  </si>
  <si>
    <t>Soldier shot at war memorial in Canada</t>
  </si>
  <si>
    <t>fdb62920-59f9-11e4-aaf5-a1ddcfbcd5a9</t>
  </si>
  <si>
    <t>http://www.itv.com/news/story/2014-10-22/soldier-shot-at-war-memorial-in-canada/</t>
  </si>
  <si>
    <t>IBM is about to get hit with a massive reorg and layoffs</t>
  </si>
  <si>
    <t>5b24f040-a57d-11e4-aa4f-ff16e52e0d56</t>
  </si>
  <si>
    <t>http://www.itworld.com/article/2875112/ibm-is-about-to-get-hit-with-a-massive-reorg-and-layoffs.html</t>
  </si>
  <si>
    <t>www.itworld.com</t>
  </si>
  <si>
    <t>Gill Rosenberg, former IDF soldier, possibly captured by ISIS while fighting with Kurds</t>
  </si>
  <si>
    <t>e65d6100-78c4-11e4-b794-93ed794d7b91</t>
  </si>
  <si>
    <t>http://www.jewishjournal.com/hella_tel_aviv/item/gill_rosenberg_idf_ypg_captured_isis</t>
  </si>
  <si>
    <t>www.jewishjournal.com</t>
  </si>
  <si>
    <t>ISIS Harvesting Victims Organs to Finance Terror</t>
  </si>
  <si>
    <t>474e7f10-b779-11e4-8507-b58af63d1078</t>
  </si>
  <si>
    <t>http://www.jewishpress.com/news/breaking-news/isis-harvesting-victims-organs-to-finance-terror/2015/02/18/</t>
  </si>
  <si>
    <t>www.jewishpress.com</t>
  </si>
  <si>
    <t>Microsoft may buy Minecraft studio Mojang</t>
  </si>
  <si>
    <t>962b1950-387a-11e4-ae63-d5574342724c</t>
  </si>
  <si>
    <t>http://www.joystiq.com/2014/09/09/report-microsoft-may-buy-minecraft-studio-mojang/</t>
  </si>
  <si>
    <t>www.joystiq.com</t>
  </si>
  <si>
    <t>ISIS kidnaps Canadian-Israeli, former IDF soldier who went to fight with the Kurds</t>
  </si>
  <si>
    <t>ff9fd290-78b7-11e4-b794-93ed794d7b91</t>
  </si>
  <si>
    <t>http://www.jpost.com/Middle-East/Report-ISIS-kidnaps-former-IDF-Canadian-Israeli-soldier-who-went-to-fight-with-the-Kurds-383238</t>
  </si>
  <si>
    <t>www.jpost.com</t>
  </si>
  <si>
    <t>Islamic State releases video showing beheading of US hostage Steven Sotloff</t>
  </si>
  <si>
    <t>aaf3d060-32cc-11e4-8453-710264d9a1f8</t>
  </si>
  <si>
    <t>http://www.jpost.com/Breaking-News/Islamic-State-releases-video-showing-beheading-of-US-hostage-Steven-Sotloff-374248</t>
  </si>
  <si>
    <t>Egypt, PA deny report that Sisi offered Abbas land in Sinai for Palestinian state</t>
  </si>
  <si>
    <t>d800fbb0-391f-11e4-ae63-d5574342724c</t>
  </si>
  <si>
    <t>http://www.jpost.com/Arab-Israeli-Conflict/Egypt-PA-deny-report-that-Sisi-offered-Abbas-land-in-Sinai-for-Palestinian-state-374785</t>
  </si>
  <si>
    <t>Israeli politicians praise Sisi plan to give Palestinians land for a state in Sinai</t>
  </si>
  <si>
    <t>de4b1dc0-394c-11e4-ae63-d5574342724c</t>
  </si>
  <si>
    <t>http://www.jpost.com/Arab-Israeli-Conflict/Israeli-politicians-praise-Sisi-plan-to-give-Palestinians-land-for-a-state-in-Sinai-374745</t>
  </si>
  <si>
    <t>Argentina's president adopts Jewish godson to counteract werewolf legend</t>
  </si>
  <si>
    <t>4b0d20b0-8f98-11e4-9799-c7e75be2bcad</t>
  </si>
  <si>
    <t>http://www.jta.org/2014/12/25/news-opinion/world/argentinas-president-adopts-jewish-godson</t>
  </si>
  <si>
    <t>www.jta.org</t>
  </si>
  <si>
    <t>This Man Paid Off His Parents Mortgage for Christmas Video</t>
  </si>
  <si>
    <t>9c068a60-8d72-11e4-9799-c7e75be2bcad</t>
  </si>
  <si>
    <t>http://www.justjared.com/2014/12/26/this-man-paid-off-his-parents-mortgage-for-christmas-video/</t>
  </si>
  <si>
    <t>www.justjared.com</t>
  </si>
  <si>
    <t>Joan Rivers Doctor Took a Selfie While She Was Under Anesthesia Report</t>
  </si>
  <si>
    <t>9ace8110-3e09-11e4-bc0b-3f922b93930d</t>
  </si>
  <si>
    <t>http://www.justjared.com/2014/09/16/joan-rivers-doctor-took-a-selfie-while-she-was-under-anesthesia-report/</t>
  </si>
  <si>
    <t>Despite no Ebola case in Kansas City, the rumor goes viral</t>
  </si>
  <si>
    <t>4cdf5090-4e19-11e4-949b-f14041b20838</t>
  </si>
  <si>
    <t>http://www.kansascity.com/living/health-fitness/article2541842.html</t>
  </si>
  <si>
    <t>www.kansascity.com</t>
  </si>
  <si>
    <t>SHOCKING: Indian Man's Penis Cut-off After He Was Caught Attempting Rape Photos</t>
  </si>
  <si>
    <t>3055a090-a4c8-11e4-aa4f-ff16e52e0d56</t>
  </si>
  <si>
    <t>http://www.kaynaija.com/2014/10/man-has-man-hood-chopped-off.html</t>
  </si>
  <si>
    <t>www.kaynaija.com</t>
  </si>
  <si>
    <t>Source: Joan Rivers doc did biopsy, selfie</t>
  </si>
  <si>
    <t>da4fc320-3e00-11e4-bc0b-3f922b93930d</t>
  </si>
  <si>
    <t>http://www.kcra.com/entertainment/source-joan-rivers-doc-did-biopsy-selfie/28093698</t>
  </si>
  <si>
    <t>www.kcra.com</t>
  </si>
  <si>
    <t>Hospital: Man not being treated for Ebola in Kansas City</t>
  </si>
  <si>
    <t>8e519e20-4e19-11e4-949b-f14041b20838</t>
  </si>
  <si>
    <t>http://www.kctv5.com/story/26707306/kansas-city-apartment-sealed-off-after-resident-quarantined</t>
  </si>
  <si>
    <t>www.kctv5.com</t>
  </si>
  <si>
    <t>50ft crustacean, dubbed Crabzilla, photographed lurking beneath the waters in Whitstable</t>
  </si>
  <si>
    <t>3f7beb10-555e-11e4-aaf5-a1ddcfbcd5a9</t>
  </si>
  <si>
    <t>http://www.kentonline.co.uk/whitstable/news/crabzilla-spotted-in-whitstable-25151/</t>
  </si>
  <si>
    <t>www.kentonline.co.uk</t>
  </si>
  <si>
    <t>Crabzilla artist Quinton Winter reveals all after image of crab off Whitstable appeared at Horsebridge Centre</t>
  </si>
  <si>
    <t>99b6bd40-5567-11e4-aaf5-a1ddcfbcd5a9</t>
  </si>
  <si>
    <t>http://www.kentonline.co.uk/whitstable/news/revealed-man-behind-50ft-crabzilla-25360/</t>
  </si>
  <si>
    <t>Canterbury Christ Church University student Jess Smith, from Chatham, starred as Teletubbies sun</t>
  </si>
  <si>
    <t>b3c067b0-8b16-11e4-9799-c7e75be2bcad</t>
  </si>
  <si>
    <t>http://www.kentonline.co.uk/medway/news/teletubbies-sun-28954/</t>
  </si>
  <si>
    <t>Afghan woman kills 25 Taliban rebels to avenge her son's murder</t>
  </si>
  <si>
    <t>a4e4e8f0-7703-11e4-b9e8-ab92b2da133c</t>
  </si>
  <si>
    <t>https://www.khaama.com/afghan-woman-kills-25-taliban-rebels-to-avenge-her-sons-murder-8794</t>
  </si>
  <si>
    <t>www.khaama.com</t>
  </si>
  <si>
    <t>KC hospital: Patient does not have symptom profile of Ebola</t>
  </si>
  <si>
    <t>3b1b76b0-4e85-11e4-949b-f14041b20838</t>
  </si>
  <si>
    <t>http://www.kmbc.com/news/kc-hospital-patient-does-not-have-symptom-profile-of-ebola/28959754</t>
  </si>
  <si>
    <t>www.kmbc.com</t>
  </si>
  <si>
    <t>Pregnant woman loses eye after police shoot bean bag at her</t>
  </si>
  <si>
    <t>a87f8820-7740-11e4-94c6-4131d5b705e4</t>
  </si>
  <si>
    <t>http://www.kmov.com/news/editors-pick/Pregnant-woman-loses-left-eye-during-protests--284108551.html</t>
  </si>
  <si>
    <t>www.kmov.com</t>
  </si>
  <si>
    <t>Report of quarantined Texas town NOT real shared on a fake news website</t>
  </si>
  <si>
    <t>9e61eb90-5403-11e4-b6a0-9705a8f94440</t>
  </si>
  <si>
    <t>http://www.koco.com/news/report-of-quarantined-texas-town-not-real-shared-on-a-fake-news-website/29128432</t>
  </si>
  <si>
    <t>www.koco.com</t>
  </si>
  <si>
    <t>Batmobile Stolen From Batman V Superman: Dawn Of Justice Set? Report Claims That One Of The Batmobile Models Is Missing Detroit Locals Responsible?</t>
  </si>
  <si>
    <t>e3be26d0-3c44-11e4-bc0b-3f922b93930d</t>
  </si>
  <si>
    <t>http://www.kpopstarz.com/articles/111148/20140912/batmobile-stolen-batman-v-superman-dawn-justice-set-report-claims.htm</t>
  </si>
  <si>
    <t>www.kpopstarz.com</t>
  </si>
  <si>
    <t>Sick Kansas City man said not to have Ebola, U.S. plans new steps to fight virus</t>
  </si>
  <si>
    <t>8dff5cd0-4e84-11e4-949b-f14041b20838</t>
  </si>
  <si>
    <t>http://www.kshb.com/news/health/sick-kansas-city-man-said-not-to-have-ebola-as-us-plans-new-steps-to-fight-virus</t>
  </si>
  <si>
    <t>www.kshb.com</t>
  </si>
  <si>
    <t>Chugging eggnog at office party lands man in hospital</t>
  </si>
  <si>
    <t>38c50600-8afe-11e4-beeb-cde7b534e8de</t>
  </si>
  <si>
    <t>http://www.ksl.com/?sid=32859635&amp;nid=148&amp;fm=latest_videos</t>
  </si>
  <si>
    <t>www.ksl.com</t>
  </si>
  <si>
    <t>BREAKING UDPATED: ISIS REPORTEDLY USE CHEMICAL WEAPONS IN KOBANE</t>
  </si>
  <si>
    <t>63faa2d0-5985-11e4-aaf5-a1ddcfbcd5a9</t>
  </si>
  <si>
    <t>http://www.kurdishquestion.com/kurdistan/west-kurdistan/breaking-isis-reportedly-use-chemical-weapons-in-kobane/335-breaking-isis-reportedly-use-chemical-weapons-in-kobane.html</t>
  </si>
  <si>
    <t>www.kurdishquestion.com</t>
  </si>
  <si>
    <t>770b4bb0-4e1b-11e4-949b-f14041b20838</t>
  </si>
  <si>
    <t>http://www.kwch.com/news/local-news/patient-quarantined-in-kansas-city/28412604</t>
  </si>
  <si>
    <t>www.kwch.com</t>
  </si>
  <si>
    <t>Officials: Report That Area Town Is Under Ebola Quarantine Is False</t>
  </si>
  <si>
    <t>5d9b5940-5401-11e4-b6a0-9705a8f94440</t>
  </si>
  <si>
    <t>http://www.kwtx.com/home/headlines/Officials-Report-That-Area-Town-Is-Under-Ebola-Quarantine-Is-False-279189241.html</t>
  </si>
  <si>
    <t>www.kwtx.com</t>
  </si>
  <si>
    <t>Big Bank Hank, co-founder of the Sugarhill Gang, has died</t>
  </si>
  <si>
    <t>87cd4370-69de-11e4-b528-9d5aa2d2e8e7</t>
  </si>
  <si>
    <t>http://www.latimes.com/entertainment/music/posts/la-et-ms-big-bank-hank-cofounder-of-the-sugarhill-gang-has-died-20141111-story.html</t>
  </si>
  <si>
    <t>www.latimes.com</t>
  </si>
  <si>
    <t>Give a homeless man 100 and see what he does with it Video</t>
  </si>
  <si>
    <t>40284ff0-9220-11e4-9799-c7e75be2bcad</t>
  </si>
  <si>
    <t>http://www.latimes.com/local/lanow/la-me-ln-hundred-dollars-homeless-man-video-20141224-story.html</t>
  </si>
  <si>
    <t>Judd Nelson isn't dead report is a hoax</t>
  </si>
  <si>
    <t>b23fc670-5d48-11e4-a887-2324afc3f9a8</t>
  </si>
  <si>
    <t>http://www.latimes.com/entertainment/gossip/la-et-mg-judd-nelson-not-dead-20141026-story.html</t>
  </si>
  <si>
    <t>6 hidden mass graves may hold missing Mexican students</t>
  </si>
  <si>
    <t>d5868fb0-4dc1-11e4-949b-f14041b20838</t>
  </si>
  <si>
    <t>http://www.latimes.com/world/mexico-americas/la-fg-hidden-graves-mexico-missing-students-20141005-story.html</t>
  </si>
  <si>
    <t>Mexican cartel leader kills self bodies in grave not missing students</t>
  </si>
  <si>
    <t>879f40c0-7090-11e4-8e10-b9c720c188ba</t>
  </si>
  <si>
    <t>http://www.latimes.com/world/worldnow/la-fg-ln-mexico-guerrero-leader-20141014-story.html</t>
  </si>
  <si>
    <t>Found at Canadian border: 3 Afghan soldiers missing from Cape Cod</t>
  </si>
  <si>
    <t>d9ac2300-4288-11e4-9e78-ff09d5b0049d</t>
  </si>
  <si>
    <t>http://www.latimes.com/nation/nationnow/la-na-missing-afghan-soldiers-cape-cod-20140922-story.html</t>
  </si>
  <si>
    <t>Joan Rivers doctor took selfie, began biopsy, source says</t>
  </si>
  <si>
    <t>8d33da20-3e57-11e4-bc0b-3f922b93930d</t>
  </si>
  <si>
    <t>http://www.latimes.com/entertainment/gossip/la-et-mg-joan-rivers-doctor-selfie-biopsy-report-20140916-story.html</t>
  </si>
  <si>
    <t>Scorpion stings passenger, delays flight from Los Angeles to Portland</t>
  </si>
  <si>
    <t>db252e50-b6cf-11e4-8507-b58af63d1078</t>
  </si>
  <si>
    <t>http://www.latimes.com/local/lanow/la-me-ln-scorpion-sting-delays-los-angeles-flight-to-portland-20150215-story.html</t>
  </si>
  <si>
    <t>Reports say North Korea's Kim insists on being the only Jong Un</t>
  </si>
  <si>
    <t>5ae80990-7b94-11e4-b794-93ed794d7b91</t>
  </si>
  <si>
    <t>http://www.latimes.com/world/asia/la-fg-north-korea-kim-name-20141203-story.html</t>
  </si>
  <si>
    <t>Tiger Woods prices private island at 7.1 million</t>
  </si>
  <si>
    <t>b0ce2680-9a7c-11e4-bf59-1bb8b99952ce</t>
  </si>
  <si>
    <t>http://www.latimes.com/business/realestate/hot-property/la-fi-hotprop-tiger-woods-island-20150109-story.html</t>
  </si>
  <si>
    <t>Christian Bale in talks to play Steve Jobs for Sony, Danny Boyle</t>
  </si>
  <si>
    <t>606e3d60-54c7-11e4-b6a0-9705a8f94440</t>
  </si>
  <si>
    <t>http://www.latimes.com/entertainment/movies/moviesnow/la-et-mn-christian-bale-steve-jobs-movie-20141015-story.html</t>
  </si>
  <si>
    <t>Nigeria announces truce with Boko Haram fate of schoolgirls unclear</t>
  </si>
  <si>
    <t>6ddf9730-5636-11e4-aaf5-a1ddcfbcd5a9</t>
  </si>
  <si>
    <t>http://www.latimes.com/world/africa/la-fg-nigeria-truce-20141017-story.html</t>
  </si>
  <si>
    <t>Ebola Outbreak 2015 Update: ISIS Fighters May Have Contracted Deadly Virus</t>
  </si>
  <si>
    <t>860bf210-9428-11e4-b6bf-fdc8b7e3bcff</t>
  </si>
  <si>
    <t>http://www.latinpost.com/articles/29933/20150103/ebola-outbreak-2015-update-isis-fighters-may-have-contracted-deadly-virus.htm</t>
  </si>
  <si>
    <t>www.latinpost.com</t>
  </si>
  <si>
    <t>Argentina's President Didn't Adopt A Jewish Child To Avoid Becoming A Werewolf So What Did She Do?</t>
  </si>
  <si>
    <t>7efb43c0-911e-11e4-9799-c7e75be2bcad</t>
  </si>
  <si>
    <t>http://www.latintimes.com/argentinas-president-didnt-adopt-jewish-child-avoid-becoming-werewolf-so-what-did-she-285701</t>
  </si>
  <si>
    <t>www.latintimes.com</t>
  </si>
  <si>
    <t>Mexico Student Massacre Update: More Graves Discovered At Murder Site</t>
  </si>
  <si>
    <t>754d07d0-50b6-11e4-b6a0-9705a8f94440</t>
  </si>
  <si>
    <t>http://www.latintimes.com/mexico-student-massacre-update-more-graves-discovered-murder-site-268022</t>
  </si>
  <si>
    <t>Islamic State reports youngest jihadist martyred in battle</t>
  </si>
  <si>
    <t>2ae4b040-5335-11e4-b6a0-9705a8f94440</t>
  </si>
  <si>
    <t>http://www.leaderpost.com/news/Islamic+State+reports+youngest+jihadist+martyred+battle/10279570/story.html</t>
  </si>
  <si>
    <t>www.leaderpost.com</t>
  </si>
  <si>
    <t>Transgender teen struck and killed on Ohio interstate in apparent suicide</t>
  </si>
  <si>
    <t>cf6a3580-905d-11e4-9799-c7e75be2bcad</t>
  </si>
  <si>
    <t>http://www.lgbtqnation.com/2014/12/transgender-teen-struck-and-killed-on-ohio-interstate-in-apparent-suicide/</t>
  </si>
  <si>
    <t>www.lgbtqnation.com</t>
  </si>
  <si>
    <t>337f3670-78bb-11e4-b794-93ed794d7b91</t>
  </si>
  <si>
    <t>http://www.liveleak.com/view?i=13a_1417366270&amp;utm_source=dlvr.it&amp;utm_medium=twitter</t>
  </si>
  <si>
    <t>www.liveleak.com</t>
  </si>
  <si>
    <t>BREAKING Gill Rosenberg former IDF soldier was captured by ISIS</t>
  </si>
  <si>
    <t>17ab10c0-78b8-11e4-b794-93ed794d7b91</t>
  </si>
  <si>
    <t>http://www.liveleak.com/view?i=2e2_1417355989</t>
  </si>
  <si>
    <t>Google said to buy six silicon valley buildings for 585 million</t>
  </si>
  <si>
    <t>e4002c90-5b77-11e4-a887-2324afc3f9a8</t>
  </si>
  <si>
    <t>http://www.livemint.com/Companies/fOsq34ZpHwFOWl1W31LhXN/Google-said-to-buy-six-silicon-valley-buildings-for-585-mil.html</t>
  </si>
  <si>
    <t>www.livemint.com</t>
  </si>
  <si>
    <t>No, Banksy hasn't been arrested</t>
  </si>
  <si>
    <t>b62f4360-5856-11e4-aaf5-a1ddcfbcd5a9</t>
  </si>
  <si>
    <t>http://www.london24.com/news/quirky-london/no_banksy_hasn_t_been_arrested_1_3812921</t>
  </si>
  <si>
    <t>www.london24.com</t>
  </si>
  <si>
    <t>Missing Afghani soldiers found trying to cross US border to Canada</t>
  </si>
  <si>
    <t>c2fb8510-4283-11e4-9e78-ff09d5b0049d</t>
  </si>
  <si>
    <t>http://www.lowellsun.com/breakingnews/ci_26581887/3-afghan-soldiers-missing-from-cape-cod-base</t>
  </si>
  <si>
    <t>www.lowellsun.com</t>
  </si>
  <si>
    <t>Hundreds of Palestinians flee as Israel opens dams into Gaza Valley</t>
  </si>
  <si>
    <t>cf7e6680-bc5f-11e4-b073-ed15c88bfa1e</t>
  </si>
  <si>
    <t>http://www.maannews.com/eng/ViewDetails.aspx?ID=759549</t>
  </si>
  <si>
    <t>www.maannews.com</t>
  </si>
  <si>
    <t>Analyst: Apple Watch Edition to Cost 950</t>
  </si>
  <si>
    <t>d33028b0-c356-11e4-9435-a96703525a9e</t>
  </si>
  <si>
    <t>http://www.macobserver.com/tmo/article/analyst-apple-watch-edition-to-cost-950</t>
  </si>
  <si>
    <t>www.macobserver.com</t>
  </si>
  <si>
    <t>Tim Cook Reportedly Showers with Apple Watch, Suggesting It's Waterproof</t>
  </si>
  <si>
    <t>b4444ec0-c1be-11e4-8747-5b024dd6dd6c</t>
  </si>
  <si>
    <t>http://www.macobserver.com/tmo/article/tim-cook-reportedly-showers-with-apple-watch-suggesting-its-waterproof</t>
  </si>
  <si>
    <t>Insiders Claim Steel Apple Watch to Start at 500, Gold at 4,000</t>
  </si>
  <si>
    <t>8d7304d0-c213-11e4-8747-5b024dd6dd6c</t>
  </si>
  <si>
    <t>http://www.macobserver.com/tmo/article/insiders-claim-steel-apple-watch-to-start-at-500-gold-at-4000</t>
  </si>
  <si>
    <t>10 of Consumers Very Likely to Buy a Smartwatch in 2015, Suggesting 24M Apple Watches</t>
  </si>
  <si>
    <t>653639a0-c28c-11e4-8747-5b024dd6dd6c</t>
  </si>
  <si>
    <t>http://www.macrumors.com/2014/12/01/apple-watch-ubs-survey/</t>
  </si>
  <si>
    <t>www.macrumors.com</t>
  </si>
  <si>
    <t>Apple's 12-Inch Retina MacBook Air Shown in Artist's Renditions</t>
  </si>
  <si>
    <t>488e9650-96a2-11e4-87a8-1d5d45e62193</t>
  </si>
  <si>
    <t>http://www.macrumors.com/2015/01/06/12-inch-macbook-air-rendition/</t>
  </si>
  <si>
    <t>Apple Media Event Rumored for Late February, Apple Watch and 12 MacBook Air Likely Topics Updated</t>
  </si>
  <si>
    <t>409fb430-c283-11e4-8747-5b024dd6dd6c</t>
  </si>
  <si>
    <t>http://www.macrumors.com/2015/02/04/apple-media-event-late-february/</t>
  </si>
  <si>
    <t>Apple Reportedly Close to Acquiring Path, Looking to Integrate Service Into Messages</t>
  </si>
  <si>
    <t>725ab080-3915-11e4-ae63-d5574342724c</t>
  </si>
  <si>
    <t>http://www.macrumors.com/2014/09/10/apple-close-to-acquiring-path/</t>
  </si>
  <si>
    <t>Apple Watch Battery Life Currently About a Day, but May Improve for 2015 Launch</t>
  </si>
  <si>
    <t>c444cc40-c29b-11e4-8747-5b024dd6dd6c</t>
  </si>
  <si>
    <t>http://www.macrumors.com/2014/09/10/watch-battery-life/</t>
  </si>
  <si>
    <t>Hidden Diagnostic Port on Apple Watch Could Allow for Smart Band Accessories Updated</t>
  </si>
  <si>
    <t>1ae9cf90-c43c-11e4-883c-a7fa7a3c5066</t>
  </si>
  <si>
    <t>http://www.macrumors.com/2015/03/05/apple-watch-diagnostic-port/</t>
  </si>
  <si>
    <t>Apple Watch Pricing to Reportedly Start at 500 for Stainless Steel, 4,000 for Gold</t>
  </si>
  <si>
    <t>ff0d9720-c215-11e4-8747-5b024dd6dd6c</t>
  </si>
  <si>
    <t>http://www.macrumors.com/2014/11/04/apple-watch-steel-500/</t>
  </si>
  <si>
    <t>The Apple Watch only receives notifications when on the wrist</t>
  </si>
  <si>
    <t>Apple Watch Takes Two Hours to Charge, Only Delivers Notifications While on the Wrist</t>
  </si>
  <si>
    <t>7c5eada0-c468-11e4-883c-a7fa7a3c5066</t>
  </si>
  <si>
    <t>09de3d40-c468-11e4-883c-a7fa7a3c5066</t>
  </si>
  <si>
    <t>http://www.macrumors.com/2015/03/06/apple-watch-notifications-battery-life/</t>
  </si>
  <si>
    <t>Apple to Take Reservations for Trying On Apple Watch, Considered Platinum Model</t>
  </si>
  <si>
    <t>e1044030-c66b-11e4-883c-a7fa7a3c5066</t>
  </si>
  <si>
    <t>http://www.macrumors.com/2015/03/09/apple-watch-reservations-platinum-model/</t>
  </si>
  <si>
    <t>Apple Watch to Feature Time-Only Power Reserve Mode, Prototypes Disguised as Samsung Watches</t>
  </si>
  <si>
    <t>49a1c4d0-c1b4-11e4-8747-5b024dd6dd6c</t>
  </si>
  <si>
    <t>http://www.macrumors.com/2015/03/01/apple-watch-power-reserve/</t>
  </si>
  <si>
    <t>Apple Reported to Begin Shipping Apple Watch in March, 12-Inch MacBook Air in Early 2015</t>
  </si>
  <si>
    <t>6fc3b000-c11f-11e4-8747-5b024dd6dd6c</t>
  </si>
  <si>
    <t>http://www.macrumors.com/2015/01/24/apple-watch-march-12-inch-macbook-early-2015/</t>
  </si>
  <si>
    <t>Original Apple Watch Health Features Were Dropped Due to Consistency Issues</t>
  </si>
  <si>
    <t>2d3fe360-c288-11e4-8747-5b024dd6dd6c</t>
  </si>
  <si>
    <t>http://www.macrumors.com/2015/02/16/apple-watch-original-health-features/</t>
  </si>
  <si>
    <t>The Apple Watch takes about two hours to charge</t>
  </si>
  <si>
    <t>00c5b820-c46b-11e4-883c-a7fa7a3c5066</t>
  </si>
  <si>
    <t>b84f4de0-c46a-11e4-883c-a7fa7a3c5066</t>
  </si>
  <si>
    <t>Apple Reportedly Planning to Shut Down Beats Music Update: Not True</t>
  </si>
  <si>
    <t>6166f2c0-4293-11e4-9e78-ff09d5b0049d</t>
  </si>
  <si>
    <t>http://www.macrumors.com/2014/09/22/apple-shutting-down-beats-music/</t>
  </si>
  <si>
    <t>3a99e990-c213-11e4-8747-5b024dd6dd6c</t>
  </si>
  <si>
    <t>Sketchy Rumor Claims Apple Planning New 4-Inch iPhone for 2015</t>
  </si>
  <si>
    <t>9419b530-7ee9-11e4-8faa-9748b2fc07a1</t>
  </si>
  <si>
    <t>http://www.macrumors.com/2014/12/04/apple-4-inch-iphone-2015/</t>
  </si>
  <si>
    <t>Bug in iOS 8's Reset All Settings Option Also Erases iCloud Drive Documents</t>
  </si>
  <si>
    <t>d58da780-48d2-11e4-9960-a165dd517bbb</t>
  </si>
  <si>
    <t>http://www.macrumors.com/2014/09/29/reset-all-settings-icloud-drive-bug/</t>
  </si>
  <si>
    <t>iPhone 6s Rumored to Include 2GB of Faster RAM and Force Touch Technology</t>
  </si>
  <si>
    <t>e553cfe0-9dc9-11e4-a353-5b831fe927be</t>
  </si>
  <si>
    <t>http://www.macrumors.com/2015/01/15/iphone-6s-2gb-ram-force-touch/</t>
  </si>
  <si>
    <t>Apple Watch Pop-Up Shop Also Planned for London's Selfridges Department Store</t>
  </si>
  <si>
    <t>cab3c5f0-c27c-11e4-8747-5b024dd6dd6c</t>
  </si>
  <si>
    <t>http://www.macrumors.com/2015/03/01/apple-watch-selfridges-shop/</t>
  </si>
  <si>
    <t>Apple Reportedly Relying More Heavily on Samsung for iPhone 6 and Apple Watch Components</t>
  </si>
  <si>
    <t>15508f90-c362-11e4-9435-a96703525a9e</t>
  </si>
  <si>
    <t>http://www.macrumors.com/2014/11/26/samsung-iphone-6-apple-watch/</t>
  </si>
  <si>
    <t>Seth Rogen to Star as Steve Wozniak in Sony's Steve Jobs Biopic Updated</t>
  </si>
  <si>
    <t>e7cdddb0-611a-11e4-b6e9-e5f029e25965</t>
  </si>
  <si>
    <t>http://www.macrumors.com/2014/10/30/seth-rogen-wozniak-jobs-biopic/</t>
  </si>
  <si>
    <t>Rumor Suggests 12-Inch Retina MacBook Air Could Launch During March 9 Apple Watch Event</t>
  </si>
  <si>
    <t>8681c5d0-c371-11e4-9435-a96703525a9e</t>
  </si>
  <si>
    <t>http://www.macrumors.com/2015/03/03/rumor-retina-macbook-air-march-9-event/</t>
  </si>
  <si>
    <t>Apple Delaying Production on Larger-Screened iPad Pro Until September</t>
  </si>
  <si>
    <t>9d836190-c384-11e4-9435-a96703525a9e</t>
  </si>
  <si>
    <t>http://www.macrumors.com/2015/03/04/apple-delays-ipad-pro-production/</t>
  </si>
  <si>
    <t>HBO and Apple in Talks for 15Month Apple TV Streaming Service Launching in April</t>
  </si>
  <si>
    <t>2e0a78b0-c430-11e4-883c-a7fa7a3c5066</t>
  </si>
  <si>
    <t>http://www.macrumors.com/2015/03/04/apple-hbo-web-only-streaming-service-partnership/</t>
  </si>
  <si>
    <t>ca8d5460-c28b-11e4-8747-5b024dd6dd6c</t>
  </si>
  <si>
    <t>Apple Targeting March for Apple Watch Launch, Retail Training Begins Next Month</t>
  </si>
  <si>
    <t>6af9e100-c121-11e4-8747-5b024dd6dd6c</t>
  </si>
  <si>
    <t>http://www.macrumors.com/2015/01/06/apple-watch-march-launch/</t>
  </si>
  <si>
    <t>49f53ad0-c67c-11e4-883c-a7fa7a3c5066</t>
  </si>
  <si>
    <t>Christian Bale in Talks to Star in Sony's Steve Jobs Film</t>
  </si>
  <si>
    <t>5bbebf10-54c7-11e4-b6a0-9705a8f94440</t>
  </si>
  <si>
    <t>http://www.macrumors.com/2014/10/15/christian-bale-sony-steve-jobs/</t>
  </si>
  <si>
    <t>Christian Bale Pulls Out of Upcoming Steve Jobs Biopic</t>
  </si>
  <si>
    <t>f09f2a30-6394-11e4-b3d8-a32d8ec8ad5e</t>
  </si>
  <si>
    <t>http://www.macrumors.com/2014/11/03/christian-bale-no-longer-steve-jobs/</t>
  </si>
  <si>
    <t>Samsung Supposedly Wins Orders to Produce Apple Watch Components</t>
  </si>
  <si>
    <t>22914fb0-c361-11e4-9435-a96703525a9e</t>
  </si>
  <si>
    <t>http://www.macrumors.com/2015/01/09/samsung-produce-apple-watch-components/</t>
  </si>
  <si>
    <t>Apple Stores to Keep Gold Edition Apple Watch in Custom Safes</t>
  </si>
  <si>
    <t>4f80fb00-bfbb-11e4-8747-5b024dd6dd6c</t>
  </si>
  <si>
    <t>http://www.mactrast.com/2015/02/apple-stores-keep-gold-edition-apple-watch-custom-safes/</t>
  </si>
  <si>
    <t>www.mactrast.com</t>
  </si>
  <si>
    <t>12in Retina MacBook Air release date rumours: All-new 12in MacBook Air design for 2015, launching at WWDC?</t>
  </si>
  <si>
    <t>ae5f5fd0-969f-11e4-87a8-1d5d45e62193</t>
  </si>
  <si>
    <t>http://www.macworld.co.uk/news/mac/new-macbook-air-retina-2014-release-date-rumours-specs-design-images-3420655/</t>
  </si>
  <si>
    <t>www.macworld.co.uk</t>
  </si>
  <si>
    <t>Apple's next MacBook could be a 12-inch MacBook Air</t>
  </si>
  <si>
    <t>7bf92710-969f-11e4-87a8-1d5d45e62193</t>
  </si>
  <si>
    <t>http://www.macworld.com/article/2866073/apple-s-next-macbook-could-be-a-12-inch-macbook-air.html</t>
  </si>
  <si>
    <t>www.macworld.com</t>
  </si>
  <si>
    <t>Tim Cook teases Apple Watch launch apps, and its debut in Germany</t>
  </si>
  <si>
    <t>b82242b0-c1b2-11e4-8747-5b024dd6dd6c</t>
  </si>
  <si>
    <t>http://www.macworld.com/article/2891652/tim-cook-teases-apple-watch-launch-apps-and-its-debut-in-germany.html</t>
  </si>
  <si>
    <t>Apple Watch reportedly set to ship in the U.S. by March</t>
  </si>
  <si>
    <t>b7edc140-c11a-11e4-8747-5b024dd6dd6c</t>
  </si>
  <si>
    <t>http://www.macworld.com/article/2865921/apple-watch-reportedly-set-to-ship-in-the-u-s-by-march.html</t>
  </si>
  <si>
    <t>Don't forget to tip...especially if you spend 300,000</t>
  </si>
  <si>
    <t>70abd550-b888-11e4-b073-ed15c88bfa1e</t>
  </si>
  <si>
    <t>http://www.marketplace.org/topics/economy/numbers/dont-forget-tipespecially-if-you-spend-300000</t>
  </si>
  <si>
    <t>www.marketplace.org</t>
  </si>
  <si>
    <t>Kim Jong-Un's sister reportedly running N. Korea</t>
  </si>
  <si>
    <t>30924410-4b26-11e4-9960-a165dd517bbb</t>
  </si>
  <si>
    <t>http://www.marketwatch.com/story/kim-jong-uns-sister-reportedly-running-n-korea-2014-10-02</t>
  </si>
  <si>
    <t>www.marketwatch.com</t>
  </si>
  <si>
    <t>WH won't say if Foley family was threatened not to pay ransom</t>
  </si>
  <si>
    <t>e3c0b060-42fe-11e4-9e78-ff09d5b0049d</t>
  </si>
  <si>
    <t>http://www.mcclatchydc.com/2014/09/12/239689/wh-wont-say-if-foley-family-was.html</t>
  </si>
  <si>
    <t>www.mcclatchydc.com</t>
  </si>
  <si>
    <t>Islamic State reportedly on Baghdad's outskirts after week of victories</t>
  </si>
  <si>
    <t>62d04020-4f5f-11e4-949b-f14041b20838</t>
  </si>
  <si>
    <t>http://www.mcclatchydc.com/2014/10/03/242105_islamic-state-reportedly-on-bahttp://www.mcclatchydc.com/2014/10/03/242105_islamic-state-reportedly-on-baghdads.html?rh=1ghdads.html?rh=1</t>
  </si>
  <si>
    <t>Wild Misinformation: Brian Williams Explains the Mike Seidel Liveshot</t>
  </si>
  <si>
    <t>a62f87f0-6458-11e4-b3d8-a32d8ec8ad5e</t>
  </si>
  <si>
    <t>http://www.mediabistro.com/tvnewser/wild-misinformation-brian-williams-explains-the-mike-seidel-liveshot_b244628</t>
  </si>
  <si>
    <t>www.mediabistro.com</t>
  </si>
  <si>
    <t>CNN Reports Hackers Sent Message to Sony: You've Done the Right Thing</t>
  </si>
  <si>
    <t>fa6fb0c0-8798-11e4-a13d-d9bce527941d</t>
  </si>
  <si>
    <t>http://www.mediabistro.com/tvnewser/cnn-reports-hackers-sent-message-to-sony-youve-done-the-right-thing_b249565</t>
  </si>
  <si>
    <t>Was Alleged Audio of Michael Brown Shooting on CNN a Hoax?</t>
  </si>
  <si>
    <t>3656d170-2ec2-11e4-89c5-1d389b94bc4b</t>
  </si>
  <si>
    <t>http://www.mediabistro.com/tvnewser/was-alleged-audio-of-michael-brown-shooting-on-cnn-a-hoax_b236997</t>
  </si>
  <si>
    <t>Durex on Rumored Pumpkin Spice Condom: No Comment</t>
  </si>
  <si>
    <t>89c93210-376b-11e4-ae63-d5574342724c</t>
  </si>
  <si>
    <t>http://www.mediabistro.com/prnewser/durex-refuses-to-confirm-or-deny-pumpkin-spice-condom_b99006</t>
  </si>
  <si>
    <t>Fisherman Saved from Deadly Bear Attack by His Justin Bieber Ringtone</t>
  </si>
  <si>
    <t>67c188b0-1ce6-11e4-8c09-cd48fe37674e</t>
  </si>
  <si>
    <t>http://www.mediaite.com/online/fisherman-saved-from-deadly-bear-attack-by-his-justin-bieber-ringtone/</t>
  </si>
  <si>
    <t>www.mediaite.com</t>
  </si>
  <si>
    <t>Brian Williams: No, Our Meteorologist Was Not Peeing on Live TV</t>
  </si>
  <si>
    <t>7e0f9e90-6458-11e4-b3d8-a32d8ec8ad5e</t>
  </si>
  <si>
    <t>http://www.mediaite.com/tv/brian-williams-no-nbc-meteorologist-was-not-peeing-on-live-tv/</t>
  </si>
  <si>
    <t>ESPN's Domestic Abuse Tonight Panel Will Be 100 Dudes</t>
  </si>
  <si>
    <t>a476dec0-47f9-11e4-9960-a165dd517bbb</t>
  </si>
  <si>
    <t>http://www.mediaite.com/tv/espns-domestic-abuse-tonight-panel-will-be-100-dudes/</t>
  </si>
  <si>
    <t>Fox News is using FoxNewsPress to respond to Twitter users over the viral hashtag FoxNewsFacts</t>
  </si>
  <si>
    <t>The FoxNewsPress Account Tweeting Lawsuit Threats Is a Fake</t>
  </si>
  <si>
    <t>f5514440-9a81-11e4-bf59-1bb8b99952ce</t>
  </si>
  <si>
    <t>ab7a1180-9a81-11e4-bf59-1bb8b99952ce</t>
  </si>
  <si>
    <t>http://www.mediaite.com/online/the-foxnewspress-account-tweeting-lawsuit-threats-is-a-fake/</t>
  </si>
  <si>
    <t>DHS: GOP Rep.s Claim ISIS Members Caught at U.S. Border Categorically False</t>
  </si>
  <si>
    <t>1b730740-4fd1-11e4-b6a0-9705a8f94440</t>
  </si>
  <si>
    <t>http://www.mediaite.com/online/dhs-gop-reps-claim-isis-members-caught-at-u-s-border-categorically-false/</t>
  </si>
  <si>
    <t>ISIS Reportedly Beheads U.S. Journalist James Wright Foley on Camera</t>
  </si>
  <si>
    <t>42b12590-27e4-11e4-96be-dfc0d1eebaea</t>
  </si>
  <si>
    <t>http://www.mediaite.com/online/isis-reportedly-beheads-u-s-journalist-james-wright-foley-on-camera/</t>
  </si>
  <si>
    <t>Fake Fox News Website Reports Judd Nelson's Death for Some Reason</t>
  </si>
  <si>
    <t>c49e3330-5d4b-11e4-a887-2324afc3f9a8</t>
  </si>
  <si>
    <t>http://www.mediaite.com/uncategorized/fake-fox-news-website-reports-judd-nelsons-death-for-some-reason/</t>
  </si>
  <si>
    <t>Rumors of King Abdullah Flying in Airstrikes Not True, Fox Excited Anyway</t>
  </si>
  <si>
    <t>a82252b0-ad53-11e4-9a23-0b6010caa867</t>
  </si>
  <si>
    <t>http://www.mediaite.com/tv/rumors-of-king-abdullah-flying-in-airstrikes-not-true-fox-excited-anyway/</t>
  </si>
  <si>
    <t>Fake Lisa Bonet Tweet on Cosby Scandal Fools Major Media Outlets</t>
  </si>
  <si>
    <t>58decc20-737d-11e4-99be-fb3662a4a6dd</t>
  </si>
  <si>
    <t>http://www.mediaite.com/online/fake-lisa-bonet-tweet-on-cosby-scandal-fools-major-media-outlets/</t>
  </si>
  <si>
    <t>No, Saudi TV Did Not Blur Out Images of Michelle Obama</t>
  </si>
  <si>
    <t>ed84e9d0-a69b-11e4-aa4f-ff16e52e0d56</t>
  </si>
  <si>
    <t>http://www.mediaite.com/online/no-saudi-tv-did-not-blur-out-images-of-michelle-obama/</t>
  </si>
  <si>
    <t>Did Paul Rudd Help Take Down Dallas Airport Homophobe? UPDATED</t>
  </si>
  <si>
    <t>407ed570-5e0c-11e4-a887-2324afc3f9a8</t>
  </si>
  <si>
    <t>http://www.mediaite.com/online/did-paul-rudd-help-take-down-dallas-airport-homophobe/</t>
  </si>
  <si>
    <t>Joan Rivers Doctor Reportedly Took Selfie, Biopsy Right Before Her Heart Attack</t>
  </si>
  <si>
    <t>4a37df50-3e57-11e4-bc0b-3f922b93930d</t>
  </si>
  <si>
    <t>http://www.mediaite.com/online/joan-rivers-doctor-reportedly-took-selfie-biopsy-right-before-her-heart-attack/</t>
  </si>
  <si>
    <t>CNN Airs Alleged Audio from Michael Brown Shooting</t>
  </si>
  <si>
    <t>7e8c41c0-2d67-11e4-89c5-1d389b94bc4b</t>
  </si>
  <si>
    <t>http://www.mediaite.com/tv/cnn-airs-alleged-audio-from-michael-brown-shooting/</t>
  </si>
  <si>
    <t>CNN Expert on Brown Audio: At First I Thought Someone's Trying to Punk CNN</t>
  </si>
  <si>
    <t>2acd1ee0-2ebd-11e4-89c5-1d389b94bc4b</t>
  </si>
  <si>
    <t>http://www.mediaite.com/tv/cnn-experts-think-audio-of-brown-shooting-is-a-hoax-someones-trying-to-punk-cnn/</t>
  </si>
  <si>
    <t>ISIS Releases Video Allegedly Showing Beheading of U.S. Journalist Steven Sotloff</t>
  </si>
  <si>
    <t>3c0ec880-32c7-11e4-8453-710264d9a1f8</t>
  </si>
  <si>
    <t>http://www.mediaite.com/online/isis-releases-video-allegedly-showing-beheading-of-u-s-journalist-steven-sotloff/</t>
  </si>
  <si>
    <t>Axl Rose Found Dead of Shtty Hoax Website at Age 52</t>
  </si>
  <si>
    <t>259bbd50-7b93-11e4-b794-93ed794d7b91</t>
  </si>
  <si>
    <t>http://www.mediaite.com/online/axl-rose-found-dead-of-shtty-hoax-website-at-age-52/</t>
  </si>
  <si>
    <t>That Was Fast: Christian Bale Bails on Steve Jobs Biopic</t>
  </si>
  <si>
    <t>c1be2090-6394-11e4-b3d8-a32d8ec8ad5e</t>
  </si>
  <si>
    <t>http://www.mediaite.com/tv/that-was-fast-christian-bale-bails-on-steve-jobs-biopic/</t>
  </si>
  <si>
    <t>Iraqi Official Dismisses Unfounded Reports That ISIS Fighters Have Ebola</t>
  </si>
  <si>
    <t>6aad0400-9383-11e4-b6bf-fdc8b7e3bcff</t>
  </si>
  <si>
    <t>http://www.mediaite.com/online/iraqi-official-dismisses-unfounded-reports-that-isis-fighters-have-ebola/</t>
  </si>
  <si>
    <t>CBS News Names Canadian Parliament Shooting Suspect</t>
  </si>
  <si>
    <t>7288bfe0-5a47-11e4-aaf5-a1ddcfbcd5a9</t>
  </si>
  <si>
    <t>http://www.mediaite.com/online/cbs-news-names-canadian-parliament-shooting-suspect/</t>
  </si>
  <si>
    <t>White House Fence Jumper Actually Made It Pretty Far Inside</t>
  </si>
  <si>
    <t>d6eb73f0-483c-11e4-9960-a165dd517bbb</t>
  </si>
  <si>
    <t>http://www.mediaite.com/online/white-house-fence-jumper-actually-made-it-pretty-far-inside/</t>
  </si>
  <si>
    <t>Tesla Motors set to choose Nevada for its gigafactory</t>
  </si>
  <si>
    <t>f590c970-33a3-11e4-8453-710264d9a1f8</t>
  </si>
  <si>
    <t>http://www.mercurynews.com/breaking-news/ci_26460239?source=redbar</t>
  </si>
  <si>
    <t>www.mercurynews.com</t>
  </si>
  <si>
    <t>Gigafactory location: Tesla Motors confirms Nevada announcement Thursday</t>
  </si>
  <si>
    <t>9f9024e0-33a2-11e4-8453-710264d9a1f8</t>
  </si>
  <si>
    <t>http://www.mercurynews.com/business/ci_26460239/jackpot-tesla-motors-appears-have-chosen-nevada-site</t>
  </si>
  <si>
    <t>This Man Kept HARASSING Women On The Streets. Until One Day MOM?</t>
  </si>
  <si>
    <t>25164e10-a62f-11e4-aa4f-ff16e52e0d56</t>
  </si>
  <si>
    <t>http://www.metaspoon.com/harassment-streets-peru-mother-everlast/</t>
  </si>
  <si>
    <t>www.metaspoon.com</t>
  </si>
  <si>
    <t>Therefore, the feminist blogger who aborted a boy probably fake</t>
  </si>
  <si>
    <t>89cc3ce0-b20d-11e4-9a23-0b6010caa867</t>
  </si>
  <si>
    <t>http://www.metro.se/nyheter/darfor-ar-feminist-bloggaren-som-aborterade-en-pojke-formodligen-fejk/EVHobk!ktehLYYFk7axM/</t>
  </si>
  <si>
    <t>www.metro.se</t>
  </si>
  <si>
    <t>No, it's not Tiger Woods selling an island in Lake Mlaren</t>
  </si>
  <si>
    <t>95131f60-9a7f-11e4-bf59-1bb8b99952ce</t>
  </si>
  <si>
    <t>http://www.metro.se/nyheter/nej-det-ar-inte-tiger-woods-som-saljer-en-o-i-malaren/EVHoal!qc24oEMq2pEJE/</t>
  </si>
  <si>
    <t>The news of Cesar Millan's death is false</t>
  </si>
  <si>
    <t>3a474a70-7afe-11e4-b794-93ed794d7b91</t>
  </si>
  <si>
    <t>http://www.metro.se/nyheter/nyheten-om-cesar-millans-dod-ar-falsk/EVHnlc!ME90XAShers/</t>
  </si>
  <si>
    <t>No, Saudi Arabia has not banned the tempting eyes</t>
  </si>
  <si>
    <t>e4465ed0-6b45-11e4-b528-9d5aa2d2e8e7</t>
  </si>
  <si>
    <t>http://www.metro.se/nyheter/nej-saudiarabien-har-inte-forbjudit-frestande-ogon/EVHnkm!uCFyeUu9S3Tc/</t>
  </si>
  <si>
    <t>Islamic State Declares Captured Aid Worker to be Innocent</t>
  </si>
  <si>
    <t>37a432e0-4414-11e4-94c0-515d9d816ec6</t>
  </si>
  <si>
    <t>http://www.middleeasteye.net/news/islamic-state-declares-captured-aid-worker-be-innocent-295940543</t>
  </si>
  <si>
    <t>www.middleeasteye.net</t>
  </si>
  <si>
    <t>Israeli Sisi offered Abbas a Palestinian state in Sinai</t>
  </si>
  <si>
    <t>be21e7e0-391f-11e4-ae63-d5574342724c</t>
  </si>
  <si>
    <t>https://www.middleeastmonitor.com/news/africa/13978-israeli-report-sisi-offered-abbas-a-palestinian-state-in-sinai</t>
  </si>
  <si>
    <t>www.middleeastmonitor.com</t>
  </si>
  <si>
    <t>Israeli right welcomes Sisi's offer to a Palestinian State in Sinai</t>
  </si>
  <si>
    <t>24bb1b50-39ea-11e4-825a-ad6fdaf9d74f</t>
  </si>
  <si>
    <t>https://www.middleeastmonitor.com/news/middle-east/14021-israeli-right-welcomes-sisis-offer-to-a-palestinian-state-in-sinai</t>
  </si>
  <si>
    <t>Another ISIS Massacre: ISIS Kills 300 Iraqi Soldiers With Chlorine Gas</t>
  </si>
  <si>
    <t>cf8337e0-4352-11e4-9e78-ff09d5b0049d</t>
  </si>
  <si>
    <t>http://www.mintpressnews.com/another-isis-massacre-isis-kills-300-iraqi-soldiers-chlorine-gas/196874/</t>
  </si>
  <si>
    <t>www.mintpressnews.com</t>
  </si>
  <si>
    <t>e2738520-b6a8-11e4-8507-b58af63d1078</t>
  </si>
  <si>
    <t>http://www.mirror.co.uk/news/weird-news/worlds-oldest-burger-man-claims-5173737</t>
  </si>
  <si>
    <t>www.mirror.co.uk</t>
  </si>
  <si>
    <t>British teenage jihadist killed during US air strikes on Syria</t>
  </si>
  <si>
    <t>ef4eb090-4433-11e4-94c0-515d9d816ec6</t>
  </si>
  <si>
    <t>http://www.mirror.co.uk/news/uk-news/british-teenage-jihadist-killed-during-4318358</t>
  </si>
  <si>
    <t>Teacher sex tape exposed as a FAKE after internet detectives trace the origin of pornographic clip</t>
  </si>
  <si>
    <t>49d9cbd0-c7f6-11e4-883c-a7fa7a3c5066</t>
  </si>
  <si>
    <t>http://www.mirror.co.uk/news/world-news/teacher-sex-tape-exposed-fake-4563651</t>
  </si>
  <si>
    <t>Teacher suspended after sex session with teen pupil ends up on hardcore porn website</t>
  </si>
  <si>
    <t>40218ba0-c7f6-11e4-883c-a7fa7a3c5066</t>
  </si>
  <si>
    <t>http://www.mirror.co.uk/news/world-news/teacher-suspended-after-sex-session-4559316</t>
  </si>
  <si>
    <t>Calm down everyone, Banksy hasn't been arrested: 9 clues that it's a hoax</t>
  </si>
  <si>
    <t>551d5620-5888-11e4-aaf5-a1ddcfbcd5a9</t>
  </si>
  <si>
    <t>http://www.mirror.co.uk/news/uk-news/calm-down-everyone-banksy-hasnt-4468865</t>
  </si>
  <si>
    <t>Justin Bieber scares off GRIZZLY BEAR and saves fisherman from a mauling</t>
  </si>
  <si>
    <t>b661ca50-1ce8-11e4-8c09-cd48fe37674e</t>
  </si>
  <si>
    <t>http://www.mirror.co.uk/3am/celebrity-news/justin-bieber-scares-grizzly-bear-3995326</t>
  </si>
  <si>
    <t>Big Bank Hank dead: Sugarhill Gang member and rapper dies aged 57</t>
  </si>
  <si>
    <t>814ef890-69de-11e4-b528-9d5aa2d2e8e7</t>
  </si>
  <si>
    <t>http://www.mirror.co.uk/3am/celebrity-news/big-bank-hank-dead-sugarhill-4611001</t>
  </si>
  <si>
    <t>Is this proof of bigfoot? New yeti video shows giant hairy beast walking through forest</t>
  </si>
  <si>
    <t>57f6f9d0-9d22-11e4-bf59-1bb8b99952ce</t>
  </si>
  <si>
    <t>http://www.mirror.co.uk/news/weird-news/proof-bigfoot-new-yeti-video-4977179</t>
  </si>
  <si>
    <t>Scorned wife leaves love-rat husband and twin sister NAKED in car park</t>
  </si>
  <si>
    <t>5eb32ae0-9ffd-11e4-a353-5b831fe927be</t>
  </si>
  <si>
    <t>http://www.mirror.co.uk/news/world-news/scorned-wife-leaves-love-rat-husband-4828218</t>
  </si>
  <si>
    <t>Unlucky in love man CHOPS OFF own penis because he was fed up with not having a girlfriend</t>
  </si>
  <si>
    <t>53faf1e0-a5c6-11e4-aa4f-ff16e52e0d56</t>
  </si>
  <si>
    <t>http://www.mirror.co.uk/news/weird-news/man-cuts-penis-because-frustrated-2651947</t>
  </si>
  <si>
    <t>Mystery of 50ft giant crab caught on camera yards from British harbour</t>
  </si>
  <si>
    <t>138d8a00-555d-11e4-aaf5-a1ddcfbcd5a9</t>
  </si>
  <si>
    <t>http://www.mirror.co.uk/news/uk-news/mystery-50ft-giant-crab-caught-4429030</t>
  </si>
  <si>
    <t>Watch moment TV weatherman is caught urinating in the bushes LIVE on camera</t>
  </si>
  <si>
    <t>930c6440-6458-11e4-b3d8-a32d8ec8ad5e</t>
  </si>
  <si>
    <t>http://www.mirror.co.uk/news/weird-news/watch-moment-tv-weatherman-caught-4553426</t>
  </si>
  <si>
    <t>Search launched for dog's owner after pooch found dumped next to suitcase filled with belongings</t>
  </si>
  <si>
    <t>37d06ae0-9685-11e4-87a8-1d5d45e62193</t>
  </si>
  <si>
    <t>http://www.mirror.co.uk/news/uk-news/search-launched-dogs-owner-after-4927075</t>
  </si>
  <si>
    <t>I aborted my baby because it was a boy: Outrage after feminist blogger claims gender prompted termination</t>
  </si>
  <si>
    <t>a093d780-b20d-11e4-9a23-0b6010caa867</t>
  </si>
  <si>
    <t>http://www.mirror.co.uk/news/uk-news/i-aborted-baby-because-boy-5143227</t>
  </si>
  <si>
    <t>No - a Fox News Twitter account isn't responding to tweets on the FoxNewsFacts hashtag</t>
  </si>
  <si>
    <t>dd1f4430-9a81-11e4-bf59-1bb8b99952ce</t>
  </si>
  <si>
    <t>http://www.mirror.co.uk/news/weird-news/no---fox-news-twitter-4964516</t>
  </si>
  <si>
    <t>Saudi Arabian airline to separate genders after men complain about blokes sitting next to their wives</t>
  </si>
  <si>
    <t>e8a91920-9478-11e4-b6bf-fdc8b7e3bcff</t>
  </si>
  <si>
    <t>http://www.mirror.co.uk/news/world-news/saudi-arabian-airline-separate-genders-4908803</t>
  </si>
  <si>
    <t>Blundering boyfriend burns down college after trying to impress his girlfriend with elaborate marriage proposal</t>
  </si>
  <si>
    <t>bca8b190-9ffa-11e4-a353-5b831fe927be</t>
  </si>
  <si>
    <t>http://www.mirror.co.uk/news/world-news/blundering-boyfriend-burns-down-college-4524842</t>
  </si>
  <si>
    <t>Angry mob hacks off alleged rapist's genitals with meat cleaver after dragging him into butchers</t>
  </si>
  <si>
    <t>c3197bd0-a4c4-11e4-aa4f-ff16e52e0d56</t>
  </si>
  <si>
    <t>http://www.mirror.co.uk/news/world-news/angry-mob-hacks-alleged-rapists-4413312</t>
  </si>
  <si>
    <t>After ISIS trick mum into eating son - 5 other reluctant cannibals including those forced to eat own body parts</t>
  </si>
  <si>
    <t>494fecd0-c11b-11e4-8747-5b024dd6dd6c</t>
  </si>
  <si>
    <t>http://www.mirror.co.uk/news/weird-news/after-isis-trick-mum-eating-5259676</t>
  </si>
  <si>
    <t>ISIS: Desperate mum told you've just eaten your son after visiting militants base in search of kidnap victim</t>
  </si>
  <si>
    <t>5dc29af0-c11b-11e4-8747-5b024dd6dd6c</t>
  </si>
  <si>
    <t>http://www.mirror.co.uk/news/world-news/isis-desperate-mum-told-youve-5257013</t>
  </si>
  <si>
    <t>ISIS launch SCORPION BOMBS to spread panic in Iraq</t>
  </si>
  <si>
    <t>cc9822b0-8539-11e4-b1b5-4f1bd36cbfc6</t>
  </si>
  <si>
    <t>http://www.mirror.co.uk/news/world-news/isis-launch-scorpion-bombs-spread-4817241</t>
  </si>
  <si>
    <t>James Foley beheading: ISIS militants trying to sell murdered hostage's body to his parents for 1m</t>
  </si>
  <si>
    <t>33256d40-8138-11e4-8faa-9748b2fc07a1</t>
  </si>
  <si>
    <t>http://www.mirror.co.uk/news/world-news/james-foley-beheading-isis-militants-4787361</t>
  </si>
  <si>
    <t>Fisherman lands 19 STONE catfish which could be biggest in world to be hooked</t>
  </si>
  <si>
    <t>b80dd1e0-bd34-11e4-b073-ed15c88bfa1e</t>
  </si>
  <si>
    <t>http://www.mirror.co.uk/news/uk-news/fisherman-lands-19-stone-catfish-5215760</t>
  </si>
  <si>
    <t>Nun who GAVE BIRTH to baby boy after suffering agonising stomach pains had no idea she was pregnant</t>
  </si>
  <si>
    <t>ece6f090-a434-11e4-aa4f-ff16e52e0d56</t>
  </si>
  <si>
    <t>http://www.mirror.co.uk/news/weird-news/nun-who-gave-birth-baby-5032013</t>
  </si>
  <si>
    <t>Jihadi John: Mohammed Emwazi named as masked man behind ISIS beheadings</t>
  </si>
  <si>
    <t>07c484c0-bdb4-11e4-b073-ed15c88bfa1e</t>
  </si>
  <si>
    <t>http://www.mirror.co.uk/news/uk-news/jihadi-john-mohammed-emwazi-named-5234955</t>
  </si>
  <si>
    <t>British terrorist Jihadi John injured in airstrike close to Syrian border</t>
  </si>
  <si>
    <t>51185c10-6d36-11e4-8e10-b9c720c188ba</t>
  </si>
  <si>
    <t>http://www.mirror.co.uk/news/world-news/british-terrorist-jihadi-john-injured-4636700</t>
  </si>
  <si>
    <t>North Korea dictator Kim Jong-un undergoes surgery after breaking both ankles on military tour</t>
  </si>
  <si>
    <t>b01affa0-48d9-11e4-9960-a165dd517bbb</t>
  </si>
  <si>
    <t>http://www.mirror.co.uk/news/world-news/north-korea-dictator-kim-jong-un-4350339</t>
  </si>
  <si>
    <t>Kim Jong-un loves CHEESE so much he's ballooned in size and walks with limp</t>
  </si>
  <si>
    <t>acd14b60-4582-11e4-a79e-01321ca3a48d</t>
  </si>
  <si>
    <t>http://www.mirror.co.uk/news/world-news/kim-jong-un-loves-cheese-much-4277766</t>
  </si>
  <si>
    <t>Ottawa shooting: Sergeant-at-Arms Kevin Vickers hailed a hero for shooting rampaging gunman</t>
  </si>
  <si>
    <t>911eed90-5a0f-11e4-aaf5-a1ddcfbcd5a9</t>
  </si>
  <si>
    <t>http://www.mirror.co.uk/news/world-news/ottawa-shooting-sergeant-at-arms-kevin-vickers-4484917</t>
  </si>
  <si>
    <t>Kurdish resistance denies ISIS claims that they have beheaded poster girl Rehana</t>
  </si>
  <si>
    <t>b9709bc0-5e35-11e4-a887-2324afc3f9a8</t>
  </si>
  <si>
    <t>http://www.mirror.co.uk/news/world-news/kurdish-resistance-denies-isis-claims-4519763</t>
  </si>
  <si>
    <t>Macaulay Culkin dead hoax: Fake death report spreads on social networks</t>
  </si>
  <si>
    <t>c5bcd770-67b0-11e4-b528-9d5aa2d2e8e7</t>
  </si>
  <si>
    <t>http://www.mirror.co.uk/3am/celebrity-news/macaulay-culkin-dead-hoax-fake-4592060</t>
  </si>
  <si>
    <t>Magic mushrooms found in BUCKINGHAM PALACE by Alan Titchmarsh</t>
  </si>
  <si>
    <t>e84d0ca0-83f4-11e4-b1b5-4f1bd36cbfc6</t>
  </si>
  <si>
    <t>http://www.mirror.co.uk/news/uk-news/magic-mushrooms-found-buckingham-palace-4794536</t>
  </si>
  <si>
    <t>Real-life Magneto boy becomes living magnet after getting massive electric shock from street lamp</t>
  </si>
  <si>
    <t>a66a5a90-702b-11e4-8e10-b9c720c188ba</t>
  </si>
  <si>
    <t>http://www.mirror.co.uk/news/weird-news/real-life-magneto-boy-becomes-living-4655247</t>
  </si>
  <si>
    <t>Man who SLAPS people if they sneeze in public being hunted by police</t>
  </si>
  <si>
    <t>e6931dc0-d0fa-11e4-956e-77ab1bea7698</t>
  </si>
  <si>
    <t>http://www.mirror.co.uk/news/weird-news/man-who-slaps-people-sneeze-5372203</t>
  </si>
  <si>
    <t>Charles Manson wedding off as bride wanted to display his dead body in glass coffin</t>
  </si>
  <si>
    <t>6a927ab0-b11d-11e4-9a23-0b6010caa867</t>
  </si>
  <si>
    <t>http://www.mirror.co.uk/news/world-news/charles-manson-wedding-bride-wanted-5133099</t>
  </si>
  <si>
    <t>Watch US Marine get shot in HEAD by Taliban sniper - and live to tell tale</t>
  </si>
  <si>
    <t>4dceb640-5543-11e4-b6a0-9705a8f94440</t>
  </si>
  <si>
    <t>http://www.mirror.co.uk/news/world-news/watch-marine-shot-head-taliban-4445963</t>
  </si>
  <si>
    <t>Shocking moment shows adulteress stripped naked and beaten in busy shopping centre</t>
  </si>
  <si>
    <t>2e9ba470-9ffa-11e4-a353-5b831fe927be</t>
  </si>
  <si>
    <t>http://www.mirror.co.uk/news/world-news/shocking-moment-shows-adulteress-stripped-4434527</t>
  </si>
  <si>
    <t>Shocking picture shows mother trying to sell her own son to pay for twin daughter's cancer treatment</t>
  </si>
  <si>
    <t>825425f0-96b4-11e4-87a8-1d5d45e62193</t>
  </si>
  <si>
    <t>http://www.mirror.co.uk/news/world-news/shocking-picture-shows-mother-trying-4927103</t>
  </si>
  <si>
    <t>Cannibal mum tries to EAT her own baby shortly after giving birth</t>
  </si>
  <si>
    <t>2f557290-7bdf-11e4-b794-93ed794d7b91</t>
  </si>
  <si>
    <t>http://www.mirror.co.uk/news/world-news/cannibal-mum-tries-eat-baby-4747036</t>
  </si>
  <si>
    <t>Watch NAKED airport worker walk through scanner in bizarre protest against rough guards</t>
  </si>
  <si>
    <t>24cf99d0-b6d2-11e4-8507-b58af63d1078</t>
  </si>
  <si>
    <t>http://www.mirror.co.uk/news/world-news/watch-naked-airport-worker-walk-5171200</t>
  </si>
  <si>
    <t>School pupil writes moving letter to her teacher after he comes out as gay</t>
  </si>
  <si>
    <t>b2c43e20-8618-11e4-b1b5-4f1bd36cbfc6</t>
  </si>
  <si>
    <t>http://www.mirror.co.uk/news/uk-news/school-pupil-writes-moving-letter-4821792</t>
  </si>
  <si>
    <t>Kim Jong-un set to open a new restaurant in SCOTLAND</t>
  </si>
  <si>
    <t>41802360-9b16-11e4-bf59-1bb8b99952ce</t>
  </si>
  <si>
    <t>http://www.mirror.co.uk/news/uk-news/kim-jong-un-set-open-new-4957996</t>
  </si>
  <si>
    <t>Joan Rivers death: Biopsy doctor took SELFIE with star while she was under anesthesia moments before cardiac arrest</t>
  </si>
  <si>
    <t>7b74b340-3e57-11e4-bc0b-3f922b93930d</t>
  </si>
  <si>
    <t>http://www.mirror.co.uk/3am/celebrity-news/joan-rivers-death-biopsy-doctor-4272974</t>
  </si>
  <si>
    <t>Joan Rivers selfie doctor DENIES performing biopsy and taking photo while star was under anesthesia</t>
  </si>
  <si>
    <t>fc276df0-403e-11e4-9e78-ff09d5b0049d</t>
  </si>
  <si>
    <t>http://www.mirror.co.uk/3am/celebrity-news/joan-rivers-selfie-doctor-denies-4284490</t>
  </si>
  <si>
    <t>Office sandwich thief is caught after hilarious note war reaches fantastic finale</t>
  </si>
  <si>
    <t>774fdb30-2d60-11e4-89c5-1d389b94bc4b</t>
  </si>
  <si>
    <t>http://www.mirror.co.uk/news/weird-news/office-sandwich-thief-caught-after-4094152</t>
  </si>
  <si>
    <t>Steven Sotloff beheading: Recap updates as Obama says US will degrade and destroy ISIS</t>
  </si>
  <si>
    <t>77f4f690-32cb-11e4-8453-710264d9a1f8</t>
  </si>
  <si>
    <t>http://www.mirror.co.uk/news/world-news/live-steven-sotloff-beheading-video-4153715</t>
  </si>
  <si>
    <t>Tropical spider burrowed under man's skin through appendix scar and lived there for THREE DAYS</t>
  </si>
  <si>
    <t>aeff3110-565b-11e4-aaf5-a1ddcfbcd5a9</t>
  </si>
  <si>
    <t>http://www.mirror.co.uk/news/weird-news/tropical-spider-burrowed-under-mans-4446595</t>
  </si>
  <si>
    <t>Michael Phelps self-proclaimed girlfriend says she was born a BOY and reveals amazing sex with Olympian</t>
  </si>
  <si>
    <t>5e590ac0-70db-11e4-8e10-b9c720c188ba</t>
  </si>
  <si>
    <t>http://www.mirror.co.uk/news/world-news/michael-phelps-self-proclaimed-girlfriend-says-4659215</t>
  </si>
  <si>
    <t>Taylor Lianne Chandler: Everything you need to know about Michael Phelps intersex girlfriend</t>
  </si>
  <si>
    <t>76c7eff0-70df-11e4-8e10-b9c720c188ba</t>
  </si>
  <si>
    <t>http://www.mirror.co.uk/3am/celebrity-news/taylor-lianne-chandler-everything-you-4661077</t>
  </si>
  <si>
    <t>Say eh-oh to the Teletubbies SUN BABY - can you still recognise her after 19 years?</t>
  </si>
  <si>
    <t>6f8017f0-8b14-11e4-9799-c7e75be2bcad</t>
  </si>
  <si>
    <t>http://www.mirror.co.uk/tv/tv-news/say-eh-oh-teletubbies-sun-baby-4865722</t>
  </si>
  <si>
    <t>Woman has surgery to get third breast: The three most statistically unlikely pairs of boobs</t>
  </si>
  <si>
    <t>7ac704d0-428e-11e4-9e78-ff09d5b0049d</t>
  </si>
  <si>
    <t>http://www.mirror.co.uk/news/ampp3d/woman-surgery-third-breast-three-4304551</t>
  </si>
  <si>
    <t>Triple-breasted woman pictured before operation and vows surgery footage will prove third boob is no hoax</t>
  </si>
  <si>
    <t>d4dd2c40-6bfd-11e4-b528-9d5aa2d2e8e7</t>
  </si>
  <si>
    <t>http://www.mirror.co.uk/news/weird-news/triple-breasted-woman-pictured-before-operation-4308642</t>
  </si>
  <si>
    <t>Transgender teen who committed suicide left heartbreaking note saying she would never be happy</t>
  </si>
  <si>
    <t>0ca50b60-9094-11e4-9799-c7e75be2bcad</t>
  </si>
  <si>
    <t>http://www.mirror.co.uk/news/world-news/transgender-teen-who-committed-suicide-4896027</t>
  </si>
  <si>
    <t>Furious women set trap for underwear thief then shame him in public</t>
  </si>
  <si>
    <t>0b337900-9cd4-11e4-bf59-1bb8b99952ce</t>
  </si>
  <si>
    <t>http://www.mirror.co.uk/news/world-news/furious-women-set-trap-underwear-4979426</t>
  </si>
  <si>
    <t>Rats at Vogue's NYC offices - watch your step, Anna Wintour</t>
  </si>
  <si>
    <t>1a0905e0-b3bc-11e4-8507-b58af63d1078</t>
  </si>
  <si>
    <t>http://www.mirror.co.uk/3am/celebrity-news/rats-vogues-nyc-offices---5152685</t>
  </si>
  <si>
    <t>Ferguson riots: Pregnant woman loses eye after cops fire BEAN BAG round through car window</t>
  </si>
  <si>
    <t>ae278cb0-773f-11e4-94c6-4131d5b705e4</t>
  </si>
  <si>
    <t>http://www.mirror.co.uk/news/world-news/ferguson-riots-pregnant-woman-loses-4711023</t>
  </si>
  <si>
    <t>How's it going?: Teenager wakes up during brain surgery and asks doctors for progress report</t>
  </si>
  <si>
    <t>af04a750-93bc-11e4-b6bf-fdc8b7e3bcff</t>
  </si>
  <si>
    <t>http://www.mirror.co.uk/news/world-news/hows-going-teenager-wakes-up-4907608</t>
  </si>
  <si>
    <t>Wedding punch-up when bride marries guest INSTEAD after groom suffers epileptic fit</t>
  </si>
  <si>
    <t>8a5caae0-b790-11e4-8507-b58af63d1078</t>
  </si>
  <si>
    <t>http://www.mirror.co.uk/news/world-news/wedding-punch-up-bride-marries-guest-5182682</t>
  </si>
  <si>
    <t>Cheeky vandals paint giant penis on bonnet of 1.5 million Bugatti Veyron sportscar</t>
  </si>
  <si>
    <t>0772f8a0-4ff3-11e4-b6a0-9705a8f94440</t>
  </si>
  <si>
    <t>http://www.mirror.co.uk/news/world-news/cheeky-vandals-paint-giant-penis-4405544</t>
  </si>
  <si>
    <t>Charlie Hebdo top cop Helric Fredou kills himself hours after magazine massacre</t>
  </si>
  <si>
    <t>0c1ff6b0-9a75-11e4-bf59-1bb8b99952ce</t>
  </si>
  <si>
    <t>http://www.mirror.co.uk/news/world-news/charlie-hebdo-top-cop-helric-4963644</t>
  </si>
  <si>
    <t>Mum helps kill 25 Taliban fighters during SEVEN-hour gun battle in revenge for cop son's death</t>
  </si>
  <si>
    <t>2a22ef50-7702-11e4-b9e8-ab92b2da133c</t>
  </si>
  <si>
    <t>http://www.mirror.co.uk/news/world-news/mum-helps-kill-25-taliban-4711406</t>
  </si>
  <si>
    <t>Man cut off manhood and threw it in bin after girlfriend dumped him over small penis</t>
  </si>
  <si>
    <t>6e767f90-5b92-11e4-a887-2324afc3f9a8</t>
  </si>
  <si>
    <t>http://www.mirror.co.uk/news/world-news/man-cut-manhood-threw-bin-4492692</t>
  </si>
  <si>
    <t>bb0af1b0-b001-11e4-9a23-0b6010caa867</t>
  </si>
  <si>
    <t>http://www.mirror.co.uk/news/weird-news/sexually-frustrated-female-owl-killed-5125651</t>
  </si>
  <si>
    <t>God is a woman- Priest who died for 48 minutes claims</t>
  </si>
  <si>
    <t>37e2e2e0-ba9f-11e4-b073-ed15c88bfa1e</t>
  </si>
  <si>
    <t>http://www.monitor.co.ug/News/World/God-is-a-woman--Priest-who-died-for-48-minutes-claims/-/688340/2629116/-/kca2an/-/index.html</t>
  </si>
  <si>
    <t>www.monitor.co.ug</t>
  </si>
  <si>
    <t>Web Portal publishes death of Dog Whisperer</t>
  </si>
  <si>
    <t>f80fbba0-7afe-11e4-b794-93ed794d7b91</t>
  </si>
  <si>
    <t>http://www.monitornacional.com/portal-web-publica-muerte-del-encantador-de-perros/</t>
  </si>
  <si>
    <t>www.monitornacional.com</t>
  </si>
  <si>
    <t>UPDATE: Soldier, gunman who died in Ottawa rampage identified</t>
  </si>
  <si>
    <t>b0194bf0-5a32-11e4-aaf5-a1ddcfbcd5a9</t>
  </si>
  <si>
    <t>http://www.montrealgazette.com/News/canada/BREAKING+Soldier+shot+Memorial+Ottawa/10314331/story.html</t>
  </si>
  <si>
    <t>www.montrealgazette.com</t>
  </si>
  <si>
    <t>Saudi Airlines to Separate Men and Women on Flights</t>
  </si>
  <si>
    <t>f152cf80-9478-11e4-b6bf-fdc8b7e3bcff</t>
  </si>
  <si>
    <t>http://www.moroccoworldnews.com/2015/01/148708/saudi-airlines-to-separate-men-and-women-on-flights/</t>
  </si>
  <si>
    <t>www.moroccoworldnews.com</t>
  </si>
  <si>
    <t>No, Saudi TV Didn't Blur Out Michelle Obama's Face When the President Met King Salman</t>
  </si>
  <si>
    <t>a0c1a590-a699-11e4-aa4f-ff16e52e0d56</t>
  </si>
  <si>
    <t>http://www.motherjones.com/mixed-media/2015/01/no-saudi-tv-didnt-blur-out-michelle-obamas-face-when-president-met-king-salman</t>
  </si>
  <si>
    <t>www.motherjones.com</t>
  </si>
  <si>
    <t>Secret Service Lied About White House Fence Jumper</t>
  </si>
  <si>
    <t>26becc40-481c-11e4-9960-a165dd517bbb</t>
  </si>
  <si>
    <t>http://www.motherjones.com/kevin-drum/2014/09/report-secret-service-lied-about-white-house-fence-jumper</t>
  </si>
  <si>
    <t>Zack Snyder's Batman V Superman: Dawn Of Justice Stolen Batmobile Rumor Put To Rest</t>
  </si>
  <si>
    <t>28b9c230-3c45-11e4-bc0b-3f922b93930d</t>
  </si>
  <si>
    <t>http://www.movieviral.com/2014/09/14/zack-snyders-batman-v-superman-dawn-of-justice-stolen-batmobile-rumor-put-to-rest/</t>
  </si>
  <si>
    <t>www.movieviral.com</t>
  </si>
  <si>
    <t>Hong Kong protesters mimic Ferguson's hands up, don't shoot</t>
  </si>
  <si>
    <t>18eea9c0-47e3-11e4-9960-a165dd517bbb</t>
  </si>
  <si>
    <t>http://www.msnbc.com/the-last-word/riot-police-tear-gas-pro-democracy-demonstrators-hong-kong</t>
  </si>
  <si>
    <t>www.msnbc.com</t>
  </si>
  <si>
    <t>ISIS video showing beheading triggers international response</t>
  </si>
  <si>
    <t>2b083e10-3c9d-11e4-bc0b-3f922b93930d</t>
  </si>
  <si>
    <t>http://www.msnbc.com/msnbc/isis-video-showing-beheading-triggers-international-response</t>
  </si>
  <si>
    <t>Audio of gunfire in Michael Brown case authenticated by app company</t>
  </si>
  <si>
    <t>916eb8c0-36c4-11e4-ae63-d5574342724c</t>
  </si>
  <si>
    <t>http://www.msnbc.com/msnbc/audio-gunfire-michael-brown-case-authenticated</t>
  </si>
  <si>
    <t>Justin Bieber Basically Saves A Russian Man From A Bear</t>
  </si>
  <si>
    <t>db614260-26c3-11e4-96be-dfc0d1eebaea</t>
  </si>
  <si>
    <t>http://www.mtv.com/news/1890283/justin-bieber-baby-bear-attack/</t>
  </si>
  <si>
    <t>www.mtv.com</t>
  </si>
  <si>
    <t>Did This Kid Really Make 72 Million During Lunch?</t>
  </si>
  <si>
    <t>2f60d730-8485-11e4-b1b5-4f1bd36cbfc6</t>
  </si>
  <si>
    <t>http://www.mtv.com/news/2026007/mohammed-islam-high-school-72-million/</t>
  </si>
  <si>
    <t>Paul Rudd Helped Tackle A Violent Homophobe So That's Another Reason To Love Him UPDATE</t>
  </si>
  <si>
    <t>96ca0170-5e16-11e4-a887-2324afc3f9a8</t>
  </si>
  <si>
    <t>http://www.mtv.com/news/1977001/paul-rudd-dallas-good-samaritan/</t>
  </si>
  <si>
    <t>Kid Suspended For Allegedly Threatening Classmate With Hobbit Magic</t>
  </si>
  <si>
    <t>f0f30ac0-ab0a-11e4-9a23-0b6010caa867</t>
  </si>
  <si>
    <t>http://www.mtv.com/news/2066223/student-suspended-lotr-threat/</t>
  </si>
  <si>
    <t>This Is What The Sun Baby From Teletubbies Looks Like Now</t>
  </si>
  <si>
    <t>3fd41ac0-8ba4-11e4-9799-c7e75be2bcad</t>
  </si>
  <si>
    <t>http://www.mtv.com/news/2034710/teletubbies-sun-baby-today/</t>
  </si>
  <si>
    <t>Pumpkin Spice Condoms, And 6 Other Flavors That Aren't Happening</t>
  </si>
  <si>
    <t>bb2d7800-3817-11e4-ae63-d5574342724c</t>
  </si>
  <si>
    <t>http://www.mtv.com/news/1924212/pumpkin-spice-condoms/</t>
  </si>
  <si>
    <t>How's it going?: Teen wakes up during brain surgery</t>
  </si>
  <si>
    <t>881df9e0-93bf-11e4-b6bf-fdc8b7e3bcff</t>
  </si>
  <si>
    <t>http://www.mumbaimirror.com/news/world/Hows-it-going-Teen-wakes-up-during-brain-surgery/articleshow/45737992.cms</t>
  </si>
  <si>
    <t>www.mumbaimirror.com</t>
  </si>
  <si>
    <t>Lunch theft prompts ransom note from sandwich thief</t>
  </si>
  <si>
    <t>0f83efe0-2d61-11e4-89c5-1d389b94bc4b</t>
  </si>
  <si>
    <t>http://www.myfoxchicago.com/story/26361069/lunch-theft-prompts-ransom-note-from-sandwich-thief</t>
  </si>
  <si>
    <t>www.myfoxchicago.com</t>
  </si>
  <si>
    <t>Frisco: Sick patient claims to have had contact with Ebola victim</t>
  </si>
  <si>
    <t>b0782130-4f23-11e4-949b-f14041b20838</t>
  </si>
  <si>
    <t>http://www.myfoxdfw.com/story/26737893/frisco-sick-patient-shows-signs-of-ebola</t>
  </si>
  <si>
    <t>www.myfoxdfw.com</t>
  </si>
  <si>
    <t>Man kicked off flight after Merry Christmas greeting sets him off</t>
  </si>
  <si>
    <t>55847b20-8c77-11e4-9799-c7e75be2bcad</t>
  </si>
  <si>
    <t>http://www.myfoxdfw.com/story/27707315/man-kicked-off-flight-after-merry-christmas-greeting-sets-him-off</t>
  </si>
  <si>
    <t>Tail of survival: Buried cat, believed dead, claws back to life</t>
  </si>
  <si>
    <t>3fe0f790-a675-11e4-aa4f-ff16e52e0d56</t>
  </si>
  <si>
    <t>http://www.myfoxtampabay.com/story/27942551/tail-of-survival-buried-cat-believed-dead-claws-back-to-life</t>
  </si>
  <si>
    <t>www.myfoxtampabay.com</t>
  </si>
  <si>
    <t>Tesla chooses Nevada for new battery factory plant</t>
  </si>
  <si>
    <t>97a24470-33a2-11e4-8453-710264d9a1f8</t>
  </si>
  <si>
    <t>http://www.mynews3.com/content/news/story/cnbc-tesla-battery-factory-plant-nevada-sandoval/RGyFZOx4_Ei510Rdd6uXVw.cspx</t>
  </si>
  <si>
    <t>www.mynews3.com</t>
  </si>
  <si>
    <t>ISIS Fighters Getting Caught Coming Across the U.S.-Mexican Border?</t>
  </si>
  <si>
    <t>0deac590-4fcc-11e4-b6a0-9705a8f94440</t>
  </si>
  <si>
    <t>http://www.nationalreview.com/campaign-spot/389829/isis-fighters-getting-caught-coming-across-us-mexican-border-jim-geraghty</t>
  </si>
  <si>
    <t>www.nationalreview.com</t>
  </si>
  <si>
    <t>Is There an ISIS Threat on the Texas-Mexico Border or Not?</t>
  </si>
  <si>
    <t>711d5670-768a-11e4-b9e8-ab92b2da133c</t>
  </si>
  <si>
    <t>http://www.nationalreview.com/campaign-spot/389933/there-isis-threat-texas-mexico-border-or-not-jim-geraghty</t>
  </si>
  <si>
    <t>University Bans Word Freshman Because It's Sexist and Promotes Rape</t>
  </si>
  <si>
    <t>8cbd7050-730a-11e4-99be-fb3662a4a6dd</t>
  </si>
  <si>
    <t>http://www.nationalreview.com/article/392994/university-bans-word-freshman-because-its-sexist-and-promotes-rape-katherine-timpf</t>
  </si>
  <si>
    <t>Google to Buy Redwood City Offices for 585M</t>
  </si>
  <si>
    <t>f657d3e0-66f1-11e4-b528-9d5aa2d2e8e7</t>
  </si>
  <si>
    <t>http://www.nbcbayarea.com/news/local/Google-Buys-Redwood-City-Offices-280485582.html</t>
  </si>
  <si>
    <t>www.nbcbayarea.com</t>
  </si>
  <si>
    <t>Argentina's President Adopts Boy to End Werewolf Curse</t>
  </si>
  <si>
    <t>c60a07d0-8f96-11e4-9799-c7e75be2bcad</t>
  </si>
  <si>
    <t>http://www.nbcnews.com/news/latino/argentinas-president-adopts-boy-end-werewolf-curse-n276276</t>
  </si>
  <si>
    <t>www.nbcnews.com</t>
  </si>
  <si>
    <t>Terror Leader Ahmed Abdi Godane Killed in U.S. Strike</t>
  </si>
  <si>
    <t>0200dbb0-351a-11e4-a3fd-07e9a9d397df</t>
  </si>
  <si>
    <t>http://www.nbcnews.com/news/world/terror-leader-ahmed-abdi-godane-killed-u-s-strike-n196601</t>
  </si>
  <si>
    <t>ISIS Hostage Alan Henning's Wife Invokes Sharia Law in New Plea</t>
  </si>
  <si>
    <t>2b104a00-4414-11e4-94c0-515d9d816ec6</t>
  </si>
  <si>
    <t>http://www.nbcnews.com/news/world/isis-hostage-alan-hennings-wife-invokes-sharia-law-new-plea-n209976</t>
  </si>
  <si>
    <t>Unconfirmed: ISIS Claims Kayla Mueller, American Female Hostage, Is Dead</t>
  </si>
  <si>
    <t>5d4c3890-ae3a-11e4-9a23-0b6010caa867</t>
  </si>
  <si>
    <t>http://www.nbcnews.com/storyline/isis-terror/unconfirmed-isis-claims-kayla-mueller-american-female-hostage-dead-n301631</t>
  </si>
  <si>
    <t>ISIS Extremists Claim to Behead British Hostage David Haines</t>
  </si>
  <si>
    <t>74fcb240-3c9c-11e4-bc0b-3f922b93930d</t>
  </si>
  <si>
    <t>http://www.nbcnews.com/storyline/isis-terror/isis-extremists-claim-behead-british-hostage-david-haines-n202836</t>
  </si>
  <si>
    <t>James Wright Foley, Kidnapped Journalist, Apparently Executed by ISIS</t>
  </si>
  <si>
    <t>e1d9a2b0-27e8-11e4-96be-dfc0d1eebaea</t>
  </si>
  <si>
    <t>http://www.nbcnews.com/news/world/james-wright-foley-kidnapped-journalist-apparently-executed-isis-n184376</t>
  </si>
  <si>
    <t>ISIS Executioner Jihadi John Is Named as Mohammed Emwazi</t>
  </si>
  <si>
    <t>6fe97340-bdb8-11e4-b073-ed15c88bfa1e</t>
  </si>
  <si>
    <t>http://www.nbcnews.com/storyline/isis-terror/isis-executioner-jihadi-john-named-mohammed-emwazi-n313171</t>
  </si>
  <si>
    <t>Magic Mushrooms Found in Queen Elizabeth's Garden at Buckingham Palace</t>
  </si>
  <si>
    <t>1dc34480-83f5-11e4-b1b5-4f1bd36cbfc6</t>
  </si>
  <si>
    <t>http://www.nbcnews.com/news/world/magic-mushrooms-found-queen-elizabeths-garden-buckingham-palace-n266966</t>
  </si>
  <si>
    <t>Mexico Says Students Not Among Dead in Mass Grave</t>
  </si>
  <si>
    <t>7e3ee370-54d7-11e4-b6a0-9705a8f94440</t>
  </si>
  <si>
    <t>http://www.nbcnews.com/news/latin-america/mexico-says-students-not-among-dead-mass-grave-n226071</t>
  </si>
  <si>
    <t>Found Missing Afghan Soldiers Caught Trying to Enter Canada</t>
  </si>
  <si>
    <t>f000bc10-427e-11e4-9e78-ff09d5b0049d</t>
  </si>
  <si>
    <t>http://www.nbcnews.com/news/us-news/found-missing-afghan-soldiers-spotted-trying-enter-canada-n208866</t>
  </si>
  <si>
    <t>FBI Probing Alleged Audio of Michael Brown Shooting</t>
  </si>
  <si>
    <t>ac9328f0-2d70-11e4-89c5-1d389b94bc4b</t>
  </si>
  <si>
    <t>http://www.nbcnews.com/storyline/michael-brown-shooting/fbi-probing-alleged-audio-michael-brown-shooting-n189291</t>
  </si>
  <si>
    <t>ISIS Beheads American Journalist Steven Sotloff, Monitoring Group Says</t>
  </si>
  <si>
    <t>51673400-32cd-11e4-8453-710264d9a1f8</t>
  </si>
  <si>
    <t>http://www.nbcnews.com/news/world/isis-beheads-american-journalist-steven-sotloff-monitoring-group-says-n193936</t>
  </si>
  <si>
    <t>Prisoner Released in Bergdahl Exchange Tried to Reconnect With Taliban</t>
  </si>
  <si>
    <t>6be7c570-a8a1-11e4-a133-7514623ae047</t>
  </si>
  <si>
    <t>http://www.nbcnews.com/storyline/bowe-bergdahl-released/prisoner-released-bergdahl-exchange-tried-reconnect-taliban-n296416</t>
  </si>
  <si>
    <t>U.S. Hostage Luke Somers Killed During Yemen Rescue Bid</t>
  </si>
  <si>
    <t>13b2de80-7d2c-11e4-8faa-9748b2fc07a1</t>
  </si>
  <si>
    <t>http://www.nbcnews.com/news/world/u-s-yemen-attempt-rescue-american-hostage-luke-somers-n262911</t>
  </si>
  <si>
    <t>Afghan Mother Reza Gul Takes Up Slain Son's Gun to Kill Taliban Attackers</t>
  </si>
  <si>
    <t>c24b6b40-7702-11e4-b9e8-ab92b2da133c</t>
  </si>
  <si>
    <t>http://www.nbcnews.com/news/world/afghan-mother-reza-gul-takes-slain-sons-gun-kill-taliban-n256631</t>
  </si>
  <si>
    <t>Hope Fades for Girls Release After Boko Haram Truce Breached</t>
  </si>
  <si>
    <t>c9cfeb00-57d3-11e4-aaf5-a1ddcfbcd5a9</t>
  </si>
  <si>
    <t>http://www.nbcnews.com/storyline/missing-nigeria-schoolgirls/hope-fades-girls-release-after-boko-haram-truce-breached-n229166</t>
  </si>
  <si>
    <t>Omar Gonzalez, White House Fence-Jumper, Made it Farther Inside</t>
  </si>
  <si>
    <t>759a1080-481d-11e4-9960-a165dd517bbb</t>
  </si>
  <si>
    <t>http://www.nbcnews.com/news/us-news/omar-gonzalez-white-house-fence-jumper-made-it-farther-inside-n214316</t>
  </si>
  <si>
    <t>Snowmen Declared Anti-Islamic As Snow Falls in Saudi Arabia</t>
  </si>
  <si>
    <t>c00e4f60-9a97-11e4-bf59-1bb8b99952ce</t>
  </si>
  <si>
    <t>http://www.ndtv.com/article/world/snowmen-declared-anti-islamic-as-snow-falls-in-saudi-arabia-647692</t>
  </si>
  <si>
    <t>www.ndtv.com</t>
  </si>
  <si>
    <t>Stainless steel Apple Watch will be priced 500, gold at 5,000</t>
  </si>
  <si>
    <t>0efb3250-c216-11e4-8747-5b024dd6dd6c</t>
  </si>
  <si>
    <t>http://www.networkworld.com/article/2843717/mobile-apps/stainless-steel-apple-watch-will-reportedly-be-priced-at-500-gold-watch-edition-at-5000.html</t>
  </si>
  <si>
    <t>www.networkworld.com</t>
  </si>
  <si>
    <t>Microsoft's Silicon Valley campus now guarded by Daleks</t>
  </si>
  <si>
    <t>5dcdcd50-74a2-11e4-99be-fb3662a4a6dd</t>
  </si>
  <si>
    <t>http://www.networkworld.com/article/2851674/microsoft-subnet/microsofts-silicon-valley-campus-now-guarded-by-daleks.html</t>
  </si>
  <si>
    <t>Ohio Trans Teen Commits Suicide, Leaves Heartbreaking Note Declaring There's No Way Out</t>
  </si>
  <si>
    <t>a475a850-905d-11e4-9799-c7e75be2bcad</t>
  </si>
  <si>
    <t>http://www.newnownext.com/ohio-trans-teen-commits-suicide-leaves-heartbreaking-note-declaring-theres-no-way-out/12/2014/</t>
  </si>
  <si>
    <t>www.newnownext.com</t>
  </si>
  <si>
    <t>No, Islamic State Militants Have Not Been Caught by U.S. Border Patrol</t>
  </si>
  <si>
    <t>3ef4fe80-4fd1-11e4-b6a0-9705a8f94440</t>
  </si>
  <si>
    <t>http://www.newrepublic.com/article/119742/duncan-hunter-border-patrol-caught-10-isis-fighters-dhs-wrong</t>
  </si>
  <si>
    <t>www.newrepublic.com</t>
  </si>
  <si>
    <t>London hip-hop artist Abdel-Majed Abdel Bary key suspect in hunt for killer of American journalist James Foley</t>
  </si>
  <si>
    <t>f9351390-2bf3-11e4-89c5-1d389b94bc4b</t>
  </si>
  <si>
    <t>http://www.news.com.au/world/london-hiphop-artist-abdelmajed-abdel-bary-key-suspect-in-hunt-for-killer-of-american-journalist-james-foley/story-fndir2ev-1227034541900</t>
  </si>
  <si>
    <t>www.news.com.au</t>
  </si>
  <si>
    <t>Man saved from bear attack when his Justin Bieber ringtones goes off, sending bear fleeing</t>
  </si>
  <si>
    <t>c239e4a0-1ce5-11e4-8c09-cd48fe37674e</t>
  </si>
  <si>
    <t>http://www.news.com.au/world/man-saved-from-bear-attack-when-his-justin-bieber-ringtones-goes-off-sending-bear-fleeing/story-fndir2ev-1227014786856</t>
  </si>
  <si>
    <t>f7978510-8aba-11e4-adc5-33f8455b16a2</t>
  </si>
  <si>
    <t>http://www.news.com.au/lifestyle/real-life/seven-girls-fall-pregnant-after-five-day-school-trip-in-bosnia-and-herzegovina/story-fnq2oad4-1227164641066</t>
  </si>
  <si>
    <t>Crabzilla spotted off the coast of Britain</t>
  </si>
  <si>
    <t>ba6f0d30-5567-11e4-aaf5-a1ddcfbcd5a9</t>
  </si>
  <si>
    <t>http://www.news.com.au/technology/science/crabzilla-spotted-off-the-coast-of-britain/story-fnjwkt0b-1227089778185</t>
  </si>
  <si>
    <t>Saddam Hussein's pilots training Islamic State group</t>
  </si>
  <si>
    <t>82fe9dd0-5629-11e4-aaf5-a1ddcfbcd5a9</t>
  </si>
  <si>
    <t>http://www.news.com.au/world/saddam-husseins-pilots-training-islamic-state-group/story-fndir2ev-1227094471098</t>
  </si>
  <si>
    <t>United Nations asked to investigate claims of organ harvesting by ISIS</t>
  </si>
  <si>
    <t>6e28b3f0-b777-11e4-8507-b58af63d1078</t>
  </si>
  <si>
    <t>http://www.news.com.au/world/united-nations-asked-to-investigate-claims-of-organ-harvesting-by-isis/story-fndir2ev-1227224047581</t>
  </si>
  <si>
    <t>James Foley beheaded: ISIS claims to have killed US journalist</t>
  </si>
  <si>
    <t>2cd94550-27e8-11e4-96be-dfc0d1eebaea</t>
  </si>
  <si>
    <t>http://www.news.com.au/world/fears-journalist-james-wright-foley-beheaded-by-islamic-state-jihadists-in-message-to-united-states/story-fndir2ev-1227030183635</t>
  </si>
  <si>
    <t>ISIS reportedly wants 1 million for beheaded hostage James Foley's corpse</t>
  </si>
  <si>
    <t>3eda67d0-8138-11e4-8faa-9748b2fc07a1</t>
  </si>
  <si>
    <t>http://www.news.com.au/world/middle-east/isis-reportedly-wants-1-million-for-beheaded-hostage-james-foleys-corpse/story-fnh81ifq-1227153055681</t>
  </si>
  <si>
    <t>Wayward sister nun the wiser about baby</t>
  </si>
  <si>
    <t>cea4db50-a435-11e4-aa4f-ff16e52e0d56</t>
  </si>
  <si>
    <t>http://www.news.com.au/lifestyle/real-life/wayward-sister-nun-the-wiser-about-baby/story-fnq2oad4-1227195941061</t>
  </si>
  <si>
    <t>Claims famous Kurdish Peshmerga fighter Rehana may have been decapitated</t>
  </si>
  <si>
    <t>be31a640-5e35-11e4-a887-2324afc3f9a8</t>
  </si>
  <si>
    <t>http://www.news.com.au/world/claims-famous-kurdish-peshmerga-fighter-rehana-may-have-been-decapitated/story-fndir2ev-1227103268843</t>
  </si>
  <si>
    <t>Led Zeppelin's Robert Plant ripped up a 924 million reunion contract</t>
  </si>
  <si>
    <t>c50fb090-68fa-11e4-b528-9d5aa2d2e8e7</t>
  </si>
  <si>
    <t>http://www.news.com.au/entertainment/music/led-zeppelins-robert-plant-ripped-up-a-924-million-reunion-contract/story-e6frfn29-1227118272140</t>
  </si>
  <si>
    <t>Schoolboy almost killed by electric shock claims he now has superpowers like Magneto</t>
  </si>
  <si>
    <t>a6a750d0-705d-11e4-8e10-b9c720c188ba</t>
  </si>
  <si>
    <t>http://www.news.com.au/world/europe/schoolboy-almost-killed-by-electric-shock-claims-he-now-has-superpowers-like-magneto/story-fnh81p7g-1227129321120</t>
  </si>
  <si>
    <t>Airport worker strips naked at Russian airport</t>
  </si>
  <si>
    <t>3866dc10-b6d2-11e4-8507-b58af63d1078</t>
  </si>
  <si>
    <t>http://www.news.com.au/travel/travel-ideas/airport-worker-strips-naked-at-russian-airport/story-fnjpja3r-1227222381868</t>
  </si>
  <si>
    <t>Joan Rivers doctor took a selfie while she was out cold before doing an unauthorised biopsy</t>
  </si>
  <si>
    <t>5a241af0-3e57-11e4-bc0b-3f922b93930d</t>
  </si>
  <si>
    <t>http://www.news.com.au/entertainment/celebrity-life/joan-rivers-doctor-took-a-selfie-while-she-was-out-cold-before-doing-an-unauthorised-biopsy/story-fn907478-1227061276275</t>
  </si>
  <si>
    <t>Sandwich thief gets comeuppance in this awesome office note saga</t>
  </si>
  <si>
    <t>4ac26910-2d61-11e4-89c5-1d389b94bc4b</t>
  </si>
  <si>
    <t>http://www.news.com.au/lifestyle/food/sandwich-thief-gets-comeuppance-in-this-awesome-office-note-saga/story-fneuz8zj-1227033439091</t>
  </si>
  <si>
    <t>A soldier has been shot dead at Canada's war memorial just steps away from the nation's parliament</t>
  </si>
  <si>
    <t>6f762fb0-59fa-11e4-aaf5-a1ddcfbcd5a9</t>
  </si>
  <si>
    <t>http://www.news.com.au/world/north-america/a-soldier-has-been-shot-at-canadas-war-memorial-just-steps-away-from-the-nations-parliament/story-fnh81jut-1227099194556</t>
  </si>
  <si>
    <t>Bali spider burrows under Aussie's chest</t>
  </si>
  <si>
    <t>49500b40-565c-11e4-aaf5-a1ddcfbcd5a9</t>
  </si>
  <si>
    <t>http://www.news.com.au/travel/travel-updates/bali-spider-burrows-under-aussies-chest/story-fnizu68q-1227092875753</t>
  </si>
  <si>
    <t>Michael Phelps girlfriend Taylor Lianne Chandler reveals she was raised as a boy</t>
  </si>
  <si>
    <t>d75702b0-70db-11e4-8e10-b9c720c188ba</t>
  </si>
  <si>
    <t>http://www.news.com.au/entertainment/celebrity-life/michael-phelps-girlfriend-taylor-lianne-chandler-reveals-she-was-raised-as-a-boy/story-fnk825aa-1227129290523</t>
  </si>
  <si>
    <t>Islamist terrorists Jabhat Ansar al-Deen tweet picture of Texas plumber's truck fitted with anti-aircraft gun in Syria</t>
  </si>
  <si>
    <t>36682390-8777-11e4-b1b5-4f1bd36cbfc6</t>
  </si>
  <si>
    <t>http://www.news.com.au/world/islamist-terrorists-jabhat-ansar-al-deen-tweet-picture-of-texas-plumbers-truck-fitted-with-anti-aircraft-gun-in-syria/story-fndir2ev-1227159976685</t>
  </si>
  <si>
    <t>Jasmine Tridevil: The woman with three breasts</t>
  </si>
  <si>
    <t>425c6c20-428e-11e4-9e78-ff09d5b0049d</t>
  </si>
  <si>
    <t>http://www.news.com.au/lifestyle/beauty/jasmine-tridevil-the-woman-with-three-breasts/story-fnjck634-1227066715458</t>
  </si>
  <si>
    <t>Jasmine Tridevil: Woman with three breast denies surgery hoax claims</t>
  </si>
  <si>
    <t>9e8979c0-70ec-11e4-8e10-b9c720c188ba</t>
  </si>
  <si>
    <t>http://www.news.com.au/lifestyle/beauty/jasmine-tridevil-woman-with-three-breast-denies-surgery-hoax-claims/story-fnjck634-1227068739954</t>
  </si>
  <si>
    <t>Transgender teen leaves note on Tumblr blaming Christian parents for suicide</t>
  </si>
  <si>
    <t>8a043000-9093-11e4-9799-c7e75be2bcad</t>
  </si>
  <si>
    <t>http://www.news.com.au/world/transgender-teen-leaves-note-on-tumblr-blaming-christian-parents-for-suicide/story-fndir2ev-1227170863878</t>
  </si>
  <si>
    <t>Teen Iga Jasica wakes up during brain surgery, asks how it's going</t>
  </si>
  <si>
    <t>1b1dd170-9424-11e4-b6bf-fdc8b7e3bcff</t>
  </si>
  <si>
    <t>http://www.news.com.au/lifestyle/health/teen-iga-jasica-wakes-up-during-brain-surgery-asks-how-its-going/story-fneuzlbd-1227174032899</t>
  </si>
  <si>
    <t>Missing jetliners raise fear of new 911-style attacks after Libyan airport falls to Islamic militants</t>
  </si>
  <si>
    <t>a80dfa60-33d0-11e4-8453-710264d9a1f8</t>
  </si>
  <si>
    <t>http://www.news.com.au/world/africa/missing-jetliners-raise-fear-of-new-911style-attacks-after-libyan-airport-falls-to-islamic-militants/story-fnh81gzi-1227046071700</t>
  </si>
  <si>
    <t>ef0f9250-a4f7-11e4-aa4f-ff16e52e0d56</t>
  </si>
  <si>
    <t>http://www.news.com.au/world/asia/disturbed-aunt-cuts-off-nephews-penis-after-he-bursts-in-on-her-on-the-toilet/story-fnh81fz8-1227128166247</t>
  </si>
  <si>
    <t>Comcast gets customer fired for complaining about poor service</t>
  </si>
  <si>
    <t>6354e470-4ee6-11e4-949b-f14041b20838</t>
  </si>
  <si>
    <t>http://www.news.com.au/finance/business/comcast-gets-customer-fired-for-complaining-about-poor-service/story-fnda1bsz-1227083605801</t>
  </si>
  <si>
    <t>Iraqi and Kurdish media reports cases of Ebola among Islamic State fighters in Mosul</t>
  </si>
  <si>
    <t>ac87ae30-92b0-11e4-b271-b1de57982894</t>
  </si>
  <si>
    <t>http://www.news.com.au/world/iraqi-and-kurdish-media-reports-cases-of-ebola-among-islamic-state-fighters-in-mosul/story-fndir2ev-1227173228481</t>
  </si>
  <si>
    <t>Man cuts off manhood, throws it in the bin, after girlfriend leaves over small penis</t>
  </si>
  <si>
    <t>744158f0-5b92-11e4-a887-2324afc3f9a8</t>
  </si>
  <si>
    <t>http://www.news.com.au/world/europe/man-cuts-off-manhood-throws-it-in-the-bin-after-girlfriend-leaves-over-small-penis/story-fnh81p7g-1227101080865</t>
  </si>
  <si>
    <t>Outrage as children imitate dog fighting</t>
  </si>
  <si>
    <t>cc24d440-a1d1-11e4-a353-5b831fe927be</t>
  </si>
  <si>
    <t>http://www.news24.com/SouthAfrica/News/Outrage-as-children-imitate-dog-fighting-20150112</t>
  </si>
  <si>
    <t>www.news24.com</t>
  </si>
  <si>
    <t>CARLISLE HEAD SLAPPER ATTACKS SNEEZING WOMEN</t>
  </si>
  <si>
    <t>98fa32a0-d0fb-11e4-956e-77ab1bea7698</t>
  </si>
  <si>
    <t>http://www.newsandstar.co.uk/news/carlisle-head-slapper-attacks-sneezing-women-1.1199717</t>
  </si>
  <si>
    <t>www.newsandstar.co.uk</t>
  </si>
  <si>
    <t>Man discovers spider living under his skin during Bali vacation</t>
  </si>
  <si>
    <t>386e7320-565c-11e4-aaf5-a1ddcfbcd5a9</t>
  </si>
  <si>
    <t>http://www.newsday.com/news/world/dylan-thomas-australian-man-discovers-spider-living-under-his-skin-during-bali-vacation-1.9512396</t>
  </si>
  <si>
    <t>www.newsday.com</t>
  </si>
  <si>
    <t>20-Year-Old Quarter Pounder Looks About the Same</t>
  </si>
  <si>
    <t>f5b1f900-b6a8-11e4-8507-b58af63d1078</t>
  </si>
  <si>
    <t>http://www.newser.com/story/202782/2-guys-reveal-oldest-burger-in-the-world.html</t>
  </si>
  <si>
    <t>www.newser.com</t>
  </si>
  <si>
    <t>Willie Nelson Dead? Viral Hoax Fools Internet</t>
  </si>
  <si>
    <t>f9cbc7c0-bc1e-11e4-b073-ed15c88bfa1e</t>
  </si>
  <si>
    <t>http://www.newseveryday.com/articles/9514/20150223/willie-nelson-dead-viral-hoax-fools-internet.htm</t>
  </si>
  <si>
    <t>www.newseveryday.com</t>
  </si>
  <si>
    <t>ISIS Militants Have Contracted Ebola: Iraqi, Kurdish Media Reports</t>
  </si>
  <si>
    <t>920b1950-9299-11e4-b271-b1de57982894</t>
  </si>
  <si>
    <t>http://www.newseveryday.com/articles/5562/20150102/isis-militants-contracted-ebola-iraqi-kurdish-media-reports.htm</t>
  </si>
  <si>
    <t>Abdel Majed Abdel Bary Emerges as Suspect in Foley Beheading</t>
  </si>
  <si>
    <t>51c683a0-2c8e-11e4-89c5-1d389b94bc4b</t>
  </si>
  <si>
    <t>http://www.newsmax.com/thewire/abdel-majed-abdel-bary-suspect-foley-beheading/2014/08/25/id/590695/</t>
  </si>
  <si>
    <t>www.newsmax.com</t>
  </si>
  <si>
    <t>Rep. Duncan Hunter: At Least 10 ISIS Fighters Caught at Mexican Border</t>
  </si>
  <si>
    <t>4df920e0-4fcd-11e4-b6a0-9705a8f94440</t>
  </si>
  <si>
    <t>http://www.newsmax.com/Newsfront/ISIS-Border-Texas-Mexico/2014/10/08/id/599437/</t>
  </si>
  <si>
    <t>Judicial Watch's Farrell: ISIS Terrorists Did Cross Mexican Border</t>
  </si>
  <si>
    <t>a25da570-768d-11e4-b9e8-ab92b2da133c</t>
  </si>
  <si>
    <t>http://www.newsmax.com/Newsmax-Tv/duncan-hunter-mexico-border/2014/10/10/id/600030/</t>
  </si>
  <si>
    <t>Pete Hegseth: Marines Exit Yemen Forced to Surrender Dignity, Weapons</t>
  </si>
  <si>
    <t>c51b0060-b497-11e4-8507-b58af63d1078</t>
  </si>
  <si>
    <t>http://www.newsmax.com/Newsfront/Yemen-withdrawal-Marines-surrender/2015/02/11/id/624286/#ixzz3RXxz0GIG</t>
  </si>
  <si>
    <t>Jihadists Steal Commercial Jets, Raise 911 Fears</t>
  </si>
  <si>
    <t>fce74f40-33cc-11e4-8453-710264d9a1f8</t>
  </si>
  <si>
    <t>http://www.newsmax.com/Newsfront/jihadists-steal-commercial-jetliners/2014/09/02/id/592190/</t>
  </si>
  <si>
    <t>Surgery Patient Wakes Up, Asks Doc How's It Going?</t>
  </si>
  <si>
    <t>d4ddfc10-93bc-11e4-b6bf-fdc8b7e3bcff</t>
  </si>
  <si>
    <t>http://www.newsmaxhealth.com/Health-News/surgery-patient-wakes-talks/2015/01/02/id/616111/</t>
  </si>
  <si>
    <t>www.newsmaxhealth.com</t>
  </si>
  <si>
    <t>A grenade was found in a safe in Bromley, England</t>
  </si>
  <si>
    <t>Hand grenade found at Beckenham Lane property in Shortlands</t>
  </si>
  <si>
    <t>f5703200-425d-11e4-9e78-ff09d5b0049d</t>
  </si>
  <si>
    <t>90de4df0-425c-11e4-9e78-ff09d5b0049d</t>
  </si>
  <si>
    <t>http://www.newsshopper.co.uk/news/11488341.Unconfirmed_reports_of_hand_grenade_found_in_a_safe_at_Shortlands_property/?ref=twtrecvia</t>
  </si>
  <si>
    <t>www.newsshopper.co.uk</t>
  </si>
  <si>
    <t>Meteorite Leaves House-Sized Crater in Nicaragua's Capital</t>
  </si>
  <si>
    <t>7a5fb5c0-3841-11e4-ae63-d5574342724c</t>
  </si>
  <si>
    <t>http://www.newsweek.com/meteorite-leaves-house-sized-crater-nicaraguas-capital-268948</t>
  </si>
  <si>
    <t>www.newsweek.com</t>
  </si>
  <si>
    <t>Nujaifi Condemns Daash crime in Saqlawiyah and Alsiger areas of Anbar.</t>
  </si>
  <si>
    <t>06890c80-42bb-11e4-9e78-ff09d5b0049d</t>
  </si>
  <si>
    <t>http://www.ninanews.com/english/News_Details.asp?ar95_VQ=HGLKDK</t>
  </si>
  <si>
    <t>www.ninanews.com</t>
  </si>
  <si>
    <t>The famous Dog whisperer Cesar Millan died of a heart attack this morning.</t>
  </si>
  <si>
    <t>fefe7b90-7afe-11e4-b794-93ed794d7b91</t>
  </si>
  <si>
    <t>http://www.noticiasunam.com/2014/12/the-famous-dog-whisperer-cesar-millan.html</t>
  </si>
  <si>
    <t>www.noticiasunam.com</t>
  </si>
  <si>
    <t>Argentine President Takes On Godson But Not To Keep Werewolf At Bay</t>
  </si>
  <si>
    <t>277b1cb0-8fc0-11e4-9799-c7e75be2bcad</t>
  </si>
  <si>
    <t>http://www.npr.org/blogs/thetwo-way/2014/12/29/373834462/argentine-president-takes-on-godson-to-keep-werewolf-legend-at-bay</t>
  </si>
  <si>
    <t>www.npr.org</t>
  </si>
  <si>
    <t>Justin Bieber Ringtone Startles Bear</t>
  </si>
  <si>
    <t>b3e6f0f0-1d85-11e4-8c09-cd48fe37674e</t>
  </si>
  <si>
    <t>http://www.npr.org/2014/08/06/338233993/justin-bieber-ringtone-startles-bear?utm_medium=RSS&amp;utm_campaign=europe</t>
  </si>
  <si>
    <t>ISIS Video Purports To Show Beheading Of British Aid Worker</t>
  </si>
  <si>
    <t>cd56ec50-3c9f-11e4-bc0b-3f922b93930d</t>
  </si>
  <si>
    <t>http://www.npr.org/blogs/thetwo-way/2014/09/13/348292090/isis-video-purports-to-show-beheading-of-british-aid-worker</t>
  </si>
  <si>
    <t>U.S. Authenticates Video Of Militants Beheading American Journalist</t>
  </si>
  <si>
    <t>7c7db9a0-2870-11e4-a916-bf0b27b73ad5</t>
  </si>
  <si>
    <t>http://www.npr.org/blogs/thetwo-way/2014/08/20/341836683/video-purports-to-show-beheading-of-u-s-journalist-by-militants</t>
  </si>
  <si>
    <t>Bodies In Mexico Mass Grave Apparently Not Those Of Missing Students</t>
  </si>
  <si>
    <t>5a527520-54d8-11e4-b6a0-9705a8f94440</t>
  </si>
  <si>
    <t>http://www.npr.org/2014/10/15/356451275/bodies-in-mexico-mass-grave-apparently-not-those-of-missing-students</t>
  </si>
  <si>
    <t>Mass Graves Found In Mexico, Near Place Where 43 Students Went Missing</t>
  </si>
  <si>
    <t>f5406170-4cbb-11e4-949b-f14041b20838</t>
  </si>
  <si>
    <t>http://www.npr.org/blogs/thetwo-way/2014/10/05/353853385/mass-graves-found-in-mexico-near-place-where-43-students-went-missing</t>
  </si>
  <si>
    <t>Meteor Leaves 40-Foot Crater Near Managua's Airport</t>
  </si>
  <si>
    <t>c2f7ae90-383d-11e4-ae63-d5574342724c</t>
  </si>
  <si>
    <t>http://www.npr.org/blogs/thetwo-way/2014/09/08/346791538/meteor-leaves-40-foot-crater-near-managuas-airport</t>
  </si>
  <si>
    <t>Scientists Doubt That Meteor Caused Crater In Nicaragua</t>
  </si>
  <si>
    <t>e304cd90-3841-11e4-ae63-d5574342724c</t>
  </si>
  <si>
    <t>http://www.npr.org/blogs/thetwo-way/2014/09/09/347082405/scientists-doubt-that-meteor-caused-crater-in-nicaragua</t>
  </si>
  <si>
    <t>Soldier Killed, Suspect Dead In Shooting Near Canadian Parliament</t>
  </si>
  <si>
    <t>6b99dfe0-59fa-11e4-aaf5-a1ddcfbcd5a9</t>
  </si>
  <si>
    <t>http://www.npr.org/blogs/thetwo-way/2014/10/22/358044430/1-wounded-in-gunfire-near-canadas-parliament</t>
  </si>
  <si>
    <t>U.S. Authenticates Video Showing Sotloff's Beheading</t>
  </si>
  <si>
    <t>68935270-4197-11e4-9e78-ff09d5b0049d</t>
  </si>
  <si>
    <t>http://www.npr.org/blogs/thetwo-way/2014/09/02/345262185/reports-islamic-state-claims-it-has-beheaded-second-american-journalist</t>
  </si>
  <si>
    <t>White House Fence Jumper Made It Farther Into Building Than Reported</t>
  </si>
  <si>
    <t>c742a9f0-483c-11e4-9960-a165dd517bbb</t>
  </si>
  <si>
    <t>http://www.npr.org/2014/09/29/352547060/white-house-fence-jumper-made-it-further-into-building-than-reported?utm_campaign=storyshare&amp;utm_source=twitter.com&amp;utm_medium=social</t>
  </si>
  <si>
    <t>Is this Crabzilla? Giant Monster Crab Caught on Camera</t>
  </si>
  <si>
    <t>343edfa0-555e-11e4-aaf5-a1ddcfbcd5a9</t>
  </si>
  <si>
    <t>http://www.ntd.tv/en/programs/education-culture/beyond-science/20141013/233722-is-this-crabzilla-giant-monster-crab-caught-on-camera.html</t>
  </si>
  <si>
    <t>www.ntd.tv</t>
  </si>
  <si>
    <t>Bunbury local discovered a spider had burrowed under his skin on Bali holiday</t>
  </si>
  <si>
    <t>5eef9c70-5663-11e4-aaf5-a1ddcfbcd5a9</t>
  </si>
  <si>
    <t>http://www.ntnews.com.au/news/northern-territory/bunbury-local-discovered-a-spider-had-burrowed-under-his-skin-on-bali-holiday/story-fnk0b1zt-1227092337210</t>
  </si>
  <si>
    <t>www.ntnews.com.au</t>
  </si>
  <si>
    <t>Nuts Indian guru coaxes 400 followers to cut off their testicles, grow closer to God</t>
  </si>
  <si>
    <t>b20d91c0-c083-11e4-8747-5b024dd6dd6c</t>
  </si>
  <si>
    <t>http://www.nydailynews.com/news/world/indian-guru-coaxes-400-followers-cut-testicles-article-1.2132611</t>
  </si>
  <si>
    <t>www.nydailynews.com</t>
  </si>
  <si>
    <t>Argentina president adopts young Jewish boy as godson to prevent him from turning into werewolf</t>
  </si>
  <si>
    <t>e1876250-8f96-11e4-9799-c7e75be2bcad</t>
  </si>
  <si>
    <t>http://www.nydailynews.com/news/world/argentina-president-adopts-boy-stop-werewolf-article-1.2058982</t>
  </si>
  <si>
    <t>Lucita Sandoval sex tape hoax: Viral Argentine video features college student not 16-year-old boy</t>
  </si>
  <si>
    <t>a1cc98e0-c7f6-11e4-883c-a7fa7a3c5066</t>
  </si>
  <si>
    <t>http://www.nydailynews.com/news/crime/teacher-suspended-sex-video-student-posted-whatsapp-article-1.1997562</t>
  </si>
  <si>
    <t>British-born rapper is main suspect in search for ISIS jihadist who beheaded James Foley</t>
  </si>
  <si>
    <t>33e5f6f0-2bed-11e4-89c5-1d389b94bc4b</t>
  </si>
  <si>
    <t>http://www.nydailynews.com/news/world/james-foley-killer-identified-british-security-services-article-1.1914937</t>
  </si>
  <si>
    <t>Justin Bieber ringtone saves Russian fisherman from bear attack</t>
  </si>
  <si>
    <t>6fd9fb50-1d85-11e4-8c09-cd48fe37674e</t>
  </si>
  <si>
    <t>http://www.nydailynews.com/news/world/justin-bieber-ringtone-saves-man-bear-article-1.1893607</t>
  </si>
  <si>
    <t>Big Bank Hank of The Sugarhill Gang is dead at 57</t>
  </si>
  <si>
    <t>7b20c980-69de-11e4-b528-9d5aa2d2e8e7</t>
  </si>
  <si>
    <t>http://www.nydailynews.com/news/national/big-bank-hank-sugarhill-gang-dies-57-article-1.2006778</t>
  </si>
  <si>
    <t>7 Bosnian teens get pregnant on school trip</t>
  </si>
  <si>
    <t>64e09ef0-8aba-11e4-adc5-33f8455b16a2</t>
  </si>
  <si>
    <t>http://www.nydailynews.com/life-style/health/7-bosnian-teens-pregnant-school-trip-article-1.2053898</t>
  </si>
  <si>
    <t>Brian Williams slams social media for speculation weatherman Mike Seidel relieved himself on air</t>
  </si>
  <si>
    <t>38dcc690-6458-11e4-b3d8-a32d8ec8ad5e</t>
  </si>
  <si>
    <t>http://www.nydailynews.com/entertainment/tv/brian-williams-slams-internet-speculation-mike-seidel-relieved-air-article-1.1998660</t>
  </si>
  <si>
    <t>SEE IT: NBC meteorologist Mike Seidel appears to relieve himself during broadcast network says he was looking for phone</t>
  </si>
  <si>
    <t>77dc1850-6458-11e4-b3d8-a32d8ec8ad5e</t>
  </si>
  <si>
    <t>http://www.nydailynews.com/news/national/nbc-meteorologist-relieve-broadcast-article-1.1996201</t>
  </si>
  <si>
    <t>U.S. airstrike kills Islamic Al Shabab terrorist leader in Somalia</t>
  </si>
  <si>
    <t>d0b5e180-351a-11e4-a3fd-07e9a9d397df</t>
  </si>
  <si>
    <t>http://www.nydailynews.com/news/world/u-s-airstrike-kills-islamic-extremist-leader-somalia-article-1.1929222</t>
  </si>
  <si>
    <t>SEE IT: California homeless man uses 100 gift to give food to others</t>
  </si>
  <si>
    <t>bb56bfa0-9224-11e4-9799-c7e75be2bcad</t>
  </si>
  <si>
    <t>http://www.nydailynews.com/news/national/homeless-man-100-caught-camera-giving-food-article-1.2055713</t>
  </si>
  <si>
    <t>ISIS militants less than 2 miles from Baghdad, fierce fighting reported near Iraqi capital</t>
  </si>
  <si>
    <t>7f2391a0-47f3-11e4-9960-a165dd517bbb</t>
  </si>
  <si>
    <t>http://www.nydailynews.com/news/world/isis-militants-mile-baghdad-fierce-fighting-reported-article-1.1956646</t>
  </si>
  <si>
    <t>SEE IT: ISIS militants caught trying to cross border into Texas, Congressman claims</t>
  </si>
  <si>
    <t>70f199a0-4fc9-11e4-b6a0-9705a8f94440</t>
  </si>
  <si>
    <t>http://www.nydailynews.com/news/national/isis-militants-caught-cross-border-texas-congressman-claims-article-1.1967031</t>
  </si>
  <si>
    <t>ISIS is suspected of selling human organs for money in Iraq</t>
  </si>
  <si>
    <t>b1ba10f0-b777-11e4-8507-b58af63d1078</t>
  </si>
  <si>
    <t>http://www.nydailynews.com/news/world/isis-suspected-selling-human-organs-money-iraq-article-1.2119543</t>
  </si>
  <si>
    <t>ISIS militants behead abducted American journalist James Wright Foley in graphic video</t>
  </si>
  <si>
    <t>00d9b950-27ff-11e4-a916-bf0b27b73ad5</t>
  </si>
  <si>
    <t>http://www.nydailynews.com/news/world/kidnapped-american-journalist-james-wright-foley-beheaded-isis-militants-article-1.1909374</t>
  </si>
  <si>
    <t>ISIS executioner Jihadi John allegedly wounded by U.S.-led air strike: report</t>
  </si>
  <si>
    <t>fec432d0-6d36-11e4-8e10-b9c720c188ba</t>
  </si>
  <si>
    <t>http://www.nydailynews.com/news/world/jihadi-john-wounded-u-s-led-air-strike-report-article-1.2012385</t>
  </si>
  <si>
    <t>Kim Jong Un hospitalized with two broken ankles, reportedly from wearing heels and being overweight</t>
  </si>
  <si>
    <t>f6771fb0-4979-11e4-9960-a165dd517bbb</t>
  </si>
  <si>
    <t>http://www.nydailynews.com/news/world/n-korean-leader-kum-jong-hospitalized-broken-ankles-report-article-1.1958576</t>
  </si>
  <si>
    <t>North Korean dictator Kim Jong-un may be seriously ill from eating too much Emmental cheese: report</t>
  </si>
  <si>
    <t>e3142210-4582-11e4-a79e-01321ca3a48d</t>
  </si>
  <si>
    <t>http://www.nydailynews.com/news/world/north-korean-dictator-kim-jong-un-ill-eating-emmental-cheese-report-article-1.1945468</t>
  </si>
  <si>
    <t>Hungry Florida cat defies death, digs its way out of grave to return home VIDEO</t>
  </si>
  <si>
    <t>21d1c210-a68a-11e4-aa4f-ff16e52e0d56</t>
  </si>
  <si>
    <t>http://www.nydailynews.com/news/national/fla-cat-defies-death-digs-grave-article-1.2093431</t>
  </si>
  <si>
    <t>NYPD to stop arresting for minor marijuana possession, will issue tickets instead</t>
  </si>
  <si>
    <t>3e822b80-6917-11e4-b528-9d5aa2d2e8e7</t>
  </si>
  <si>
    <t>http://www.nydailynews.com/new-york/nyc-crime/nypd-stop-arrests-low-level-marijuana-charges-source-article-1.2005222</t>
  </si>
  <si>
    <t>Pope says dogs can go to heaven: Paradise is open to all of God's creatures</t>
  </si>
  <si>
    <t>4c0ac2c0-8330-11e4-b1b5-4f1bd36cbfc6</t>
  </si>
  <si>
    <t>http://www.nydailynews.com/news/world/pope-dogs-heaven-article-1.2042824</t>
  </si>
  <si>
    <t>Joan Rivers doctor snapped selfie during throat surgery: report</t>
  </si>
  <si>
    <t>b492c140-3e06-11e4-bc0b-3f922b93930d</t>
  </si>
  <si>
    <t>http://www.nydailynews.com/entertainment/gossip/joan-rivers-doctor-snapped-selfie-throat-surgery-report-article-1.1942226</t>
  </si>
  <si>
    <t>Audio recording allegedly captures moment Michael Brown was shot</t>
  </si>
  <si>
    <t>84269fd0-2d68-11e4-89c5-1d389b94bc4b</t>
  </si>
  <si>
    <t>http://www.nydailynews.com/news/crime/audio-allegedly-captures-moment-michael-brown-shot-article-1.1916934</t>
  </si>
  <si>
    <t>Gunman, a recent convert to Islam, dead after Canadian soldier Nathan Cirillo killed at Ottawa war memorial</t>
  </si>
  <si>
    <t>c5fd97d0-59f8-11e4-aaf5-a1ddcfbcd5a9</t>
  </si>
  <si>
    <t>http://www.nydailynews.com/news/crime/shooting-reported-parliament-hill-ottawa-hunt-gunman-article-1.1983054?cid=bitly</t>
  </si>
  <si>
    <t>Texas boy suspended for saying he could make classmate disappear with Lord of the Rings sorcery</t>
  </si>
  <si>
    <t>dca85700-ab0a-11e4-9a23-0b6010caa867</t>
  </si>
  <si>
    <t>http://www.nydailynews.com/news/national/texas-boy-suspended-bringing-ring-power-school-article-1.2099103</t>
  </si>
  <si>
    <t>Three-breasted Florida woman Jasmine Tridevil insists third boob is real, but police report shows she once lost prosthesis</t>
  </si>
  <si>
    <t>fbeb1720-6c02-11e4-b528-9d5aa2d2e8e7</t>
  </si>
  <si>
    <t>http://www.nydailynews.com/life-style/florida-woman-breast-hoax-article-1.1949712</t>
  </si>
  <si>
    <t>Florida woman has surgery to add third breast to make herself unattractive to men</t>
  </si>
  <si>
    <t>27989640-4291-11e4-9e78-ff09d5b0049d</t>
  </si>
  <si>
    <t>http://www.nydailynews.com/life-style/florida-woman-surgery-add-breast-article-1.1948199</t>
  </si>
  <si>
    <t>British man pays 460 to save constipated goldfish's life</t>
  </si>
  <si>
    <t>755f8c50-92cb-11e4-b271-b1de57982894</t>
  </si>
  <si>
    <t>http://www.nydailynews.com/news/world/british-man-pays-460-save-constipated-goldfish-life-article-1.2063762</t>
  </si>
  <si>
    <t>Rat problem worsens at One World Trade Center offices of Conde Nast</t>
  </si>
  <si>
    <t>a564f040-8239-11e4-be1a-2d20e0ce9757</t>
  </si>
  <si>
    <t>http://www.nydailynews.com/entertainment/gossip/confidential/conde-nast-offices-wtc-plagued-rats-article-1.2042294</t>
  </si>
  <si>
    <t>I will have justice for what they did to me: Pregnant St. Louis woman loses eye after police fire non-lethal round at car during Ferguson protest VIDEO</t>
  </si>
  <si>
    <t>64fa7ca0-773f-11e4-94c6-4131d5b705e4</t>
  </si>
  <si>
    <t>http://www.nydailynews.com/news/national/st-louis-woman-loses-eye-police-fire-non-lethal-article-1.2026565</t>
  </si>
  <si>
    <t>Kim Jong ill? Analysts say 27-year-old sister Kim Yo Jong may be running North Korea VIDEO</t>
  </si>
  <si>
    <t>0e148da0-50dd-11e4-b6a0-9705a8f94440</t>
  </si>
  <si>
    <t>http://www.nydailynews.com/news/world/sister-kim-yo-jong-running-north-korea-article-1.1968226</t>
  </si>
  <si>
    <t>Utah man hospitalized after eggnog-chugging competition</t>
  </si>
  <si>
    <t>7bbfbdc0-8afd-11e4-beeb-cde7b534e8de</t>
  </si>
  <si>
    <t>http://www.nydailynews.com/news/national/utah-man-hospitalized-eggnog-chugging-contest-article-1.2054580</t>
  </si>
  <si>
    <t>Afghan woman picks up dead son's gun, helps kill 25 Taliban militants to save village</t>
  </si>
  <si>
    <t>22411cd0-7702-11e4-b9e8-ab92b2da133c</t>
  </si>
  <si>
    <t>http://www.nydailynews.com/news/world/afghan-woman-helps-kill-25-taliban-dead-son-article-1.2026479</t>
  </si>
  <si>
    <t>Raven-Symone blasts fake report alleging she was abused by Bill Cosby: Keep me out of this</t>
  </si>
  <si>
    <t>ee805480-705b-11e4-8e10-b9c720c188ba</t>
  </si>
  <si>
    <t>http://www.nydailynews.com/entertainment/gossip/raven-symone-cosby-allegations-article-1.2016886</t>
  </si>
  <si>
    <t>Man chops off his own penis, throws it in the trash after getting dumped for bad bedroom skills</t>
  </si>
  <si>
    <t>31a2be60-5ba8-11e4-a887-2324afc3f9a8</t>
  </si>
  <si>
    <t>http://www.nydailynews.com/news/world/man-chops-penis-girlfriend-dumps-bad-lovemaking-article-1.1985965</t>
  </si>
  <si>
    <t>Durex denies rumors of a pumpkin spice flavored condom</t>
  </si>
  <si>
    <t>717ef040-3785-11e4-ae63-d5574342724c</t>
  </si>
  <si>
    <t>http://www.nydailynews.com/life-style/durex-denies-rumors-pumpkin-spice-flavored-condom-article-1.1932239?cid=bitly</t>
  </si>
  <si>
    <t>MCDONALD'S WILL STOP SERVING OVERWEIGHT CUSTOMERS BEGINNING 1115</t>
  </si>
  <si>
    <t>7970be00-8776-11e4-b1b5-4f1bd36cbfc6</t>
  </si>
  <si>
    <t>http://www.nymeta.co/mcdonalds-will-stop-serving-overweight-customers-beginning-1115/</t>
  </si>
  <si>
    <t>www.nymeta.co</t>
  </si>
  <si>
    <t>TEXAS TURKEY FARM CONTAMINATED WITH EBOLA, OVER 250,000 HOLIDAY TURKEYS INFECTED</t>
  </si>
  <si>
    <t>2272ce70-6d2e-11e4-8e10-b9c720c188ba</t>
  </si>
  <si>
    <t>http://www.nymeta.co/texas-turkey-farm-contaminated-ebola-250000-holiday-turkeys-infected/</t>
  </si>
  <si>
    <t>Leader of Qaeda-Linked Somali Group Is Dead, U.S. Says</t>
  </si>
  <si>
    <t>2c7a9060-3516-11e4-a3fd-07e9a9d397df</t>
  </si>
  <si>
    <t>http://www.nytimes.com/2014/09/06/world/africa/somalia-shabab.html</t>
  </si>
  <si>
    <t>www.nytimes.com</t>
  </si>
  <si>
    <t>Turkish Leader Says U.S. Airdrop Aided ISIS Militants</t>
  </si>
  <si>
    <t>ec439490-6c21-11e4-b528-9d5aa2d2e8e7</t>
  </si>
  <si>
    <t>http://www.nytimes.com/2014/10/23/world/europe/isis-kobani-syria-turkey.html?_r=0</t>
  </si>
  <si>
    <t>IS Fighters Seize Weapons Cache Meant for Kurds</t>
  </si>
  <si>
    <t>2eef8470-5967-11e4-aaf5-a1ddcfbcd5a9</t>
  </si>
  <si>
    <t>http://www.nytimes.com/aponline/2014/10/21/world/middleeast/ap-ml-syria.html</t>
  </si>
  <si>
    <t>ISIS Claims an American Hostage, Kayla Mueller, Died in Airstrike in Syria</t>
  </si>
  <si>
    <t>dccd7280-ae3c-11e4-9a23-0b6010caa867</t>
  </si>
  <si>
    <t>http://www.nytimes.com/2015/02/07/world/middleeast/isis-claims-american-hostage-killed-by-jordanian-retaliation-bombings.html</t>
  </si>
  <si>
    <t>ISIS Video Shows Execution of David Cawthorne Haines, British Aid Worker</t>
  </si>
  <si>
    <t>e98e92f0-3c9b-11e4-bc0b-3f922b93930d</t>
  </si>
  <si>
    <t>http://www.nytimes.com/2014/09/14/world/middleeast/islamic-state-says-it-has-executed-david-cawthorne-haines-british-aid-worker.html</t>
  </si>
  <si>
    <t>Militant Group Says It Killed American Journalist in Syria</t>
  </si>
  <si>
    <t>efffb620-285d-11e4-a916-bf0b27b73ad5</t>
  </si>
  <si>
    <t>http://www.nytimes.com/2014/08/20/world/middleeast/isis-james-foley-syria-execution.html</t>
  </si>
  <si>
    <t>Obama, Outraged Over Beheading, Vows to Stay on Course</t>
  </si>
  <si>
    <t>8a5b4870-288f-11e4-a916-bf0b27b73ad5</t>
  </si>
  <si>
    <t>http://www.nytimes.com/2014/08/21/us/politics/james-foley-beheading-isis-video-authentic-obama.html</t>
  </si>
  <si>
    <t>Jihadi John in ISIS Videos Is Identified as Mohammed Emwazi of London</t>
  </si>
  <si>
    <t>1ab797c0-bdb4-11e4-b073-ed15c88bfa1e</t>
  </si>
  <si>
    <t>http://www.nytimes.com/2015/02/27/world/europe/jihadi-john-mohammed-emwazi-identified.html?_r=0</t>
  </si>
  <si>
    <t>Small Meteorite Hits Managua</t>
  </si>
  <si>
    <t>c660ca30-383d-11e4-ae63-d5574342724c</t>
  </si>
  <si>
    <t>http://www.nytimes.com/2014/09/08/world/americas/small-meteorite-hits-managua.html</t>
  </si>
  <si>
    <t>In New York City, Marijuana May Mean Ticket, Not Arrest</t>
  </si>
  <si>
    <t>0e83a3f0-6917-11e4-b528-9d5aa2d2e8e7</t>
  </si>
  <si>
    <t>http://www.nytimes.com/2014/11/10/nyregion/in-shift-police-dept-to-stop-low-level-marijuana-arrests-officials-say.html?_r=0</t>
  </si>
  <si>
    <t>ISIS Reported to Behead Second American</t>
  </si>
  <si>
    <t>e82e4f60-32c6-11e4-8453-710264d9a1f8</t>
  </si>
  <si>
    <t>http://www.nytimes.com/2014/09/03/world/middleeast/steven-sotloff-isis-execution.html</t>
  </si>
  <si>
    <t>After Beheading of Steven Sotloff, Obama Pledges to Punish ISIS</t>
  </si>
  <si>
    <t>2f815d90-4194-11e4-9e78-ff09d5b0049d</t>
  </si>
  <si>
    <t>http://www.nytimes.com/2014/09/04/world/middleeast/steven-sotloff-isis-execution.html</t>
  </si>
  <si>
    <t>Luke Somers, American Hostage, Is Killed During Rescue Attempt in Yemen</t>
  </si>
  <si>
    <t>609fb5b0-7d2c-11e4-8faa-9748b2fc07a1</t>
  </si>
  <si>
    <t>http://www.nytimes.com/2014/12/07/world/middleeast/hostage-luke-somers-is-killed-in-yemen-during-rescue-attempt-american-official-says.html?_r=0</t>
  </si>
  <si>
    <t>US drones hunt Isis leader in Syria</t>
  </si>
  <si>
    <t>b9748810-3901-11e4-ae63-d5574342724c</t>
  </si>
  <si>
    <t>http://www.nzherald.co.nz/world/news/article.cfm?c_id=2&amp;objectid=11321683</t>
  </si>
  <si>
    <t>www.nzherald.co.nz</t>
  </si>
  <si>
    <t>Parent: Fourth-grader suspended after using magic from The Hobbit</t>
  </si>
  <si>
    <t>d9819b90-ab0a-11e4-9a23-0b6010caa867</t>
  </si>
  <si>
    <t>http://www.oaoa.com/news/education/article_6b47c224-a8d2-11e4-8989-1f5b0d13dadd.html</t>
  </si>
  <si>
    <t>www.oaoa.com</t>
  </si>
  <si>
    <t>Animal lovers abuzz over pope's comments that paradise is open to all of God's creatures</t>
  </si>
  <si>
    <t>c8d72b00-8334-11e4-b1b5-4f1bd36cbfc6</t>
  </si>
  <si>
    <t>http://www.omaha.com/news/world/animal-lovers-abuzz-over-pope-s-comments-that-paradise-is/article_9b8d140e-f8ad-50a2-95d9-30d13a77710f.html</t>
  </si>
  <si>
    <t>www.omaha.com</t>
  </si>
  <si>
    <t>Rajasthan: Angry mob teaches rapist a lesson chops penis off</t>
  </si>
  <si>
    <t>0eeec120-a4c8-11e4-aa4f-ff16e52e0d56</t>
  </si>
  <si>
    <t>http://www.oneindia.com/india/rajasthan-angry-mob-teaches-rapist-a-lesson-chops-penis-off-1540149.html</t>
  </si>
  <si>
    <t>www.oneindia.com</t>
  </si>
  <si>
    <t>ISIS Treasurer Reportedly Steals 1M From Group, Flees To Turkey</t>
  </si>
  <si>
    <t>f6214f60-ae12-11e4-9a23-0b6010caa867</t>
  </si>
  <si>
    <t>http://www.opposingviews.com/i/world/egyptian-man-steals-isis-zakat-funds</t>
  </si>
  <si>
    <t>www.opposingviews.com</t>
  </si>
  <si>
    <t>Nun Gives Birth To Baby Boy After Suffering Intense Stomach Pains</t>
  </si>
  <si>
    <t>e8a5a7f0-a435-11e4-aa4f-ff16e52e0d56</t>
  </si>
  <si>
    <t>http://www.opposingviews.com/i/religion/nun-gives-birth-baby-boy-after-suffering-intense-stomach-pains</t>
  </si>
  <si>
    <t>British Man Slaps People If They Sneeze In Public</t>
  </si>
  <si>
    <t>ac3216d0-d0fb-11e4-956e-77ab1bea7698</t>
  </si>
  <si>
    <t>http://www.opposingviews.com/i/world/british-man-slaps-people-if-they-sneeze-public</t>
  </si>
  <si>
    <t>Electric Boogie Developer Leaves Secret Resignation Letter To Boss At The End Of The Game Video</t>
  </si>
  <si>
    <t>c6afc250-8551-11e4-b1b5-4f1bd36cbfc6</t>
  </si>
  <si>
    <t>http://www.opposingviews.com/i/society/electric-boogie-developer-leaves-secret-resignation-letter-boss-end-game-video</t>
  </si>
  <si>
    <t>Polish Teenager Wakes Up During Brain Surgery, Talks To Doctor</t>
  </si>
  <si>
    <t>c3905bb0-93bc-11e4-b6bf-fdc8b7e3bcff</t>
  </si>
  <si>
    <t>http://www.opposingviews.com/i/society/polish-teenager-wakes-during-brain-surgery-talks-doctor</t>
  </si>
  <si>
    <t>Woman Faces Jail Time After Slicing Off 3-Year-Old Nephew's Penis</t>
  </si>
  <si>
    <t>f3993920-a4f7-11e4-aa4f-ff16e52e0d56</t>
  </si>
  <si>
    <t>http://www.opposingviews.com/i/society/crime/woman-faces-jail-time-after-slicing-3-year-old-nephews-penis</t>
  </si>
  <si>
    <t>ISIS Militants Allegedly Contracted Ebola</t>
  </si>
  <si>
    <t>fe488ef0-92ed-11e4-b6bf-fdc8b7e3bcff</t>
  </si>
  <si>
    <t>http://www.opposingviews.com/i/society/reports-isis-fighters-iraq-have-contracted-ebola</t>
  </si>
  <si>
    <t>Afghan Family Kills 25 In Revenge For Son's Death</t>
  </si>
  <si>
    <t>0dc82d20-7702-11e4-b9e8-ab92b2da133c</t>
  </si>
  <si>
    <t>https://www.opposingviews.com/i/society/afghan-family-kills-25-revenge-sons-death</t>
  </si>
  <si>
    <t>If They Are Beautiful, The Woman Will Be In Trouble: Saudi Arabia Religious Police Ban Tempting Eyes</t>
  </si>
  <si>
    <t>6a421310-6b48-11e4-b528-9d5aa2d2e8e7</t>
  </si>
  <si>
    <t>http://www.opposingviews.com/i/religion/islam/religious-police-saudi-arabia-announce-tempting-eyes-ban</t>
  </si>
  <si>
    <t>Graphic Photo: Oliver Ilic Uses Razor Blade To Slice Off Own Manhood After Girlfriend Broke Up With Him</t>
  </si>
  <si>
    <t>401c8ad0-5b93-11e4-a887-2324afc3f9a8</t>
  </si>
  <si>
    <t>http://www.opposingviews.com/i/society/macedonian-man-cuts-his-penis-throws-it-trash-after-girlfriend-dumped-him-over-small-size-</t>
  </si>
  <si>
    <t>822dcb40-6dcd-11e4-8e10-b9c720c188ba</t>
  </si>
  <si>
    <t>http://www.pakistantoday.com.pk/2014/11/05/foreign/saudi-arabia-outlaws-tempting-eyes/</t>
  </si>
  <si>
    <t>www.pakistantoday.com.pk</t>
  </si>
  <si>
    <t>Saudi Arabian Airline Rep Denies Plan to Separate Men and Women on Flights</t>
  </si>
  <si>
    <t>f9b6f160-9478-11e4-b6bf-fdc8b7e3bcff</t>
  </si>
  <si>
    <t>http://www.palmbeachpost.com/videos/news/saudi-arabian-airline-rep-denies-plan-to-separate/vC8hQQ/</t>
  </si>
  <si>
    <t>www.palmbeachpost.com</t>
  </si>
  <si>
    <t>Hoax Alert: Father O'Neal, Who Has Met God and Thinks She's a Woman, Is Made Up Just Like God Herself</t>
  </si>
  <si>
    <t>ee5d30d0-bb75-11e4-b073-ed15c88bfa1e</t>
  </si>
  <si>
    <t>http://www.patheos.com/blogs/friendlyatheist/2015/02/22/hoax-alert-father-oneal-who-has-met-god-and-thinks-shes-a-woman-is-made-up-just-like-god-herself/</t>
  </si>
  <si>
    <t>www.patheos.com</t>
  </si>
  <si>
    <t>Rumor: Seth Rogen to Appear as Woz in Sony's Steve Jobs Film</t>
  </si>
  <si>
    <t>fba02d20-611a-11e4-b6e9-e5f029e25965</t>
  </si>
  <si>
    <t>http://www.pcmag.com/article2/0,2817,2471338,00.asp</t>
  </si>
  <si>
    <t>www.pcmag.com</t>
  </si>
  <si>
    <t>Amazon to Launch Ad-Supported Streaming Service</t>
  </si>
  <si>
    <t>84df4320-7311-11e4-99be-fb3662a4a6dd</t>
  </si>
  <si>
    <t>http://www.pcmag.com/article2/0,2817,2472537,00.asp</t>
  </si>
  <si>
    <t>Apple Watch to Ship in March</t>
  </si>
  <si>
    <t>cab75340-c11a-11e4-8747-5b024dd6dd6c</t>
  </si>
  <si>
    <t>http://www.pcmag.com/article2/0,2817,2474747,00.asp</t>
  </si>
  <si>
    <t>Apple Watch to go on sale in March, claims analyst</t>
  </si>
  <si>
    <t>08d01bf0-c123-11e4-8747-5b024dd6dd6c</t>
  </si>
  <si>
    <t>http://www.pcworld.com/article/2875552/apple-watch-to-go-on-sale-in-march-claims-analyst.html</t>
  </si>
  <si>
    <t>www.pcworld.com</t>
  </si>
  <si>
    <t>Microsoft turns to robotic security guards to watch for trouble</t>
  </si>
  <si>
    <t>90b71590-749e-11e4-99be-fb3662a4a6dd</t>
  </si>
  <si>
    <t>http://www.pcworld.com/article/2851393/microsoft-turns-to-robotic-security-guards-to-watch-for-trouble.html</t>
  </si>
  <si>
    <t>Argentina's President Adopts Jewish Boy to Keep Him from Turning into a Werewolf</t>
  </si>
  <si>
    <t>49047c00-9033-11e4-9799-c7e75be2bcad</t>
  </si>
  <si>
    <t>http://www.people.com/article/argentina-president-adopts-boy-werewolf</t>
  </si>
  <si>
    <t>www.people.com</t>
  </si>
  <si>
    <t>Teen Makes 72 Million on the Stock Market</t>
  </si>
  <si>
    <t>a3f50c60-8485-11e4-b1b5-4f1bd36cbfc6</t>
  </si>
  <si>
    <t>http://www.people.com/article/nyc-teen-makes-72-million-stock-market</t>
  </si>
  <si>
    <t>What One Homeless Man Does with 100 Will Astonish You VIDEO</t>
  </si>
  <si>
    <t>f4e9abb0-9224-11e4-9799-c7e75be2bcad</t>
  </si>
  <si>
    <t>http://www.people.com/article/homeless-man-one-hundred-dollars</t>
  </si>
  <si>
    <t>Lisa Bonet Denies Slamming Bill Cosby on Twitter</t>
  </si>
  <si>
    <t>6e8b7650-737c-11e4-99be-fb3662a4a6dd</t>
  </si>
  <si>
    <t>http://www.people.com/article/lisa-bonet-denies-slamming-bill-cosby-twitter</t>
  </si>
  <si>
    <t>Does Vogue's New Office Have a Rat Infestation?</t>
  </si>
  <si>
    <t>d2ef1d10-75af-11e4-99be-fb3662a4a6dd</t>
  </si>
  <si>
    <t>http://www.people.com/article/vogue-new-office-rat-infestation-new-york-anna-wintour-one-world-trade-center</t>
  </si>
  <si>
    <t>Expert casts doubt on Bunbury man Dylan Thomas's burrowing stomach-spider story</t>
  </si>
  <si>
    <t>9d2e64b0-5660-11e4-aaf5-a1ddcfbcd5a9</t>
  </si>
  <si>
    <t>http://www.perthnow.com.au/news/western-australia/expert-casts-doubt-on-bunbury-man-dylan-thomass-burrowing-stomachspider-story/story-fnhocxo3-1227094222560?nk=84e58c4784cbe784c5503f0a0167c514</t>
  </si>
  <si>
    <t>www.perthnow.com.au</t>
  </si>
  <si>
    <t>ESPN to save NFL's image with all-male domestic abuse discussion</t>
  </si>
  <si>
    <t>54168bb0-47f9-11e4-9960-a165dd517bbb</t>
  </si>
  <si>
    <t>http://www.philly.com/philly/blogs/sports/eagles/ESPN-to-save-NFLs-image-with-all-male-domestic-abuse-discussion.html</t>
  </si>
  <si>
    <t>www.philly.com</t>
  </si>
  <si>
    <t>Woman with three breasts is a fake</t>
  </si>
  <si>
    <t>4eef4390-428e-11e4-9e78-ff09d5b0049d</t>
  </si>
  <si>
    <t>http://www.philly.com/philly/blogs/trending/Florida-woman-gets-plastic-surgery-to-add-a-third-breast.html</t>
  </si>
  <si>
    <t>Comcast Says You Can Keep Your Tor</t>
  </si>
  <si>
    <t>8bd909c0-3d12-11e4-bc0b-3f922b93930d</t>
  </si>
  <si>
    <t>http://www.phillymag.com/news/2014/09/15/comcast-says-can-keep-tor/</t>
  </si>
  <si>
    <t>www.phillymag.com</t>
  </si>
  <si>
    <t>Claim: Comcast Got Complaining Customer Fired From His Job</t>
  </si>
  <si>
    <t>577f1b70-4ee6-11e4-949b-f14041b20838</t>
  </si>
  <si>
    <t>http://www.phillymag.com/news/2014/10/07/claim-comcast-got-complaining-customer-fired-job/</t>
  </si>
  <si>
    <t>LG to make millions of flexible Plastic OLED displays for the Apple Watch</t>
  </si>
  <si>
    <t>8a718100-c289-11e4-8747-5b024dd6dd6c</t>
  </si>
  <si>
    <t>http://www.phonearena.com/news/LG-to-make-millions-of-flexible-Plastic-OLED-displays-for-the-Apple-Watch_id66038</t>
  </si>
  <si>
    <t>www.phonearena.com</t>
  </si>
  <si>
    <t>A 9-year-old girl gave this hearfelt letter to her teacher after he came out as gay</t>
  </si>
  <si>
    <t>74820020-847e-11e4-b1b5-4f1bd36cbfc6</t>
  </si>
  <si>
    <t>http://www.pinknews.co.uk/2014/12/15/a-9-year-old-girl-gave-this-hearfelt-letter-to-her-teacher-after-he-came-out-as-gay/</t>
  </si>
  <si>
    <t>www.pinknews.co.uk</t>
  </si>
  <si>
    <t>Five-year-old boy gets a bill for missing school friend's birthday party</t>
  </si>
  <si>
    <t>ecf6ed80-9fff-11e4-a353-5b831fe927be</t>
  </si>
  <si>
    <t>http://www.plymouthherald.co.uk/year-old-Plymouth-boy-gets-missing-school-friend/story-25884528-detail/story.html</t>
  </si>
  <si>
    <t>www.plymouthherald.co.uk</t>
  </si>
  <si>
    <t>Homeland Security: No ISIL fighters on U.S. border</t>
  </si>
  <si>
    <t>dac1e3a0-4fcc-11e4-b6a0-9705a8f94440</t>
  </si>
  <si>
    <t>http://www.politico.com/story/2014/10/isil-us-border-homeland-security-duncan-hunter-111722.html</t>
  </si>
  <si>
    <t>www.politico.com</t>
  </si>
  <si>
    <t>Video shows ISIL beheading of photojournalist James Foley</t>
  </si>
  <si>
    <t>89109b10-2802-11e4-a916-bf0b27b73ad5</t>
  </si>
  <si>
    <t>http://www.politico.com/blogs/media/2014/08/video-shows-isil-beheading-of-photojournalist-james-194189.html</t>
  </si>
  <si>
    <t>Possible audio tape of Michael Brown shooting</t>
  </si>
  <si>
    <t>bc618080-2d69-11e4-89c5-1d389b94bc4b</t>
  </si>
  <si>
    <t>http://www.politico.com/story/2014/08/michael-brown-audio-recording-shooting-ferguson-110343.html</t>
  </si>
  <si>
    <t>NSC appalled by Sotloff beheading</t>
  </si>
  <si>
    <t>bf39f370-32d0-11e4-8453-710264d9a1f8</t>
  </si>
  <si>
    <t>http://www.politico.com/blogs/media/2014/09/nsc-appalled-by-sotloff-beheading-194734.html#.VAYO4Z1tOEo.twitter</t>
  </si>
  <si>
    <t>Matt Taibbi on leave of absence from First Look Media</t>
  </si>
  <si>
    <t>893554e0-5edb-11e4-a887-2324afc3f9a8</t>
  </si>
  <si>
    <t>http://www.politico.com/blogs/media/2014/10/matt-taibbi-on-leave-of-absence-from-first-look-media-197758.html</t>
  </si>
  <si>
    <t>Pants on Fire: Duncan Hunter makes unconfirmed claim Border Patrol caught at least 10 ISIS fighters</t>
  </si>
  <si>
    <t>2f22d7b0-50db-11e4-b6a0-9705a8f94440</t>
  </si>
  <si>
    <t>http://www.politifact.com/texas/statements/2014/oct/10/duncan-hunter/duncan-hunter-makes-unconfirmed-claim-border-patro/</t>
  </si>
  <si>
    <t>www.politifact.com</t>
  </si>
  <si>
    <t>Bear attack foiled by Justin Bieber's music: A story too good to check</t>
  </si>
  <si>
    <t>6ea49160-26c1-11e4-96be-dfc0d1eebaea</t>
  </si>
  <si>
    <t>http://www.poynter.org/latest-news/regret-the-error/261703/bear-attack-foiled-by-justin-biebers-music-a-story-too-good-to-check/</t>
  </si>
  <si>
    <t>www.poynter.org</t>
  </si>
  <si>
    <t>Weather Channel's Mike Seidel was not caught with his pants down</t>
  </si>
  <si>
    <t>d925cbb0-6458-11e4-b3d8-a32d8ec8ad5e</t>
  </si>
  <si>
    <t>http://www.poynter.org/how-tos/newsgathering-storytelling/eyes-on-the-news/279093/weather-channels-mike-seidel-was-not-caught-with-his-pants-down/</t>
  </si>
  <si>
    <t>Journalist Steven Sotloff reportedly executed by ISIS</t>
  </si>
  <si>
    <t>ff251ae0-32c7-11e4-8453-710264d9a1f8</t>
  </si>
  <si>
    <t>http://www.poynter.org/latest-news/mediawire/266951/journalist-steven-sotloff-reportedly-executed-by-isis/</t>
  </si>
  <si>
    <t>Story of gutsy bravehearts who repelled Boko Haram attack is a hoax</t>
  </si>
  <si>
    <t>2a2bdd50-a9b5-11e4-9a23-0b6010caa867</t>
  </si>
  <si>
    <t>http://www.premiumtimesng.com/features-and-interviews/175961-story-gutsy-bravehearts-repelled-boko-haram-attack-hoax.html</t>
  </si>
  <si>
    <t>www.premiumtimesng.com</t>
  </si>
  <si>
    <t>Actor has his testicles stolen after meeting young blonde woman at a bar</t>
  </si>
  <si>
    <t>6aabb350-bde7-11e4-bc4d-fff7a1fe3048</t>
  </si>
  <si>
    <t>https://www.pressandjournal.co.uk/fp/news/world/503908/actor-testicles-stolen-taking-home-woman-met-bar/</t>
  </si>
  <si>
    <t>www.pressandjournal.co.uk</t>
  </si>
  <si>
    <t>Fake BBC News website set up to carry Charlie Hebdo attack conspiracy theories</t>
  </si>
  <si>
    <t>61c63880-9a71-11e4-bf59-1bb8b99952ce</t>
  </si>
  <si>
    <t>http://www.pressgazette.co.uk/content/fake-bbc-news-website-set-carry-charlie-hebdo-attack-conspiracy-theories</t>
  </si>
  <si>
    <t>www.pressgazette.co.uk</t>
  </si>
  <si>
    <t>US denies it threatened Foley family</t>
  </si>
  <si>
    <t>5230aaf0-4a39-11e4-9960-a165dd517bbb</t>
  </si>
  <si>
    <t>http://www.presstv.ir/detail/2014/09/13/378593/us-denies-it-threatened-foley-family/</t>
  </si>
  <si>
    <t>www.presstv.ir</t>
  </si>
  <si>
    <t>TBS speeds up Seinfeld 7.5 to gain an extra 2 minutes of commercial ad time.</t>
  </si>
  <si>
    <t>6ff35850-b6a7-11e4-8507-b58af63d1078</t>
  </si>
  <si>
    <t>http://www.reddit.com/r/television/comments/2vwgk9/tbs_speeds_up_seinfeld_75_to_gain_an_extra_2/</t>
  </si>
  <si>
    <t>www.reddit.com</t>
  </si>
  <si>
    <t>18-Karat Gold Apple Watch Edition To Be Locked In Safes At Apple Stores</t>
  </si>
  <si>
    <t>1b2ec630-bfba-11e4-8747-5b024dd6dd6c</t>
  </si>
  <si>
    <t>http://www.redmondpie.com/18-karat-gold-apple-watch-edition-to-be-locked-in-safes-at-apple-stores/</t>
  </si>
  <si>
    <t>www.redmondpie.com</t>
  </si>
  <si>
    <t>No, Nobody's Discovered a New Eyewitness Account of Jesus Miracles</t>
  </si>
  <si>
    <t>ec188e20-4eef-11e4-949b-f14041b20838</t>
  </si>
  <si>
    <t>http://www.relevantmagazine.com/slices/no-nobodys-discovered-new-eyewitness-account-jesus-miracles</t>
  </si>
  <si>
    <t>www.relevantmagazine.com</t>
  </si>
  <si>
    <t>Sorry, Fido. Pope Francis did NOT say our pets are going to heaven</t>
  </si>
  <si>
    <t>f12331a0-832d-11e4-b1b5-4f1bd36cbfc6</t>
  </si>
  <si>
    <t>http://www.religionnews.com/2014/12/12/sorry-fido-pope-francis-not-say-pets-going-heaven/</t>
  </si>
  <si>
    <t>www.religionnews.com</t>
  </si>
  <si>
    <t>Foley family says was threatened by U.S. official over ransom: ABC</t>
  </si>
  <si>
    <t>d0a64440-42c7-11e4-9e78-ff09d5b0049d</t>
  </si>
  <si>
    <t>http://www.reuters.com/article/2014/09/12/us-iraq-crisis-foley-mother-idUSKBN0H72J120140912</t>
  </si>
  <si>
    <t>www.reuters.com</t>
  </si>
  <si>
    <t>Pentagon: death of al Shabaab leader in U.S. strike would be major blow</t>
  </si>
  <si>
    <t>c2a54080-3516-11e4-a3fd-07e9a9d397df</t>
  </si>
  <si>
    <t>http://www.reuters.com/article/2014/09/02/us-somalia-usa-strike-pentagon-idUSKBN0GX2AS20140902</t>
  </si>
  <si>
    <t>Hairgate: iPhone hit by new social media storm</t>
  </si>
  <si>
    <t>d6d8e060-4e5d-11e4-949b-f14041b20838</t>
  </si>
  <si>
    <t>http://www.reuters.com/article/2014/10/07/us-apple-iphone-hair-idUSKCN0HW1MA20141007</t>
  </si>
  <si>
    <t>Islamic State flying three jets in Syria: monitor</t>
  </si>
  <si>
    <t>1582bb80-5627-11e4-aaf5-a1ddcfbcd5a9</t>
  </si>
  <si>
    <t>http://www.reuters.com/article/2014/10/17/us-mideast-crisis-jets-idUSKCN0I60TM20141017</t>
  </si>
  <si>
    <t>UK looking into reports IS beheading suspect wounded</t>
  </si>
  <si>
    <t>3bee32e0-6d38-11e4-8e10-b9c720c188ba</t>
  </si>
  <si>
    <t>http://www.reuters.com/article/2014/11/15/us-mideast-crisis-jihadijohn-idUSKCN0IZ0W420141115</t>
  </si>
  <si>
    <t>North Korea leader Kim is still in charge, has injured leg: source</t>
  </si>
  <si>
    <t>55592820-4fec-11e4-b6a0-9705a8f94440</t>
  </si>
  <si>
    <t>http://www.reuters.com/article/2014/10/09/us-northkorea-kim-idUSKCN0HY09T20141009</t>
  </si>
  <si>
    <t>fcf89370-c20d-11e4-8747-5b024dd6dd6c</t>
  </si>
  <si>
    <t>http://www.reuters.com/article/2015/03/02/us-lg-display-samsung-display-apple-idUSKBN0LY00I20150302?feedType=RSS&amp;feedName=technologyNews</t>
  </si>
  <si>
    <t>Nicaragua says meteorite probable cause of blast in capital</t>
  </si>
  <si>
    <t>59e8f820-3840-11e4-ae63-d5574342724c</t>
  </si>
  <si>
    <t>http://www.reuters.com/article/2014/09/07/us-nicaragua-meteorites-idUSKBN0H20XB20140907</t>
  </si>
  <si>
    <t>Microsoft nears deal to buy Minecraft maker Mojang : WSJ</t>
  </si>
  <si>
    <t>933977a0-387a-11e4-ae63-d5574342724c</t>
  </si>
  <si>
    <t>http://www.reuters.com/article/2014/09/09/us-mojang-microsoft-deals-idUSKBN0H42HY20140909</t>
  </si>
  <si>
    <t>6dacb8a0-9a98-11e4-bf59-1bb8b99952ce</t>
  </si>
  <si>
    <t>http://www.reuters.com/article/2015/01/12/us-odd-saudi-snow-idUSKBN0KL15N20150112</t>
  </si>
  <si>
    <t>Soldier shot near Canadian parliament building</t>
  </si>
  <si>
    <t>56a04e80-59fa-11e4-aaf5-a1ddcfbcd5a9</t>
  </si>
  <si>
    <t>http://www.reuters.com/article/2014/10/22/us-canada-attacks-shooting-idUSKCN0IB1PY20141022</t>
  </si>
  <si>
    <t>Islamic state issues video of beheading of U.S. hostage: SITE</t>
  </si>
  <si>
    <t>eb5c39f0-32ca-11e4-8453-710264d9a1f8</t>
  </si>
  <si>
    <t>http://www.reuters.com/article/2014/09/02/us-iraq-crisis-islamicstate-video-idUSKBN0GX20R20140902</t>
  </si>
  <si>
    <t>Tesla settles on Nevada for gigafactory site -CNBC</t>
  </si>
  <si>
    <t>a89a98e0-33a2-11e4-8453-710264d9a1f8</t>
  </si>
  <si>
    <t>http://www.reuters.com/article/2014/09/03/tesla-motors-gigafactory-idUSL1N0R428C20140903</t>
  </si>
  <si>
    <t>Small red book among finds in 113-year-old Boston time capsule</t>
  </si>
  <si>
    <t>7736e680-8287-11e4-b1b5-4f1bd36cbfc6</t>
  </si>
  <si>
    <t>http://www.reuters.com/article/2014/10/09/us-usa-massachusetts-time-capsule-idUSKCN0HY29C20141009</t>
  </si>
  <si>
    <t>74ca87c0-95ca-11e4-87a8-1d5d45e62193</t>
  </si>
  <si>
    <t>http://www.reuters.com/article/2015/01/06/us-health-ebola-iraq-idUSKBN0KF16Y20150106</t>
  </si>
  <si>
    <t>Nigerians doubtful of girls release after Boko Haram truce breached</t>
  </si>
  <si>
    <t>eb9676a0-57d3-11e4-aaf5-a1ddcfbcd5a9</t>
  </si>
  <si>
    <t>http://www.reuters.com/article/2014/10/19/us-nigeria-girls-idUSKCN0I80FT20141019</t>
  </si>
  <si>
    <t>Journalist James Wright Foley reportedly beheaded by ISIS</t>
  </si>
  <si>
    <t>6c7cc450-27fe-11e4-a916-bf0b27b73ad5</t>
  </si>
  <si>
    <t>http://www.salon.com/2014/08/19/journalist_james_wright_foley_reportedly_beheaded_by_isis/</t>
  </si>
  <si>
    <t>www.salon.com</t>
  </si>
  <si>
    <t>CNN plays chilling audio recording allegedly from Michael Brown shooting: At least 11 shots</t>
  </si>
  <si>
    <t>35fa4e50-2d69-11e4-89c5-1d389b94bc4b</t>
  </si>
  <si>
    <t>http://www.salon.com/2014/08/26/cnn_plays_alleged_recording_of_michael_brown_shooting/</t>
  </si>
  <si>
    <t>07a080b0-75e4-11e4-99be-fb3662a4a6dd</t>
  </si>
  <si>
    <t>http://www.saycheesetv.com/news/ferguson-protester-shot-in-the-eye-with-rubber-bullet-by-police/</t>
  </si>
  <si>
    <t>www.saycheesetv.com</t>
  </si>
  <si>
    <t>Jose Canseco injured in accidental shooting, per reports</t>
  </si>
  <si>
    <t>fd87f6f0-5f0c-11e4-a887-2324afc3f9a8</t>
  </si>
  <si>
    <t>http://www.sbnation.com/mlb/2014/10/28/7087511/jose-canseco-shooting-accidental-las-vegas</t>
  </si>
  <si>
    <t>www.sbnation.com</t>
  </si>
  <si>
    <t>No, a spider probably didn't crawl through a man's body for several days</t>
  </si>
  <si>
    <t>f3a43940-5661-11e4-aaf5-a1ddcfbcd5a9</t>
  </si>
  <si>
    <t>http://www.sciencealert.com.au/news/20141710-26352.html</t>
  </si>
  <si>
    <t>www.sciencealert.com.au</t>
  </si>
  <si>
    <t>Biological Warfare on the Horizon? ISIS Soldiers May Be Infected With Ebola</t>
  </si>
  <si>
    <t>9f541b60-954c-11e4-87a8-1d5d45e62193</t>
  </si>
  <si>
    <t>http://www.sciencetimes.com/articles/2395/20150105/biological-warfare-on-the-horizon-isis-soldiers-may-be-infected-with-ebola.htm</t>
  </si>
  <si>
    <t>www.sciencetimes.com</t>
  </si>
  <si>
    <t>Kim Jong-Un planning Scottish restaurant</t>
  </si>
  <si>
    <t>bc836df0-9b26-11e4-bf59-1bb8b99952ce</t>
  </si>
  <si>
    <t>http://www.scotsman.com/news/scotland/top-stories/kim-jong-un-planning-scottish-restaurant-1-3658069</t>
  </si>
  <si>
    <t>www.scotsman.com</t>
  </si>
  <si>
    <t>N. Korea's Kim has leg injury but in control</t>
  </si>
  <si>
    <t>5850bd40-4fec-11e4-b6a0-9705a8f94440</t>
  </si>
  <si>
    <t>http://www.shanghaidaily.com/world/N-Koreas-Kim-has-leg-injury-but-in-control/shdaily.shtml</t>
  </si>
  <si>
    <t>www.shanghaidaily.com</t>
  </si>
  <si>
    <t>Toronto, Seattle, Quebec City to join Vegas in 2017 NHL expansion</t>
  </si>
  <si>
    <t>85bbb3f0-2e06-11e4-89c5-1d389b94bc4b</t>
  </si>
  <si>
    <t>http://www.si.com/nhl/2014/08/26/report-toronto-seattle-quebec-city-join-vegas-2017-nhl-expansion</t>
  </si>
  <si>
    <t>www.si.com</t>
  </si>
  <si>
    <t>Zack Snyder Kills Stolen Batmobile Rumor With Great Photo</t>
  </si>
  <si>
    <t>e1c01440-3c41-11e4-bc0b-3f922b93930d</t>
  </si>
  <si>
    <t>http://www.slashfilm.com/stolen-batmobile/</t>
  </si>
  <si>
    <t>www.slashfilm.com</t>
  </si>
  <si>
    <t>new 12-inch MacBook Air slims down, has single USB port</t>
  </si>
  <si>
    <t>6c845e00-96a2-11e4-87a8-1d5d45e62193</t>
  </si>
  <si>
    <t>http://www.slashgear.com/report-new-12-inch-macbook-air-slims-down-has-single-usb-port-06362687/</t>
  </si>
  <si>
    <t>www.slashgear.com</t>
  </si>
  <si>
    <t>Apple may buy Path, that social app you don't use</t>
  </si>
  <si>
    <t>fea2f6b0-3ad7-11e4-bc0b-3f922b93930d</t>
  </si>
  <si>
    <t>http://www.slashgear.com/apple-may-buy-path-that-social-app-you-dont-use-10345721/</t>
  </si>
  <si>
    <t>Apple Watch Edition contains new Apple gold</t>
  </si>
  <si>
    <t>5bf36020-c674-11e4-883c-a7fa7a3c5066</t>
  </si>
  <si>
    <t>http://www.slashgear.com/apple-watch-edition-contains-new-apple-gold-06372481/</t>
  </si>
  <si>
    <t>Cook said to confirm Apple Watch is showerproof, lasts a day</t>
  </si>
  <si>
    <t>ce9e22c0-c1bc-11e4-8747-5b024dd6dd6c</t>
  </si>
  <si>
    <t>http://www.slashgear.com/cook-said-to-confirm-apple-watch-is-showerproof-lasts-a-day-26370545/</t>
  </si>
  <si>
    <t>Apple Watch may be available outside US shortly after launch</t>
  </si>
  <si>
    <t>d96c9970-c1b2-11e4-8747-5b024dd6dd6c</t>
  </si>
  <si>
    <t>http://www.slashgear.com/apple-watch-may-be-available-outside-us-shortly-after-launch-02371582/</t>
  </si>
  <si>
    <t>Apple Watch's Power Reserve feature combats short battery life</t>
  </si>
  <si>
    <t>59cba5b0-c1b4-11e4-8747-5b024dd6dd6c</t>
  </si>
  <si>
    <t>http://www.slashgear.com/apple-watchs-power-reserve-feature-combats-short-battery-life-02371374/</t>
  </si>
  <si>
    <t>Gold Apple Watches to be stored in safes in Apple Stores</t>
  </si>
  <si>
    <t>7c24db50-bfba-11e4-8747-5b024dd6dd6c</t>
  </si>
  <si>
    <t>http://www.slashgear.com/gold-apple-watches-to-be-stored-in-safes-in-apple-stores-01366942/</t>
  </si>
  <si>
    <t>New report tips Apple Watch release in March, 12in MacBook Air in Q1</t>
  </si>
  <si>
    <t>fe572e60-c123-11e4-8747-5b024dd6dd6c</t>
  </si>
  <si>
    <t>http://www.slashgear.com/new-report-tips-apple-watch-release-in-march-12in-macbook-air-in-1q-25366104/</t>
  </si>
  <si>
    <t>Rumor: new 4-inch iPhone on the way</t>
  </si>
  <si>
    <t>fb1aaf60-7ee8-11e4-8faa-9748b2fc07a1</t>
  </si>
  <si>
    <t>http://www.slashgear.com/rumor-new-4-inch-iphone-on-the-way-04358386/</t>
  </si>
  <si>
    <t>iPhone 6S rumors suggest new camera, HealthKit sensors</t>
  </si>
  <si>
    <t>2fd4fb10-9dc6-11e4-a353-5b831fe927be</t>
  </si>
  <si>
    <t>http://www.slashgear.com/iphone-6s-rumors-suggest-new-camera-healthkit-sensors-13364315/</t>
  </si>
  <si>
    <t>Lenovo tipped to make a bid for BlackBerry this week</t>
  </si>
  <si>
    <t>7253c360-5869-11e4-aaf5-a1ddcfbcd5a9</t>
  </si>
  <si>
    <t>http://www.slashgear.com/lenovo-tipped-to-make-a-bid-for-blackberry-this-week-20351419/</t>
  </si>
  <si>
    <t>U.S. Officials Threatened James Foley's Parents With Prosecution Over Ransom</t>
  </si>
  <si>
    <t>fbb6d2b0-442c-11e4-94c0-515d9d816ec6</t>
  </si>
  <si>
    <t>http://www.slate.com/blogs/the_slatest/2014/09/13/diane_foley_officials_threatened_james_foley_s_parents.html</t>
  </si>
  <si>
    <t>www.slate.com</t>
  </si>
  <si>
    <t>ISIS Reportedly Beheads American Photojournalist in IraqRunning ScaredVikings Star Adrian Peterson Reportedly Indicted for Child AbuseWhy the Military Treats Male Sexual Assault Victims So HorriblyWhy Google Bought a SpoonWe All Have Certain Words We Use Too Often. What's Yours?Meatless MondaysThe Beatles. Bob Dylan. Biggie Smalls.How to Fix Gerrymandering and Improve American Politics in One Fell SwoopThe Very Funny Comic Who Just Became SNL's Next Weekend Update Anchor</t>
  </si>
  <si>
    <t>91b90e60-2801-11e4-a916-bf0b27b73ad5</t>
  </si>
  <si>
    <t>http://www.slate.com/blogs/the_slatest/2014/08/19/isis_u_s_photojournalist_james_wright_foley_beheaded_by_isil_in_iraq.html</t>
  </si>
  <si>
    <t>Son Pays Off His Parents Mortgage for Christmas</t>
  </si>
  <si>
    <t>ffbd7f20-8d70-11e4-9799-c7e75be2bcad</t>
  </si>
  <si>
    <t>http://www.slate.com/blogs/the_slatest/2014/12/26/joe_riquelme_pays_off_parents_mortgage_for_christmas.html</t>
  </si>
  <si>
    <t>Did a Meteorite Impact in Nicaragua over the Weekend?</t>
  </si>
  <si>
    <t>d231cdb0-383c-11e4-ae63-d5574342724c</t>
  </si>
  <si>
    <t>http://www.slate.com/blogs/bad_astronomy/2014/09/09/meteorite_in_nicaragua_reports_of_an_impact_are_unconfirmed.html</t>
  </si>
  <si>
    <t>New York City Plans to End Arrests for Possession of Small Amounts of Marijuana</t>
  </si>
  <si>
    <t>a0a1cc80-6917-11e4-b528-9d5aa2d2e8e7</t>
  </si>
  <si>
    <t>http://www.slate.com/blogs/the_slatest/2014/11/10/new_york_city_ends_marijuana_arrests_summons_to_be_issued_instead_of_criminal.html</t>
  </si>
  <si>
    <t>No, a Planetary Alignment on Jan. 4, 2015, Won't Decrease Gravity</t>
  </si>
  <si>
    <t>334b8930-8ee9-11e4-9799-c7e75be2bcad</t>
  </si>
  <si>
    <t>http://www.slate.com/blogs/bad_astronomy/2014/12/24/zero_g_day_nope.html</t>
  </si>
  <si>
    <t>Microsoft Tried Out Robot Security Guards on Its Silicon Valley Campus</t>
  </si>
  <si>
    <t>61fc3c20-749f-11e4-99be-fb3662a4a6dd</t>
  </si>
  <si>
    <t>http://www.slate.com/blogs/future_tense/2014/11/21/microsoft_piloted_k5_autonomous_security_guard_robots_made_by_knightscope.html</t>
  </si>
  <si>
    <t>CNN Posts Alleged Audio of Michael Brown ShootingRunning ScaredVikings Star Adrian Peterson Reportedly Indicted for Child AbuseWhy the Military Treats Male Sexual Assault Victims So HorriblyWhy Google Bought a SpoonWe All Have Certain Words We Use Too Often. What's Yours?Meatless MondaysThe Beatles. Bob Dylan. Biggie Smalls.How to Fix Gerrymandering and Improve American Politics in One Fell SwoopThe Very Funny Comic Who Just Became SNL's Next Weekend Update Anchor</t>
  </si>
  <si>
    <t>e1f2cb90-2d70-11e4-89c5-1d389b94bc4b</t>
  </si>
  <si>
    <t>http://www.slate.com/blogs/the_slatest/2014/08/26/michael_brown_audio_11_shots_heard_in_alleged_recording.html</t>
  </si>
  <si>
    <t>Did Comcast Get a Man Fired From His Job for Complaining About Its Service?</t>
  </si>
  <si>
    <t>4cfad8b0-4ee6-11e4-949b-f14041b20838</t>
  </si>
  <si>
    <t>http://www.slate.com/blogs/moneybox/2014/10/07/comcast_customer_service_did_a_man_get_fired_for_complaining_about_their.html</t>
  </si>
  <si>
    <t>Boko Haram Denies Truce, Says Kidnapped Girls Have Been Married Off</t>
  </si>
  <si>
    <t>a677e450-6223-11e4-b3d8-a32d8ec8ad5e</t>
  </si>
  <si>
    <t>http://www.slate.com/blogs/the_slatest/2014/11/01/boko_haram_says_kidnapped_girls_have_been_married_off.html</t>
  </si>
  <si>
    <t>Wife and son of Islamic State leader Abu Bakr al-Baghdadi detained in Lebanon</t>
  </si>
  <si>
    <t>f4241570-7af1-11e4-b794-93ed794d7b91</t>
  </si>
  <si>
    <t>http://www.smh.com.au/world/wife-and-son-of-islamic-state-leader-abu-bakr-albaghdadi-detained-in-lebanon-20141203-11yspu.html</t>
  </si>
  <si>
    <t>www.smh.com.au</t>
  </si>
  <si>
    <t>Rapper identified as James Foley's executioner: reports</t>
  </si>
  <si>
    <t>7a3cb870-2c90-11e4-89c5-1d389b94bc4b</t>
  </si>
  <si>
    <t>http://www.smh.com.au/world/rapper-identified-as-james-foleys-executioner-reports-20140824-107w1i.html</t>
  </si>
  <si>
    <t>Justin Bieber ringtone saves Russian man from bear attack</t>
  </si>
  <si>
    <t>8ccc1260-26c3-11e4-96be-dfc0d1eebaea</t>
  </si>
  <si>
    <t>http://www.smh.com.au/lifestyle/life/justin-bieber-ringtone-saves-russian-man-from-bear-attack-20140807-101cpc.html</t>
  </si>
  <si>
    <t>Jihadi John named as Mohammed Emwazi from London</t>
  </si>
  <si>
    <t>90a01580-bdb8-11e4-b073-ed15c88bfa1e</t>
  </si>
  <si>
    <t>http://www.smh.com.au/world/jihadi-john-named-as-mohammed-emwazi-from-london-20150226-13q66a.html</t>
  </si>
  <si>
    <t>North Korean leader Kim Jong-un not missing, just having ankle surgery</t>
  </si>
  <si>
    <t>1b681040-497a-11e4-9960-a165dd517bbb</t>
  </si>
  <si>
    <t>http://www.smh.com.au/world/north-korean-leader-kim-jongun-not-missing-just-having-ankle-surgery-20141001-10ofvr.html</t>
  </si>
  <si>
    <t>How Canadian Sergeant-at-Arms Kevin Vickers killed shooter in parliament</t>
  </si>
  <si>
    <t>8ccdfaf0-5b78-11e4-a887-2324afc3f9a8</t>
  </si>
  <si>
    <t>http://www.smh.com.au/world/how-canadian-sergeantatarms-kevin-vickers-killed-shooter-in-parliament-20141024-11b12h.html</t>
  </si>
  <si>
    <t>Rare meteorite impact causes blast in Nicaragua's capital, Managua</t>
  </si>
  <si>
    <t>cce137f0-383d-11e4-ae63-d5574342724c</t>
  </si>
  <si>
    <t>http://www.smh.com.au/world/rare-meteorite-impact-causes-blast-in-nicaraguas-capital-managua-20140908-10dsqo.html</t>
  </si>
  <si>
    <t>Joan Rivers doctor took selfie before biopsy</t>
  </si>
  <si>
    <t>f5383330-3e59-11e4-bc0b-3f922b93930d</t>
  </si>
  <si>
    <t>http://www.smh.com.au/lifestyle/celebrity/joan-rivers-doctor-took-selfie-before-biopsy-20140917-10ib8j.html</t>
  </si>
  <si>
    <t>Ferguson riots: audio may have captured Michael Brown shooting</t>
  </si>
  <si>
    <t>057da700-2d72-11e4-89c5-1d389b94bc4b</t>
  </si>
  <si>
    <t>http://www.smh.com.au/world/ferguson-riots-audio-may-have-captured-michael-brown-shooting-20140827-108tma.html</t>
  </si>
  <si>
    <t>Fate of IS leader Abu Bakr al-Baghdadi unknown after airstrikes target him</t>
  </si>
  <si>
    <t>f8ece900-68e6-11e4-b528-9d5aa2d2e8e7</t>
  </si>
  <si>
    <t>http://www.smh.com.au/world/fate-of-is-leader-abu-bakr-albaghdadi-unknown-after-airstrikes-target-him-20141109-11j9dn.html</t>
  </si>
  <si>
    <t>Islamic State leader Abu Bakr al-Baghdadi wounded in airstrike: claims</t>
  </si>
  <si>
    <t>b24f5d70-68e6-11e4-b528-9d5aa2d2e8e7</t>
  </si>
  <si>
    <t>http://www.smh.com.au/world/islamic-state-leader-abu-bakr-albaghdadi-wounded-in-airstrike-claims-20141109-11jhxh.html</t>
  </si>
  <si>
    <t>Canadian Michael Zehaf-Bibeau thought to be the gunman in Ottawa shooting</t>
  </si>
  <si>
    <t>612e2730-5a47-11e4-aaf5-a1ddcfbcd5a9</t>
  </si>
  <si>
    <t>http://www.smh.com.au/world/canadian-michael-zehafbibeau-thought-to-be-the-gunman-in-ottawa-shooting-20141023-11aa17.html</t>
  </si>
  <si>
    <t>Seventh Sons Will Turn into Werewolves</t>
  </si>
  <si>
    <t>6c0e8420-9033-11e4-9799-c7e75be2bcad</t>
  </si>
  <si>
    <t>http://www.smithsonianmag.com/smart-news/argentina-has-superstition-7th-sons-will-turn-werewolves-180953746/?no-ist</t>
  </si>
  <si>
    <t>www.smithsonianmag.com</t>
  </si>
  <si>
    <t>A Bogus Banksy</t>
  </si>
  <si>
    <t>4ba51970-9834-11e4-bf59-1bb8b99952ce</t>
  </si>
  <si>
    <t>http://www.snopes.com/politics/arts/notbanksy.asp?utm_medium=twitter&amp;utm_source=twitterfeed</t>
  </si>
  <si>
    <t>www.snopes.com</t>
  </si>
  <si>
    <t>Crabzilla</t>
  </si>
  <si>
    <t>65069580-555c-11e4-aaf5-a1ddcfbcd5a9</t>
  </si>
  <si>
    <t>http://www.snopes.com/photos/animals/crabzilla.asp</t>
  </si>
  <si>
    <t>Texas, Hold Em</t>
  </si>
  <si>
    <t>a2f408c0-5401-11e4-b6a0-9705a8f94440</t>
  </si>
  <si>
    <t>http://www.snopes.com/media/notnews/texasquarantine.asp</t>
  </si>
  <si>
    <t>A ghost ship filled with Ebola-infected rats is heading towards Florida.</t>
  </si>
  <si>
    <t>Ghost Ship</t>
  </si>
  <si>
    <t>31bad250-9845-11e4-bf59-1bb8b99952ce</t>
  </si>
  <si>
    <t>960251d0-9844-11e4-bf59-1bb8b99952ce</t>
  </si>
  <si>
    <t>http://www.snopes.com/media/notnews/ghostship.asp</t>
  </si>
  <si>
    <t>20-year-old Deandre Joshua was killed in retaliation for his grand jury testimony in the Michael Brown case.</t>
  </si>
  <si>
    <t>A Murdered Witness?</t>
  </si>
  <si>
    <t>8c6c2ab0-7b1b-11e4-b794-93ed794d7b91</t>
  </si>
  <si>
    <t>863fece0-7b1a-11e4-b794-93ed794d7b91</t>
  </si>
  <si>
    <t>http://www.snopes.com/politics/crime/deandrejoshua.asp</t>
  </si>
  <si>
    <t>Kanye Banned</t>
  </si>
  <si>
    <t>a1602970-b163-11e4-9a23-0b6010caa867</t>
  </si>
  <si>
    <t>http://www.snopes.com/media/notnews/kanyebanned.asp</t>
  </si>
  <si>
    <t>Macaulay Culkin Dead?</t>
  </si>
  <si>
    <t>ae5db7c0-67b0-11e4-b528-9d5aa2d2e8e7</t>
  </si>
  <si>
    <t>http://www.snopes.com/inboxer/hoaxes/culkin.asp</t>
  </si>
  <si>
    <t>Michelle Obama: The First Woman?</t>
  </si>
  <si>
    <t>ec83e390-a003-11e4-a353-5b831fe927be</t>
  </si>
  <si>
    <t>http://www.snopes.com/media/notnews/romneyfirstlady.asp</t>
  </si>
  <si>
    <t>Bali Awry</t>
  </si>
  <si>
    <t>2dc172b0-565c-11e4-aaf5-a1ddcfbcd5a9</t>
  </si>
  <si>
    <t>http://www.snopes.com/horrors/insects/balispider.asp</t>
  </si>
  <si>
    <t>Breast Chancer</t>
  </si>
  <si>
    <t>1fb62ee0-428e-11e4-9e78-ff09d5b0049d</t>
  </si>
  <si>
    <t>http://www.snopes.com/photos/bodymods/jasminetridevil.asp</t>
  </si>
  <si>
    <t>Missing Planes</t>
  </si>
  <si>
    <t>b36149c0-33cc-11e4-8453-710264d9a1f8</t>
  </si>
  <si>
    <t>http://www.snopes.com/rumors/missingplanes.asp</t>
  </si>
  <si>
    <t>Nicaragua Meteorite Impact Theory May Be Meteor-wrong</t>
  </si>
  <si>
    <t>34df7250-3847-11e4-ae63-d5574342724c</t>
  </si>
  <si>
    <t>http://www.space.com/27071-nicaragua-meteorite-crater-impact-video.html</t>
  </si>
  <si>
    <t>www.space.com</t>
  </si>
  <si>
    <t>Nicaragua asks U.S. for help investigating meteorite crater</t>
  </si>
  <si>
    <t>ff72dc90-3d16-11e4-bc0b-3f922b93930d</t>
  </si>
  <si>
    <t>http://www.spacedaily.com/reports/Nicaragua_asks_US_for_help_investigating_meteorite_crater_999.html</t>
  </si>
  <si>
    <t>www.spacedaily.com</t>
  </si>
  <si>
    <t>NHL expansion rumors: This time, Las Vegas is about to get a team</t>
  </si>
  <si>
    <t>e79ce1d0-2e05-11e4-89c5-1d389b94bc4b</t>
  </si>
  <si>
    <t>http://www.sportingnews.com/nhl/story/2014-08-26/nhl-expansion-las-vegas-seattle-quebec-kansas-city-toronto-hamilton-western-conference</t>
  </si>
  <si>
    <t>www.sportingnews.com</t>
  </si>
  <si>
    <t>NHL denies Las Vegas expansion report</t>
  </si>
  <si>
    <t>b1346540-2e06-11e4-89c5-1d389b94bc4b</t>
  </si>
  <si>
    <t>http://www.sportsnet.ca/hockey/nhl/nhl-denies-las-vegas-expansion-report/</t>
  </si>
  <si>
    <t>www.sportsnet.ca</t>
  </si>
  <si>
    <t>God Is A Woman Resurrected Father Narated</t>
  </si>
  <si>
    <t>6962c860-baa1-11e4-b073-ed15c88bfa1e</t>
  </si>
  <si>
    <t>http://www.spyghana.com/god-is-a-woman-resurrected-father-narated/</t>
  </si>
  <si>
    <t>www.spyghana.com</t>
  </si>
  <si>
    <t>Watch: US Marine saved by helmet after being shot by Taliban sniper</t>
  </si>
  <si>
    <t>6de05730-5549-11e4-b6a0-9705a8f94440</t>
  </si>
  <si>
    <t>http://www.standard.co.uk/news/watch-us-marine-saved-by-helmet-after-being-shot-by-taliban-sniper-9798058.html</t>
  </si>
  <si>
    <t>www.standard.co.uk</t>
  </si>
  <si>
    <t>Penis graffiti drawn on 1.5million Bugatti Veyron</t>
  </si>
  <si>
    <t>18d188f0-4ff3-11e4-b6a0-9705a8f94440</t>
  </si>
  <si>
    <t>http://www.standard.co.uk/news/world/penis-graffiti-drawn-on-15million-bugatti-veyron-9782219.html</t>
  </si>
  <si>
    <t>Police officer in Charlie Hebdo investigation shot himself dead hours after the attack</t>
  </si>
  <si>
    <t>773d3a70-9a75-11e4-bf59-1bb8b99952ce</t>
  </si>
  <si>
    <t>http://www.standard.co.uk/news/world/police-officer-in-charlie-hebdo-investigation-shot-himself-dead-hours-after-the-attack-9972994.html</t>
  </si>
  <si>
    <t>Sexually frustrated female owl killed male because his penis was too small</t>
  </si>
  <si>
    <t>9b4755d0-b060-11e4-9a23-0b6010caa867</t>
  </si>
  <si>
    <t>http://www.standardmedia.co.ke/lifestyle/article/2000151099/sexually-frustrated-female-owl-killed-male-because-his-penis-was-too-small</t>
  </si>
  <si>
    <t>www.standardmedia.co.ke</t>
  </si>
  <si>
    <t>Dead for 48 minutes, Catholic Priest claims God is female</t>
  </si>
  <si>
    <t>06f4a420-ba9f-11e4-b073-ed15c88bfa1e</t>
  </si>
  <si>
    <t>http://www.starrfmonline.com/1.2002887</t>
  </si>
  <si>
    <t>www.starrfmonline.com</t>
  </si>
  <si>
    <t>Michael Phelps girlfriend was born male but did not tell swimmer about her past</t>
  </si>
  <si>
    <t>64e3d8c0-70db-11e4-8e10-b9c720c188ba</t>
  </si>
  <si>
    <t>http://www.straitstimes.com/news/sport/more-sport-stories/story/michael-phelps-girlfriend-was-born-male-did-not-tell-swimmer-abo</t>
  </si>
  <si>
    <t>www.straitstimes.com</t>
  </si>
  <si>
    <t>Crude Sees a Bid on Reports of Saudi Arabia Pipeline Explosion</t>
  </si>
  <si>
    <t>9ace1ba0-6508-11e4-b3d8-a32d8ec8ad5e</t>
  </si>
  <si>
    <t>http://www.streetinsider.com/Commodities/Crude+Sees+a+Bid+on+Reports+of+Saudi+Arabia+Pipeline+Explosion/9978343.html</t>
  </si>
  <si>
    <t>www.streetinsider.com</t>
  </si>
  <si>
    <t>Senator: Detainees swapped for Bergdahl have contacted militants</t>
  </si>
  <si>
    <t>b10e9a10-a8a2-11e4-a133-7514623ae047</t>
  </si>
  <si>
    <t>http://www.stripes.com/news/senator-detainees-swapped-for-bergdahl-have-contacted-militants-1.326689</t>
  </si>
  <si>
    <t>www.stripes.com</t>
  </si>
  <si>
    <t>176200e0-2bf8-11e4-89c5-1d389b94bc4b</t>
  </si>
  <si>
    <t>http://www.stuff.co.nz/world/middle-east/10419065/Rapper-identified-as-James-Foleys-executioner-reports</t>
  </si>
  <si>
    <t>www.stuff.co.nz</t>
  </si>
  <si>
    <t>Priest claim of seeing God as a woman dismissed as hoax</t>
  </si>
  <si>
    <t>520ad6c0-bb74-11e4-b073-ed15c88bfa1e</t>
  </si>
  <si>
    <t>http://www.stuff.co.nz/world/americas/66524204/priest-claim-of-seeing-god-as-a-woman-dismissed-as-hoax</t>
  </si>
  <si>
    <t>Spiderman squished: Experts debunk claims</t>
  </si>
  <si>
    <t>983bc2e0-5660-11e4-aaf5-a1ddcfbcd5a9</t>
  </si>
  <si>
    <t>http://www.stuff.co.nz/dominion-post/news/world/62490076/Spiderman-squished-Experts-debunk-claims</t>
  </si>
  <si>
    <t>These Men Catcalling Their Undercover Mothers Is the Best Payback Ever</t>
  </si>
  <si>
    <t>04dfff60-a62f-11e4-aa4f-ff16e52e0d56</t>
  </si>
  <si>
    <t>http://www.styleite.com/features/these-men-catcalling-their-undercover-mothers-is-the-best-payback-ever/</t>
  </si>
  <si>
    <t>www.styleite.com</t>
  </si>
  <si>
    <t>Durex Is Not Making Pumpkin Spice Condoms After All: A Hoax Debunked</t>
  </si>
  <si>
    <t>c3c4b7d0-3817-11e4-ae63-d5574342724c</t>
  </si>
  <si>
    <t>http://www.styleite.com/sex-and-dating/pumpkin-spice-condoms-fake/</t>
  </si>
  <si>
    <t>Canadian-Israeli woman reportedly kidnapped by ISIS: Jerusalem Post</t>
  </si>
  <si>
    <t>0debcbb0-78b8-11e4-b794-93ed794d7b91</t>
  </si>
  <si>
    <t>http://www.sunnewsnetwork.ca/sunnews/world/archives/2014/11/20141130-095711.html</t>
  </si>
  <si>
    <t>www.sunnewsnetwork.ca</t>
  </si>
  <si>
    <t>Terrorism fears rise amid reports of stolen jetliners</t>
  </si>
  <si>
    <t>393367e0-33cd-11e4-8453-710264d9a1f8</t>
  </si>
  <si>
    <t>http://www.sunnewsnetwork.ca/sunnews/trending/archives/2014/09/20140903-140626.html</t>
  </si>
  <si>
    <t>Zack Snyder Responds to Fake Stolen Batmobile Report</t>
  </si>
  <si>
    <t>d780ccf0-3c45-11e4-bc0b-3f922b93930d</t>
  </si>
  <si>
    <t>http://www.supermansupersite.com/0913343.html</t>
  </si>
  <si>
    <t>www.supermansupersite.com</t>
  </si>
  <si>
    <t>A viral photo in China shows how to manipulate App Store rankings the hard way</t>
  </si>
  <si>
    <t>2fa31e50-ad6c-11e4-9a23-0b6010caa867</t>
  </si>
  <si>
    <t>https://www.techinasia.com/viral-photo-china-shows-manipulate-app-store-rankings-hard/</t>
  </si>
  <si>
    <t>www.techinasia.com</t>
  </si>
  <si>
    <t>iPhone 6s Rumor Suggests Dual Lens Optical Zoom Camera, Pressure Sensors Inbound</t>
  </si>
  <si>
    <t>2920ac10-9dc6-11e4-a353-5b831fe927be</t>
  </si>
  <si>
    <t>http://www.technobuffalo.com/2015/01/13/iphone-6s-rumor-suggests-dual-lens-optical-zoom-camera-pressure-sensors-inbound/</t>
  </si>
  <si>
    <t>www.technobuffalo.com</t>
  </si>
  <si>
    <t>Spec leak suggests Apple Watch will be on par with Android Wear rivals</t>
  </si>
  <si>
    <t>c748c700-c2a7-11e4-8747-5b024dd6dd6c</t>
  </si>
  <si>
    <t>http://www.techradar.com/us/news/portable-devices/other-devices/spec-leak-suggests-apple-watch-will-be-on-par-with-android-wear-rivals-1266463</t>
  </si>
  <si>
    <t>www.techradar.com</t>
  </si>
  <si>
    <t>Lenovo might be eyeing up BlackBerry... again</t>
  </si>
  <si>
    <t>7d412830-5869-11e4-aaf5-a1ddcfbcd5a9</t>
  </si>
  <si>
    <t>http://www.techradar.com/news/phone-and-communications/mobile-phones/lenovo-might-be-eyeing-up-blackberry-again-1269808</t>
  </si>
  <si>
    <t>Apple Reportedly Preparing 12-inch MacBook Air, Thinner and Lighter than Existing Models</t>
  </si>
  <si>
    <t>4f318030-96a2-11e4-87a8-1d5d45e62193</t>
  </si>
  <si>
    <t>http://www.techtimes.com/articles/25063/20150107/apple-reportedly-preparing-12-inch-macbook-air-thinner-and-lighter-than-existing-models.htm</t>
  </si>
  <si>
    <t>www.techtimes.com</t>
  </si>
  <si>
    <t>Apple Watch pricing: Will you spend 5000 for Gold edition, 500 for stainless steel?</t>
  </si>
  <si>
    <t>0a44d630-c216-11e4-8747-5b024dd6dd6c</t>
  </si>
  <si>
    <t>http://www.techtimes.com/articles/19499/20141105/apple-watch-pricing-will-you-spend-5000-for-gold-edition-500-for-stainless-steel.htm</t>
  </si>
  <si>
    <t>Apple Watch mass production kicks off in January: Report</t>
  </si>
  <si>
    <t>f4eec1f0-4aed-11e4-9960-a165dd517bbb</t>
  </si>
  <si>
    <t>http://www.techtimes.com/articles/17001/20141003/apple-watch-mass-production-kicks-off-in-january-report.htm</t>
  </si>
  <si>
    <t>Apple Watch Price, Release Date News: Special Safes In Apple Stores For Gold Models, April Launch Confirmed</t>
  </si>
  <si>
    <t>e1071ec0-bfba-11e4-8747-5b024dd6dd6c</t>
  </si>
  <si>
    <t>http://www.techtimes.com/articles/30175/20150202/apple-watch-price-release-date-news-special-safes-in-apple-stores-for-gold-models-april-launch-confirmed.htm</t>
  </si>
  <si>
    <t>Apple Watch on Your Wrist in March, 12-inch MacBook Air Set for Q1 Launch: Analyst</t>
  </si>
  <si>
    <t>08053cc0-c121-11e4-8747-5b024dd6dd6c</t>
  </si>
  <si>
    <t>http://www.techtimes.com/articles/28694/20150127/apple-watch-on-your-wrist-in-march-12-inch-macbook-air-set-for-q1-launch-analyst.htm</t>
  </si>
  <si>
    <t>Is this a Crabzilla spotted in the UK? Monster crab measures about 50 feet</t>
  </si>
  <si>
    <t>255c72e0-555e-11e4-aaf5-a1ddcfbcd5a9</t>
  </si>
  <si>
    <t>http://www.techtimes.com/articles/17752/20141013/is-this-a-crabzilla-spotted-in-the-uk-monster-crab-measures-about-50-feet.htm</t>
  </si>
  <si>
    <t>6b9f0bb0-c213-11e4-8747-5b024dd6dd6c</t>
  </si>
  <si>
    <t>Apple iPhone Mini with 4-inch Display Set to Replace iPhone 5c: Rumor</t>
  </si>
  <si>
    <t>b66d3e90-7ee9-11e4-8faa-9748b2fc07a1</t>
  </si>
  <si>
    <t>http://www.techtimes.com/articles/21559/20141205/apple-iphone-mini-4-inch-display-set-replace-5c-rumor.htm</t>
  </si>
  <si>
    <t>Apple Watch Gold Edition rumored to be priced at 1200: Will you buy?</t>
  </si>
  <si>
    <t>488b3be0-c34d-11e4-8747-5b024dd6dd6c</t>
  </si>
  <si>
    <t>http://www.techtimes.com/articles/15679/20140917/apple-watch-gold-edition-rumored-to-be-priced-at-1200-will-you-buy.htm</t>
  </si>
  <si>
    <t>Apple Watch Gold Edition may cost as much as 5,000</t>
  </si>
  <si>
    <t>dd5a9770-c2ad-11e4-8747-5b024dd6dd6c</t>
  </si>
  <si>
    <t>http://www.techtimes.com/articles/15891/20140921/apple-watch-gold-edition-may-cost-as-much-as-5-000.htm</t>
  </si>
  <si>
    <t>Phone 6s Will Sport Dual-lens Camera, Healthkit Sensors: Rumor</t>
  </si>
  <si>
    <t>1ca610d0-9fe5-11e4-a353-5b831fe927be</t>
  </si>
  <si>
    <t>http://www.techtimes.com/articles/26441/20150114/iphone-6s-will-sport-dual-lens-camera-healthkit-sensors-rumor.htm</t>
  </si>
  <si>
    <t>Knightscope Security Robots Are Keeping Microsoft Campuses Safe and They Look Really Scary</t>
  </si>
  <si>
    <t>78bd1570-749e-11e4-99be-fb3662a4a6dd</t>
  </si>
  <si>
    <t>http://www.techtimes.com/articles/20791/20141124/knightscope-security-robots-are-keeping-microsoft-campuses-safe-and-they-look-really-scary.htm</t>
  </si>
  <si>
    <t>NASA: Viral news on days of darkness in December is hoax</t>
  </si>
  <si>
    <t>f0f01440-5efd-11e4-a887-2324afc3f9a8</t>
  </si>
  <si>
    <t>http://www.techtimes.com/articles/18813/20141028/nasa-viral-news-on-days-of-darkness-in-december-is-hoax.htm</t>
  </si>
  <si>
    <t>Apple-HBO Deal Seen Launching Web-only Apple TV Streaming Service For 15 Per Month</t>
  </si>
  <si>
    <t>a061b630-c430-11e4-883c-a7fa7a3c5066</t>
  </si>
  <si>
    <t>http://www.techtimes.com/articles/37405/20150305/apple-hbo-deal-seen-launching-web-only-apple-tv-streaming-service-for-15-per-month.htm</t>
  </si>
  <si>
    <t>Lenovo Still Wants to Buy BlackBerry and Will Try Again, Source Suggests</t>
  </si>
  <si>
    <t>972719d0-5869-11e4-aaf5-a1ddcfbcd5a9</t>
  </si>
  <si>
    <t>http://www.techvibes.com/blog/lenovo-still-wants-to-buy-blackberry-2014-10-20</t>
  </si>
  <si>
    <t>www.techvibes.com</t>
  </si>
  <si>
    <t>Lenovo ready to bid for Blackberry - report</t>
  </si>
  <si>
    <t>8a9330f0-5869-11e4-aaf5-a1ddcfbcd5a9</t>
  </si>
  <si>
    <t>http://www.telecompaper.com/news/lenovo-ready-to-bid-for-blackberry-report--1044000</t>
  </si>
  <si>
    <t>www.telecompaper.com</t>
  </si>
  <si>
    <t>Wife and son of Isil leader Abu Bakr al-Baghdadi detained at Lebanon border</t>
  </si>
  <si>
    <t>eca91b10-7af1-11e4-b794-93ed794d7b91</t>
  </si>
  <si>
    <t>http://www.telegraph.co.uk/news/worldnews/islamic-state/11267182/Wife-and-son-of-Isil-leader-Abu-Bakr-al-Baghdadi-detained-at-Lebanon-border.html</t>
  </si>
  <si>
    <t>www.telegraph.co.uk</t>
  </si>
  <si>
    <t>Brighton jihadi among five killed in Syria drone strike</t>
  </si>
  <si>
    <t>f1da8760-443a-11e4-94c0-515d9d816ec6</t>
  </si>
  <si>
    <t>http://www.telegraph.co.uk/news/worldnews/middleeast/syria/11120127/Brighton-jihadi-among-five-killed-in-Syria-drone-strike.html</t>
  </si>
  <si>
    <t>Apple working on 12-inch MacBook Air</t>
  </si>
  <si>
    <t>980490c0-969f-11e4-87a8-1d5d45e62193</t>
  </si>
  <si>
    <t>http://www.telegraph.co.uk/technology/apple/11330790/Apple-working-on-12-inch-MacBook-Air.html</t>
  </si>
  <si>
    <t>Apple Watches to be kept in safes</t>
  </si>
  <si>
    <t>c0002480-bfb8-11e4-8747-5b024dd6dd6c</t>
  </si>
  <si>
    <t>http://www.telegraph.co.uk/technology/apple/11383901/Apple-Watches-to-be-kept-in-safes.html</t>
  </si>
  <si>
    <t>Argentina's president adopts godson to prevent him becoming a werewolf</t>
  </si>
  <si>
    <t>cefb0060-8f96-11e4-9799-c7e75be2bcad</t>
  </si>
  <si>
    <t>http://www.telegraph.co.uk/news/worldnews/southamerica/argentina/11316410/Argentinas-president-adopts-godson-to-prevent-him-becoming-a-werewolf.html</t>
  </si>
  <si>
    <t>Banksy arrest hoax: US website claims street artist caught in Watford</t>
  </si>
  <si>
    <t>5be6b3c0-5888-11e4-aaf5-a1ddcfbcd5a9</t>
  </si>
  <si>
    <t>http://www.telegraph.co.uk/news/uknews/crime/11174625/Banksy-arrest-hoax-US-website-claims-street-artist-caught-in-London.html</t>
  </si>
  <si>
    <t>Banksy Instagram tribute to Charlie Hebdo victims not posted by artist</t>
  </si>
  <si>
    <t>4b1fbfb0-972a-11e4-87a8-1d5d45e62193</t>
  </si>
  <si>
    <t>http://www.telegraph.co.uk/news/worldnews/europe/france/11332310/Banksy-Instagram-tribute-to-Charlie-Hebdo-victims-not-posted-by-artist.html</t>
  </si>
  <si>
    <t>Chinese advised to choose British-sounding names to get ahead</t>
  </si>
  <si>
    <t>424af540-822f-11e4-be1a-2d20e0ce9757</t>
  </si>
  <si>
    <t>http://www.telegraph.co.uk/news/worldnews/asia/china/11177583/Chinese-advised-to-choose-British-sounding-names-to-get-ahead.html</t>
  </si>
  <si>
    <t>Dog abandoned at railway station with suitcase set for happy ending as offers pour in</t>
  </si>
  <si>
    <t>18bbcbf0-969d-11e4-87a8-1d5d45e62193</t>
  </si>
  <si>
    <t>http://www.telegraph.co.uk/news/uknews/crime/11329735/Dog-abandoned-at-railway-station-with-suitcase-set-for-happy-ending-as-offers-pour-in.html</t>
  </si>
  <si>
    <t>Has a woman aborted her baby because it's a boy?</t>
  </si>
  <si>
    <t>bb062aa0-b20d-11e4-9a23-0b6010caa867</t>
  </si>
  <si>
    <t>http://www.telegraph.co.uk/women/womens-life/11405141/Has-a-woman-aborted-her-baby-because-its-a-boy.html</t>
  </si>
  <si>
    <t>4-inch iPhone 6 reported to be in development</t>
  </si>
  <si>
    <t>ba099f30-7ee9-11e4-8faa-9748b2fc07a1</t>
  </si>
  <si>
    <t>http://www.telegraph.co.uk/technology/apple/iphone/11275633/4-inch-iPhone-6-reported-to-be-in-development.html</t>
  </si>
  <si>
    <t>British hostage David Haines beheaded by Islamic State terrorists</t>
  </si>
  <si>
    <t>b8fe19b0-3c9d-11e4-bc0b-3f922b93930d</t>
  </si>
  <si>
    <t>http://www.telegraph.co.uk/news/worldnews/middleeast/syria/11094852/British-hostage-David-Haines-beheaded-by-Islamic-State-terrorists.html</t>
  </si>
  <si>
    <t>Monster catfish which looks big enough to swallow a man whole caught in Italy</t>
  </si>
  <si>
    <t>ac1f02a0-bd34-11e4-b073-ed15c88bfa1e</t>
  </si>
  <si>
    <t>http://www.telegraph.co.uk/news/worldnews/europe/italy/11434339/Monster-catfish-which-looks-big-enough-to-swallow-a-man-whole-caught-in-Italy.html</t>
  </si>
  <si>
    <t>Jihadi John named as Mohammed Emwazi, from west London</t>
  </si>
  <si>
    <t>d8e995a0-bdb3-11e4-b073-ed15c88bfa1e</t>
  </si>
  <si>
    <t>http://www.telegraph.co.uk/news/uknews/terrorism-in-the-uk/11436596/Jihadi-John-named-as-Mohammed-Emwazi-from-west-London.html</t>
  </si>
  <si>
    <t>Jihadi John identity revealed as Mohammed Emwazi: live</t>
  </si>
  <si>
    <t>b45013e0-bdb3-11e4-b073-ed15c88bfa1e</t>
  </si>
  <si>
    <t>http://www.telegraph.co.uk/news/worldnews/islamic-state/11436615/Jihadi-John-named-as-Mohammed-Emwazi-live.html</t>
  </si>
  <si>
    <t>Jihadi John reportedly wounded in airstrike</t>
  </si>
  <si>
    <t>551d4280-6d36-11e4-8e10-b9c720c188ba</t>
  </si>
  <si>
    <t>http://www.telegraph.co.uk/news/uknews/terrorism-in-the-uk/11233801/Jihadi-John-reportedly-wounded-in-airstrike.html</t>
  </si>
  <si>
    <t>Kim Jong-un so fat he has fractured his ankles</t>
  </si>
  <si>
    <t>b27c7990-4979-11e4-9960-a165dd517bbb</t>
  </si>
  <si>
    <t>http://www.telegraph.co.uk/news/worldnews/asia/northkorea/11131885/Kim-Jong-un-so-fat-he-has-fractured-his-ankles.html</t>
  </si>
  <si>
    <t>Robot vacuum cleaner attacks South Korea housewife's hair</t>
  </si>
  <si>
    <t>724cbee0-b097-11e4-9a23-0b6010caa867</t>
  </si>
  <si>
    <t>http://www.telegraph.co.uk/news/worldnews/asia/southkorea/11399713/Robot-vacuum-cleaner-attacks-South-Korea-housewifes-hair.html</t>
  </si>
  <si>
    <t>Lego letter to parents in 1974 on gender equality still resonates 40 years on</t>
  </si>
  <si>
    <t>26be4950-7409-11e4-99be-fb3662a4a6dd</t>
  </si>
  <si>
    <t>http://www.telegraph.co.uk/men/11250366/Lego-letter-to-parents-in-1974-on-gender-equality-still-resonates-40-years-on.html</t>
  </si>
  <si>
    <t>Magic mushrooms found at Buckingham Palace</t>
  </si>
  <si>
    <t>abc1f760-83c1-11e4-b1b5-4f1bd36cbfc6</t>
  </si>
  <si>
    <t>http://www.telegraph.co.uk/news/newstopics/howaboutthat/11289221/Queens-garden-at-Buckingham-Palace-contains-hallucinogenic-fungi.html</t>
  </si>
  <si>
    <t>Mystery man slaps shoppers around head for sneezing</t>
  </si>
  <si>
    <t>a69d8fb0-d0fb-11e4-956e-77ab1bea7698</t>
  </si>
  <si>
    <t>http://www.telegraph.co.uk/news/uknews/crime/11484996/Mystery-man-slaps-shoppers-around-head-for-sneezing.html</t>
  </si>
  <si>
    <t>US Marine survives headshot in Afghanistan</t>
  </si>
  <si>
    <t>1e61e760-5543-11e4-b6a0-9705a8f94440</t>
  </si>
  <si>
    <t>http://www.telegraph.co.uk/men/the-filter/virals/11166402/US-Marine-survives-headshot-in-Afghanistan.html</t>
  </si>
  <si>
    <t>Mexico police find mass grave near site 43 students vanished</t>
  </si>
  <si>
    <t>8a5f1540-4cbb-11e4-949b-f14041b20838</t>
  </si>
  <si>
    <t>http://www.telegraph.co.uk/news/worldnews/centralamericaandthecaribbean/mexico/11141626/Mexico-police-find-mass-grave-near-site-43-students-vanished.html</t>
  </si>
  <si>
    <t>df0d2a60-383d-11e4-ae63-d5574342724c</t>
  </si>
  <si>
    <t>http://www.telegraph.co.uk/news/worldnews/centralamericaandthecaribbean/nicaragua/11081599/Meteorite-leaves-crater-in-Nicaraguan-capital-Managua.html</t>
  </si>
  <si>
    <t>North Korean student on the run in France after escaping from Pyongyang's agents</t>
  </si>
  <si>
    <t>9059c990-9059-11e4-9799-c7e75be2bcad</t>
  </si>
  <si>
    <t>http://www.telegraph.co.uk/news/worldnews/asia/northkorea/11314773/North-Korean-student-on-the-run-in-France-after-escaping-from-Pyongyangs-agents.html</t>
  </si>
  <si>
    <t>Oil market shrugs off Saudi pipeline blast</t>
  </si>
  <si>
    <t>dd6adfa0-652d-11e4-b3d8-a32d8ec8ad5e</t>
  </si>
  <si>
    <t>http://www.telegraph.co.uk/finance/newsbysector/energy/oilandgas/11211527/Oil-market-shrugs-off-Saudi-pipeline-blast.html</t>
  </si>
  <si>
    <t>Predator drones being flown over Isil's Syrian capital</t>
  </si>
  <si>
    <t>772c3d70-37af-11e4-ae63-d5574342724c</t>
  </si>
  <si>
    <t>http://www.telegraph.co.uk/news/worldnews/middleeast/syria/11083159/Predator-drones-being-flown-over-Isils-Syrian-capital.html</t>
  </si>
  <si>
    <t>Saudi Arabia fatwa over building of snowmen</t>
  </si>
  <si>
    <t>1cab8a50-9a9b-11e4-bf59-1bb8b99952ce</t>
  </si>
  <si>
    <t>http://www.telegraph.co.uk/news/worldnews/middleeast/saudiarabia/11339641/Saudi-Arabia-fatwa-over-building-of-snowmen.html</t>
  </si>
  <si>
    <t>Woman stung by scorpion on Alaska Airlines flight</t>
  </si>
  <si>
    <t>dfa71780-b6d0-11e4-8507-b58af63d1078</t>
  </si>
  <si>
    <t>http://www.telegraph.co.uk/travel/destinations/northamerica/usa/11415114/Woman-stung-by-scorpion-on-Alaska-Airlines-flight.html</t>
  </si>
  <si>
    <t>Steven Sotloff beheaded by Islamic State - latest</t>
  </si>
  <si>
    <t>e4f8c6e0-32c6-11e4-8453-710264d9a1f8</t>
  </si>
  <si>
    <t>http://www.telegraph.co.uk/news/worldnews/middleeast/iraq/11071159/Steven-Sotloff-beheaded-by-Islamic-State.html</t>
  </si>
  <si>
    <t>Tropical spider burrows under man's skin through scar</t>
  </si>
  <si>
    <t>a8a2c610-565b-11e4-aaf5-a1ddcfbcd5a9</t>
  </si>
  <si>
    <t>http://www.telegraph.co.uk/news/newsvideo/weirdnewsvideo/11167907/Tropical-spider-burrows-under-mans-skin-through-scar.html</t>
  </si>
  <si>
    <t>Star Wars: The Force Awakens to be released this summer?</t>
  </si>
  <si>
    <t>138f3ad0-b2eb-11e4-9a23-0b6010caa867</t>
  </si>
  <si>
    <t>http://www.telegraph.co.uk/culture/star-wars/11401179/Star-Wars-The-Force-Awakens-to-be-released-this-summer.html</t>
  </si>
  <si>
    <t>Guantanamo detainee freed in Bowe Bergdahl swap back to terrorism</t>
  </si>
  <si>
    <t>3f4f6160-a8a3-11e4-a133-7514623ae047</t>
  </si>
  <si>
    <t>http://www.telegraph.co.uk/news/worldnews/northamerica/usa/11378706/Bowe-Bergdahl-to-be-charged-with-desertion.html</t>
  </si>
  <si>
    <t>The baby from Teletubbies reveals herself</t>
  </si>
  <si>
    <t>d8840e10-8b13-11e4-9799-c7e75be2bcad</t>
  </si>
  <si>
    <t>http://www.telegraph.co.uk/news/newstopics/howaboutthat/11310883/The-baby-from-Teletubbies-reveals-herself.html</t>
  </si>
  <si>
    <t>I had a third breast implant so I can turn off men</t>
  </si>
  <si>
    <t>47ff4b20-428e-11e4-9e78-ff09d5b0049d</t>
  </si>
  <si>
    <t>http://www.telegraph.co.uk/women/womens-life/11113452/Third-boob-woman-I-had-a-third-breast-implant-so-I-can-turn-off-men.html</t>
  </si>
  <si>
    <t>Tiger Woods former luxury island goes on sale</t>
  </si>
  <si>
    <t>98a993f0-9a7c-11e4-bf59-1bb8b99952ce</t>
  </si>
  <si>
    <t>http://www.telegraph.co.uk/news/celebritynews/11329710/Tiger-Woods-former-luxury-island-goes-on-sale.html</t>
  </si>
  <si>
    <t>Woman spends a week in KFC to get over her break up</t>
  </si>
  <si>
    <t>f7e6a070-9ff8-11e4-a353-5b831fe927be</t>
  </si>
  <si>
    <t>http://www.telegraph.co.uk/news/worldnews/asia/china/11180631/Woman-spends-a-week-in-KFC-to-get-over-her-break-up.html</t>
  </si>
  <si>
    <t>Boy, 5, given 15.95 invoice for missing friend's birthday party</t>
  </si>
  <si>
    <t>04caccc0-a068-11e4-a353-5b831fe927be</t>
  </si>
  <si>
    <t>http://www.telegraph.co.uk/news/newstopics/howaboutthat/11354515/Boy-5-given-invoice-for-missing-friends-birthday-party.html</t>
  </si>
  <si>
    <t>Desperate bride marries wedding guest instead of groom</t>
  </si>
  <si>
    <t>d40aa590-b7a2-11e4-8507-b58af63d1078</t>
  </si>
  <si>
    <t>http://www.telegraph.co.uk/news/worldnews/asia/india/11419841/Desperate-bride-marries-wedding-guest-instead-of-groom.html</t>
  </si>
  <si>
    <t>Christian Bale quits Steve Jobs movie</t>
  </si>
  <si>
    <t>0f6ce830-6395-11e4-b3d8-a32d8ec8ad5e</t>
  </si>
  <si>
    <t>http://www.telegraph.co.uk/culture/film/film-news/11206580/Christian-Bale-quits-Steve-Jobs-movie.html</t>
  </si>
  <si>
    <t>Luke Somers killed in failed rescue attempt in Yemen</t>
  </si>
  <si>
    <t>2074dc40-7d2c-11e4-8faa-9748b2fc07a1</t>
  </si>
  <si>
    <t>http://www.telegraph.co.uk/news/worldnews/al-qaeda/11277098/Luke-Somers-killed-in-failed-rescue-attempt-in-Yemen.html</t>
  </si>
  <si>
    <t>Man who skipped work for 24 years is finally fired</t>
  </si>
  <si>
    <t>a6488ee0-98f5-11e4-bf59-1bb8b99952ce</t>
  </si>
  <si>
    <t>http://www.telegraph.co.uk/finance/jobs/11333885/Man-who-skipped-work-for-24-years-is-finally-fired.html</t>
  </si>
  <si>
    <t>Nigeria's missing girls to be released by Boko Haram, government aide claims</t>
  </si>
  <si>
    <t>60131600-5630-11e4-aaf5-a1ddcfbcd5a9</t>
  </si>
  <si>
    <t>http://www.telegraph.co.uk/news/worldnews/africaandindianocean/nigeria/11169959/Nigerias-missing-schoolgirls-to-be-released-after-ceasefire-deal.html</t>
  </si>
  <si>
    <t>Boko Haram ceasefire doubts after attacks reported in Nigeria</t>
  </si>
  <si>
    <t>93b5c980-5969-11e4-aaf5-a1ddcfbcd5a9</t>
  </si>
  <si>
    <t>http://www.telegraph.co.uk/news/worldnews/africaandindianocean/nigeria/11173541/Boko-Haram-ceasefire-doubts-after-attacks-reported-in-Nigeria.html</t>
  </si>
  <si>
    <t>Man chops off own penis after being dumped by his girlfriend</t>
  </si>
  <si>
    <t>7c09b000-5b92-11e4-a887-2324afc3f9a8</t>
  </si>
  <si>
    <t>http://www.telegraph.co.uk/men/the-filter/11184600/Man-chops-off-own-penis-after-being-dumped-by-his-girlfriend.html</t>
  </si>
  <si>
    <t>White House Threatened James Foley's Family with Prosecution</t>
  </si>
  <si>
    <t>8a39a630-4a3a-11e4-9960-a165dd517bbb</t>
  </si>
  <si>
    <t>http://www.telesurtv.net/english/news/White-House-Threatened-James-Foleys-Family-with-Prosecution-20140913-0008.html</t>
  </si>
  <si>
    <t>www.telesurtv.net</t>
  </si>
  <si>
    <t>Man chops off own penis, throws it in a dustbin after poor show in bed</t>
  </si>
  <si>
    <t>892406f0-5b92-11e4-a887-2324afc3f9a8</t>
  </si>
  <si>
    <t>http://www.the-star.co.ke/news/article-195313/man-chops-own-penis-throws-it-dustbin-after-poor-show-bed</t>
  </si>
  <si>
    <t>www.the-star.co.ke</t>
  </si>
  <si>
    <t>Spider burrowed into appendix scar, crawled through WA man's body</t>
  </si>
  <si>
    <t>30d5f6f0-5662-11e4-aaf5-a1ddcfbcd5a9</t>
  </si>
  <si>
    <t>http://www.theage.com.au/wa-news/spider-burrowed-into-appendix-scar-crawled-through-wa-mans-body-20141016-1171lq.html</t>
  </si>
  <si>
    <t>www.theage.com.au</t>
  </si>
  <si>
    <t>Brighton teenager killed in US air strikes in Syria</t>
  </si>
  <si>
    <t>443b8840-4442-11e4-94c0-515d9d816ec6</t>
  </si>
  <si>
    <t>http://www.theargus.co.uk/news/11493855.Brighton_teenager_killed_in_US_air_strikes_in_Syria/</t>
  </si>
  <si>
    <t>www.theargus.co.uk</t>
  </si>
  <si>
    <t>The Arrest of the ISIS Leader's Wife and Son</t>
  </si>
  <si>
    <t>034ade30-7af2-11e4-b794-93ed794d7b91</t>
  </si>
  <si>
    <t>http://www.theatlantic.com/international/archive/2014/12/authorities-arrest-wife-and-son-of-isis-leader-Abu-Bakr-al-Baghdadi-lebanon/383321/</t>
  </si>
  <si>
    <t>www.theatlantic.com</t>
  </si>
  <si>
    <t>The Chinese Guide to Avoiding a Bad English Name</t>
  </si>
  <si>
    <t>46b1d1d0-822f-11e4-be1a-2d20e0ce9757</t>
  </si>
  <si>
    <t>http://www.theatlantic.com/international/archive/2014/10/the-chinese-guide-to-avoiding-a-bad-english-name/381685/</t>
  </si>
  <si>
    <t>When We Felt Threatened, We Opened Umbrellas and Raised Our Hands</t>
  </si>
  <si>
    <t>969ae780-47e3-11e4-9960-a165dd517bbb</t>
  </si>
  <si>
    <t>http://www.theatlantic.com/international/archive/2014/09/when-we-felt-threatened-we-opened-umbrellas-and-raised-our-hands/380876/</t>
  </si>
  <si>
    <t>More American Weapons for ISIS</t>
  </si>
  <si>
    <t>06454750-5965-11e4-aaf5-a1ddcfbcd5a9</t>
  </si>
  <si>
    <t>http://www.theatlantic.com/international/archive/2014/10/american-weapons-find-their-way-to-isis-again/381733/</t>
  </si>
  <si>
    <t>Cold Turkey</t>
  </si>
  <si>
    <t>68caa9b0-6c16-11e4-b528-9d5aa2d2e8e7</t>
  </si>
  <si>
    <t>http://www.theatlantic.com/international/archive/2014/10/cold-turkey/381772/</t>
  </si>
  <si>
    <t>A Mass Grave Points to a Student Massacre in Mexico</t>
  </si>
  <si>
    <t>7d900e90-4dc0-11e4-949b-f14041b20838</t>
  </si>
  <si>
    <t>http://www.theatlantic.com/international/archive/2014/10/mass-grave-uncovered-in-mexico/381131/</t>
  </si>
  <si>
    <t>Parents say they were kept in the dark on attempts to save James Foley</t>
  </si>
  <si>
    <t>578ab590-4a43-11e4-9960-a165dd517bbb</t>
  </si>
  <si>
    <t>http://www.theaustralian.com.au/news/world/parents-say-they-were-kept-in-the-dark-on-attempts-to-save-james-foley/story-e6frg6so-1227057942370</t>
  </si>
  <si>
    <t>www.theaustralian.com.au</t>
  </si>
  <si>
    <t>Hero soldier Nathan Cirillo killed by convicted criminal Michael Zehaf-Bibeau</t>
  </si>
  <si>
    <t>46c09090-5aab-11e4-aaf5-a1ddcfbcd5a9</t>
  </si>
  <si>
    <t>http://www.theaustralian.com.au/in-depth/terror/hero-soldier-nathan-cirillo-killed-by-convicted-criminal-michael-zehafbibeau/story-fnpdbcmu-1227099769418?nk=84e58c4784cbe784c5503f0a0167c514</t>
  </si>
  <si>
    <t>Tom Brokaw Wants Brian Williams Fired</t>
  </si>
  <si>
    <t>862d4ee0-ae15-11e4-9a23-0b6010caa867</t>
  </si>
  <si>
    <t>http://www.theblaze.com/stories/2015/02/06/report-tom-brokaw-wants-brian-williams-fired/</t>
  </si>
  <si>
    <t>www.theblaze.com</t>
  </si>
  <si>
    <t>Rumor Check: Are Hong Kong Protesters Really Using the Hands Up, Don't Shoot Gesture in Solidarity With Ferguson?</t>
  </si>
  <si>
    <t>0b3a1110-49c4-11e4-9960-a165dd517bbb</t>
  </si>
  <si>
    <t>http://www.theblaze.com/stories/2014/09/30/rumor-check-are-hong-kong-protesters-really-using-the-hands-up-dont-shoot-gesture-in-solidarity-with-ferguson/#</t>
  </si>
  <si>
    <t>Lawmaker Says At Least 10 Islamic State Fighters Have Been Captured at the Southern U.S. Border</t>
  </si>
  <si>
    <t>7f71cfe0-4fce-11e4-b6a0-9705a8f94440</t>
  </si>
  <si>
    <t>http://www.theblaze.com/stories/2014/10/08/lawmaker-says-at-least-10-islamic-state-fighters-have-been-captured-at-the-southern-u-s-border/</t>
  </si>
  <si>
    <t>Islamic State Attempting to Sell James Foley's Body for 1 Million</t>
  </si>
  <si>
    <t>f63d1f30-8138-11e4-8faa-9748b2fc07a1</t>
  </si>
  <si>
    <t>http://www.theblaze.com/stories/2014/12/11/report-islamic-state-attempting-to-sell-james-foleys-body-for-1-million/</t>
  </si>
  <si>
    <t>Surreal Photos of Fisherman's Jaw-Dropping Catch Will Likely Have People Wondering If It's Real</t>
  </si>
  <si>
    <t>bc9ad410-bd34-11e4-b073-ed15c88bfa1e</t>
  </si>
  <si>
    <t>http://www.theblaze.com/stories/2015/02/24/surreal-photos-of-fishermans-jaw-dropping-catch-will-likely-have-people-wondering-if-its-real/</t>
  </si>
  <si>
    <t>That Story About a Catholic Priest Dying, Seeing God as a Woman, and Coming Back to Life? It's Almost Definitely Fake</t>
  </si>
  <si>
    <t>15241490-ba9f-11e4-b073-ed15c88bfa1e</t>
  </si>
  <si>
    <t>http://www.theblaze.com/stories/2015/02/22/that-story-about-a-catholic-priest-dying-seeing-god-as-a-woman-and-coming-back-to-life-its-almost-definitely-fake/</t>
  </si>
  <si>
    <t>Is the Alleged Audio of the Gunshots That Killed Michael Brown a Hoax?</t>
  </si>
  <si>
    <t>7d39ca70-2ec2-11e4-89c5-1d389b94bc4b</t>
  </si>
  <si>
    <t>http://www.theblaze.com/stories/2014/08/27/is-the-purported-audio-of-the-gunshots-that-killed-michael-brown-a-hoax/</t>
  </si>
  <si>
    <t>Second American Journalist Beheaded by Islamic State Terrorists</t>
  </si>
  <si>
    <t>3fd398b0-32c7-11e4-8453-710264d9a1f8</t>
  </si>
  <si>
    <t>http://www.theblaze.com/stories/2014/09/02/report-second-american-journalist-beheaded-by-islamic-state-terrorists/</t>
  </si>
  <si>
    <t>The Guy Who Said a Spider Burrowed Under His Skin? Experts Say</t>
  </si>
  <si>
    <t>7aa32650-565c-11e4-aaf5-a1ddcfbcd5a9</t>
  </si>
  <si>
    <t>http://www.theblaze.com/stories/2014/10/17/scientists-are-skeptical-about-what-supposedly-caused-this-mystery-condition/</t>
  </si>
  <si>
    <t>Taliban Detainee Swapped for Bowe Bergdahl Suspected of Trying to Return to Terrorism</t>
  </si>
  <si>
    <t>4c788560-a8a3-11e4-a133-7514623ae047</t>
  </si>
  <si>
    <t>http://www.theblaze.com/stories/2015/01/29/report-taliban-detainee-swapped-for-bowe-bergdahl-suspected-of-trying-to-return-to-terrorism/</t>
  </si>
  <si>
    <t>Nearly a Dozen Commercial Airliners Missing Ahead of 911 Anniversary After Islamists Overrun Libyan Airport</t>
  </si>
  <si>
    <t>8d624490-33cc-11e4-8453-710264d9a1f8</t>
  </si>
  <si>
    <t>http://www.theblaze.com/stories/2014/09/02/report-nearly-a-dozen-commercial-airliners-missing-ahead-of-911-anniversary-after-islamists-overrun-libyan-airport/</t>
  </si>
  <si>
    <t>What Glenn Beck Fears May Be Done With the 11 Missing Jets</t>
  </si>
  <si>
    <t>64b07ea0-33d0-11e4-8453-710264d9a1f8</t>
  </si>
  <si>
    <t>http://www.theblaze.com/stories/2014/09/03/what-glenn-beck-fears-may-be-done-with-the-11-missing-jets/</t>
  </si>
  <si>
    <t>Egyptian President Makes Surprising Suggestion to Move the Location of a Future Palestinian State</t>
  </si>
  <si>
    <t>49eccee0-4431-11e4-94c0-515d9d816ec6</t>
  </si>
  <si>
    <t>http://www.theblaze.com/stories/2014/09/08/report-egyptian-president-makes-surprising-suggestion-to-move-the-location-of-a-future-palestinian-state/</t>
  </si>
  <si>
    <t>White House Fence-Jumper Overpowered Secret Service Officer, Ran Through Much of Main Floor</t>
  </si>
  <si>
    <t>74d7d650-483b-11e4-9960-a165dd517bbb</t>
  </si>
  <si>
    <t>http://www.theblaze.com/stories/2014/09/29/report-white-house-fence-jumper-overpowered-secret-service-officer-ran-through-much-of-main-floor/</t>
  </si>
  <si>
    <t>Brown Moses on what's flying over Iraq and Syria</t>
  </si>
  <si>
    <t>dd7862b0-4016-11e4-9e78-ff09d5b0049d</t>
  </si>
  <si>
    <t>http://www.thebureauinvestigates.com/2014/09/19/podcast-brown-moses-on-whats-flying-over-iraq-and-syria/</t>
  </si>
  <si>
    <t>www.thebureauinvestigates.com</t>
  </si>
  <si>
    <t>If you really believed Colorado KFCs were selling pot, here's a reality check</t>
  </si>
  <si>
    <t>f8e78c10-c2de-11e4-8747-5b024dd6dd6c</t>
  </si>
  <si>
    <t>http://www.thecannabist.co/2015/03/04/kfc-pot-marijuana-colorado/31086/</t>
  </si>
  <si>
    <t>www.thecannabist.co</t>
  </si>
  <si>
    <t>UNIVERSITY DROPS TERM FRESHMAN, REPLACES IT WITH FIRST-YEAR</t>
  </si>
  <si>
    <t>893708b0-730a-11e4-99be-fb3662a4a6dd</t>
  </si>
  <si>
    <t>http://www.thecollegefix.com/post/20172/</t>
  </si>
  <si>
    <t>www.thecollegefix.com</t>
  </si>
  <si>
    <t>Hackers: Sony Very Wise to Pull Film</t>
  </si>
  <si>
    <t>7be30bd0-879d-11e4-a13d-d9bce527941d</t>
  </si>
  <si>
    <t>http://www.thedailybeast.com/cheats/2014/12/19/hackers-to-sony-you-re-very-wise.html</t>
  </si>
  <si>
    <t>www.thedailybeast.com</t>
  </si>
  <si>
    <t>ISIS Video: America's Air Dropped Weapons Now in Our Hands</t>
  </si>
  <si>
    <t>b0c2a500-5966-11e4-aaf5-a1ddcfbcd5a9</t>
  </si>
  <si>
    <t>http://www.thedailybeast.com/articles/2014/10/21/isis-video-america-s-air-dropped-weapons-now-in-our-hands.html</t>
  </si>
  <si>
    <t>Pentagon: ISIS Got U.S. Weapons Package</t>
  </si>
  <si>
    <t>35672b10-6609-11e4-8b87-d71b609d189b</t>
  </si>
  <si>
    <t>http://www.thedailybeast.com/cheats/2014/10/22/pentagon-isis-got-u-s-weapons-package.html</t>
  </si>
  <si>
    <t>Pentagon Denies It Killed ISIS Chief As Airstrikes Hit Top Extremists</t>
  </si>
  <si>
    <t>356f12d0-36c0-11e4-ae63-d5574342724c</t>
  </si>
  <si>
    <t>http://www.thedailybeast.com/articles/2014/09/04/pentagon-denies-it-killed-isis-chief-as-airstrikes-hit-top-extremists.html</t>
  </si>
  <si>
    <t>ISIS Beheads American Journalist</t>
  </si>
  <si>
    <t>a8bacaa0-27e7-11e4-96be-dfc0d1eebaea</t>
  </si>
  <si>
    <t>http://www.thedailybeast.com/cheats/2014/08/19/isis-beheads-american-journalist.html</t>
  </si>
  <si>
    <t>Kim Jong-un So Fat He Injured His Ankles</t>
  </si>
  <si>
    <t>122f1230-497a-11e4-9960-a165dd517bbb</t>
  </si>
  <si>
    <t>http://www.thedailybeast.com/cheats/2014/10/01/kim-jong-un-so-fat-he-injured-his-ankle.html</t>
  </si>
  <si>
    <t>Macklemore Gets Twitter-Trolled with the MacklemoreJoinedISIS</t>
  </si>
  <si>
    <t>bd070540-b9c4-11e4-b073-ed15c88bfa1e</t>
  </si>
  <si>
    <t>http://www.thedailybeast.com/articles/2015/02/19/macklemore-gets-twitter-trolled-with-the-macklemorejoinedisis0.html</t>
  </si>
  <si>
    <t>Marine Gets Shot in the Head, Walks Away</t>
  </si>
  <si>
    <t>e094c550-5548-11e4-b6a0-9705a8f94440</t>
  </si>
  <si>
    <t>http://www.thedailybeast.com/articles/2014/10/16/marine-gets-shot-in-the-head-walks-away.html</t>
  </si>
  <si>
    <t>Afghan Soldiers Found at Canadian Border</t>
  </si>
  <si>
    <t>35c33f00-4281-11e4-9e78-ff09d5b0049d</t>
  </si>
  <si>
    <t>http://www.thedailybeast.com/cheats/2014/09/21/afghan-army-officers-go-missing-in-u-s.html</t>
  </si>
  <si>
    <t>Joan Rivers Doctor Denies Selfie</t>
  </si>
  <si>
    <t>bfa52590-3ffb-11e4-bc0b-3f922b93930d</t>
  </si>
  <si>
    <t>http://www.thedailybeast.com/cheats/2014/09/18/joan-rivers-doctor-denies-selfie.html</t>
  </si>
  <si>
    <t>Seth Rogen to Play Apple's Steve Wozniak</t>
  </si>
  <si>
    <t>8732c460-611b-11e4-b6e9-e5f029e25965</t>
  </si>
  <si>
    <t>http://www.thedailybeast.com/cheats/2014/10/30/seth-rogen-to-play-apple-s-steve-wozniak.html</t>
  </si>
  <si>
    <t>ISIS Beheads Second American Journalist</t>
  </si>
  <si>
    <t>d98da690-32c6-11e4-8453-710264d9a1f8</t>
  </si>
  <si>
    <t>http://www.thedailybeast.com/cheats/2014/09/02/isis-beheads-second-american-journalist.html</t>
  </si>
  <si>
    <t>d2236d10-6b45-11e4-b528-9d5aa2d2e8e7</t>
  </si>
  <si>
    <t>http://www.thedailybeast.com/articles/2011/11/19/saudi-arabia-s-religious-police-outlaw-tempting-eyes.html</t>
  </si>
  <si>
    <t>Isis just one mile from Baghdad as al-Qaeda joins militants fight against West</t>
  </si>
  <si>
    <t>37820e20-47f4-11e4-9960-a165dd517bbb</t>
  </si>
  <si>
    <t>http://www.thedailystar.net/isis-just-one-mile-from-baghdad-as-al-qaeda-joins-militants-fight-against-west-43887</t>
  </si>
  <si>
    <t>www.thedailystar.net</t>
  </si>
  <si>
    <t>US Marine survives headshot from Taliban video</t>
  </si>
  <si>
    <t>c8659db0-5543-11e4-b6a0-9705a8f94440</t>
  </si>
  <si>
    <t>http://www.thedailystar.net/us-marine-survives-headshot-from-taliban-video-45970</t>
  </si>
  <si>
    <t>ISIS fighters have contracted Ebola</t>
  </si>
  <si>
    <t>8ea00960-937f-11e4-b6bf-fdc8b7e3bcff</t>
  </si>
  <si>
    <t>http://www.thedailystar.net/isis-fighters-have-contracted-ebola-58316</t>
  </si>
  <si>
    <t>Strange mark turns out to be tropical spider burrowing under vacationer's skin</t>
  </si>
  <si>
    <t>4e2a1c00-565c-11e4-aaf5-a1ddcfbcd5a9</t>
  </si>
  <si>
    <t>http://www.thedenverchannel.com/news/trending/strange-mark-turns-out-to-be-tropical-spider-burrowing-under-vacationers-skin10162014</t>
  </si>
  <si>
    <t>www.thedenverchannel.com</t>
  </si>
  <si>
    <t>KIM JONG-UN NECKS SNAKE WINE FOR VIRILITY</t>
  </si>
  <si>
    <t>358765d0-74c6-11e4-99be-fb3662a4a6dd</t>
  </si>
  <si>
    <t>http://www.thedrinksbusiness.com/2014/11/kim-jong-un-necks-snake-wine-for-virility/</t>
  </si>
  <si>
    <t>www.thedrinksbusiness.com</t>
  </si>
  <si>
    <t>L. Jinny? Abdel-Majed Abdel Bary, UK Rapper, Suspected in James Foley Killing: Reports</t>
  </si>
  <si>
    <t>679964a0-2bf7-11e4-89c5-1d389b94bc4b</t>
  </si>
  <si>
    <t>http://www.theepochtimes.com/n3/904287-l-jinny-abdel-majed-abdel-bary-rapper-suspected-in-james-foley-killing-report-says/</t>
  </si>
  <si>
    <t>www.theepochtimes.com</t>
  </si>
  <si>
    <t>Vladimir Putin Bird Poop Video is Fake</t>
  </si>
  <si>
    <t>8d0796a0-1c00-11e4-8c09-cd48fe37674e</t>
  </si>
  <si>
    <t>http://www.theepochtimes.com/n3/842177-vladimir-putin-bird-poop-video-is-fake/</t>
  </si>
  <si>
    <t>Purdon Ebola Hoax: Texas Town Quarantined After Family Of Five Test Positive For The Ebola Virus Report Totally Fake</t>
  </si>
  <si>
    <t>4eec0a70-5401-11e4-b6a0-9705a8f94440</t>
  </si>
  <si>
    <t>http://www.theepochtimes.com/n3/1018803-purdon-ebola-hoax-texas-town-quarantined-after-family-of-five-test-positive-for-the-ebola-virus-is-fake/</t>
  </si>
  <si>
    <t>Mohammed Islam Denies Making 72 Million From Stock Market Trading</t>
  </si>
  <si>
    <t>a8212b40-84c4-11e4-b1b5-4f1bd36cbfc6</t>
  </si>
  <si>
    <t>http://www.theepochtimes.com/n3/1144451-mohammed-islam-denies-making-72-million-from-stock-market-trading/</t>
  </si>
  <si>
    <t>James Foley: American Journalist James Wright Foley Beheaded in New ISIS Terrorist Video Breaking News</t>
  </si>
  <si>
    <t>a7c95b30-27e6-11e4-96be-dfc0d1eebaea</t>
  </si>
  <si>
    <t>http://www.theepochtimes.com/n3/892109-james-wright-foley-american-journalist-beheaded-in-new-isis-video-titled-message-to-america-breaking-news/</t>
  </si>
  <si>
    <t>Kevin Vickers, Sergeant-At-Arms, Shoots a Shooting Suspect in Ottawa Called a Hero Pictures</t>
  </si>
  <si>
    <t>4e46c3e0-5a0e-11e4-aaf5-a1ddcfbcd5a9</t>
  </si>
  <si>
    <t>http://www.theepochtimes.com/n3/1034708-kevin-vickers-sergeant-at-arms-shoots-a-shooting-suspect-in-ottawa/</t>
  </si>
  <si>
    <t>McDonald's to Stop Serving Overweight Customers in January? Nope, 1152015 Story is Fake</t>
  </si>
  <si>
    <t>2453f450-8776-11e4-b1b5-4f1bd36cbfc6</t>
  </si>
  <si>
    <t>http://www.theepochtimes.com/n3/1136708-mcdonalds-to-stop-serving-overweight-customers-in-january-nope-1152015-story-is-fake/</t>
  </si>
  <si>
    <t>McDonald's Big Mac Hoax: Removing Apple Pies And Eliminating Large Size Options Report isn't Real</t>
  </si>
  <si>
    <t>1b414b50-89d9-11e4-adc5-33f8455b16a2</t>
  </si>
  <si>
    <t>http://www.theepochtimes.com/n3/1156207-mcdonalds-removing-big-mac-nope-apple-pies-and-eliminating-large-size-options-article-is-fake/</t>
  </si>
  <si>
    <t>Planetary Alignment Decrease Gravity Hoax on Jan 4, 2015: Will Decrease Gravity For 5 Minutes Causing Partial Weightlessness in January is Totally Bogus</t>
  </si>
  <si>
    <t>4dc7ee70-8ee9-11e4-9799-c7e75be2bcad</t>
  </si>
  <si>
    <t>http://www.theepochtimes.com/n3/1156832-planetary-alignment-decrease-gravity-hoax-jan-4-2015-will-decrease-gravity-for-5-minutes-causing-partial-weightlessness-is-fake/</t>
  </si>
  <si>
    <t>6 Days Darkness in December 2014 100 Fake NASA Confirmed 3 Days Total Darkness Hoax as Well</t>
  </si>
  <si>
    <t>9cf905e0-5efd-11e4-a887-2324afc3f9a8</t>
  </si>
  <si>
    <t>http://www.theepochtimes.com/n3/1041573-6-days-of-total-darkness-in-december-2014-is-fake-nasa-confirmed-3-days-of-darkness-also-a-hoax/</t>
  </si>
  <si>
    <t>Sons of Anarchy Movie Hoax: Kurt Sutter Announces Charlie Hunnam, Brad Pitt Film Article is Totally Fake</t>
  </si>
  <si>
    <t>02fbcce0-8b92-11e4-9799-c7e75be2bcad</t>
  </si>
  <si>
    <t>http://www.theepochtimes.com/n3/1160809-sons-of-anarchy-movie-no-kurt-sutter-announces-charlie-hunnam-brad-pitt-film-is-fake/</t>
  </si>
  <si>
    <t>A jurisdiction of Texas is now under Sharia law</t>
  </si>
  <si>
    <t>Is There Really a Sharia Law Islamic Tribunal in Dallas, Texas?</t>
  </si>
  <si>
    <t>ddc5eb20-a7cc-11e4-aa4f-ff16e52e0d56</t>
  </si>
  <si>
    <t>a66e7780-a7c9-11e4-aa4f-ff16e52e0d56</t>
  </si>
  <si>
    <t>http://www.theepochtimes.com/n3/1227903-is-there-really-sharia-law-in-dallas-texas/</t>
  </si>
  <si>
    <t>Axl Rose Dies? Guns N Roses Singer Dead West Hollywood Home at Age 52 is Fake</t>
  </si>
  <si>
    <t>1f227b80-7b93-11e4-b794-93ed794d7b91</t>
  </si>
  <si>
    <t>http://www.theepochtimes.com/n3/1119998-axl-rose-dies-guns-n-roses-singer-dead-west-hollywood-home-at-age-52-is-fake/</t>
  </si>
  <si>
    <t>Kim Yo Jong, Kim Jong-Un's Sister, Takes Control of North Korea While Brother Gets Treatment?</t>
  </si>
  <si>
    <t>240332d0-4dbb-11e4-949b-f14041b20838</t>
  </si>
  <si>
    <t>http://www.theepochtimes.com/n3/997735-has-kim-yo-jong-kim-jong-uns-sister-taken-control-in-north-korea-rumors-amid-possible-coup-attempt-and-lockdown/</t>
  </si>
  <si>
    <t>Michael Zehaf-Bibeau ID'd as Canadian Shooting Suspect in Ottawa Also Known as Michael Joseph Hall</t>
  </si>
  <si>
    <t>9b725d80-5a29-11e4-aaf5-a1ddcfbcd5a9</t>
  </si>
  <si>
    <t>http://www.theepochtimes.com/n3/1035449-michael-zehaf-bibeau-idd-as-canadian-shooting-suspect-in-ottawa/</t>
  </si>
  <si>
    <t>Michael Abdul Zehaf Bibeau Pictures: Photos of Alleged ISIS-Linked Gunman in Canada</t>
  </si>
  <si>
    <t>6d7c5480-5a47-11e4-aaf5-a1ddcfbcd5a9</t>
  </si>
  <si>
    <t>http://www.theepochtimes.com/n3/1035592-michael-zehaf-bibeau-pictures-photos-of-alleged-isis-linked-gunman-in-canada/</t>
  </si>
  <si>
    <t>Raven-Symone Files Molestation Charges Against Bill Cosby Report is Totally Fake Media Fooled</t>
  </si>
  <si>
    <t>8cb91c10-7000-11e4-8e10-b9c720c188ba</t>
  </si>
  <si>
    <t>http://www.theepochtimes.com/n3/1089423-raven-symone-files-molestation-charges-against-bill-cosby-is-fake/</t>
  </si>
  <si>
    <t>Hilarious: North Dakota Pays Special Tribute to President Obama</t>
  </si>
  <si>
    <t>a17bf7d0-73f7-11e4-99be-fb3662a4a6dd</t>
  </si>
  <si>
    <t>http://www.thefederalistpapers.org/us/hilarious-north-dakota-pays-special-tribute-to-president-obama</t>
  </si>
  <si>
    <t>www.thefederalistpapers.org</t>
  </si>
  <si>
    <t>KANE'S FUTURE IN WINNIPEG IN DOUBT?</t>
  </si>
  <si>
    <t>3ea2f5f0-ad9f-11e4-9a23-0b6010caa867</t>
  </si>
  <si>
    <t>http://www.thefourthperiod.com/news/wpg150204.html</t>
  </si>
  <si>
    <t>www.thefourthperiod.com</t>
  </si>
  <si>
    <t>Gateway Pundit</t>
  </si>
  <si>
    <t>5760e950-2bed-11e4-89c5-1d389b94bc4b</t>
  </si>
  <si>
    <t>http://www.thegatewaypundit.com/2014/08/british-rapper-abde-majed-abdel-bary-idd-as-isis-killer-of-james-foley/</t>
  </si>
  <si>
    <t>www.thegatewaypundit.com</t>
  </si>
  <si>
    <t>US Lawmaker: Ten ISIS Fighters Have Been Apprehended Coming Across Southern Border Video</t>
  </si>
  <si>
    <t>c62853f0-4fc9-11e4-b6a0-9705a8f94440</t>
  </si>
  <si>
    <t>http://www.thegatewaypundit.com/2014/10/breaking-us-rep-hunter-says-ten-isis-fighters-have-crossed-into-america-via-mexican-border-video/</t>
  </si>
  <si>
    <t>AWESOME Canadian Parliament's Sergeant-at-Arms Kevin Vickers Takes Out Gunman</t>
  </si>
  <si>
    <t>e5925080-5a12-11e4-aaf5-a1ddcfbcd5a9</t>
  </si>
  <si>
    <t>http://www.thegatewaypundit.com/2014/10/awesome-canadian-parliaments-sergeant-at-arms-kevin-vicker-takes-out-gunman/</t>
  </si>
  <si>
    <t>Nigerian Woman Quarantined in KC with Ebola-Like Symptoms Video</t>
  </si>
  <si>
    <t>7bebfe10-4e19-11e4-949b-f14041b20838</t>
  </si>
  <si>
    <t>http://www.thegatewaypundit.com/2014/10/report-nigerian-woman-in-kansas-city-quarantined-with-ebola-like-symptoms/</t>
  </si>
  <si>
    <t>BREAKING: ISIS USES CHEMICAL WEAPONS Murders 300 Iraqi Soldiers in Chlorine Gas Attack</t>
  </si>
  <si>
    <t>ff0119d0-42ba-11e4-9e78-ff09d5b0049d</t>
  </si>
  <si>
    <t>http://www.thegatewaypundit.com/2014/09/breaking-isis-murders-300-iraqi-soldiers-in-chlorine-gas-attack/</t>
  </si>
  <si>
    <t>SHOCK CLAIM: PGA Golfer Says Tiger Woods Is Suspended For Failed Drug Test</t>
  </si>
  <si>
    <t>fc5d67c0-c103-11e4-8747-5b024dd6dd6c</t>
  </si>
  <si>
    <t>http://www.thegatewaypundit.com/2015/03/pga-golfer-claims-tiger-woods-is-suspended-for-failed-drug-test/</t>
  </si>
  <si>
    <t>Islamic State leader's family detained by Lebanon, officials say</t>
  </si>
  <si>
    <t>4dba8af0-7af3-11e4-b794-93ed794d7b91</t>
  </si>
  <si>
    <t>http://www.theglobeandmail.com/news/world/lebanese-army-detains-wife-and-son-of-islamic-state-leader-officials-say/article21865493/</t>
  </si>
  <si>
    <t>www.theglobeandmail.com</t>
  </si>
  <si>
    <t>Woman detained in Lebanon is not al-Baghdadi's wife, Iraq says</t>
  </si>
  <si>
    <t>43192340-7af3-11e4-b794-93ed794d7b91</t>
  </si>
  <si>
    <t>http://www.theglobeandmail.com/news/world/woman-detained-in-lebanon-is-not-baghdadi-wife-iraq-says/article21901632/</t>
  </si>
  <si>
    <t>Ottawa investigating reports that IS has captured a Canadian-Israeli woman</t>
  </si>
  <si>
    <t>d2c97a20-78c4-11e4-b794-93ed794d7b91</t>
  </si>
  <si>
    <t>http://www.theglobeandmail.com/news/world/islamist-websites-claim-israeli-canadian-woman-kidnapped-by-is-report/article21838862/</t>
  </si>
  <si>
    <t>Islamic State training fighter pilots in captured jets, monitoring group says</t>
  </si>
  <si>
    <t>e0deab40-5627-11e4-aaf5-a1ddcfbcd5a9</t>
  </si>
  <si>
    <t>http://www.theglobeandmail.com/news/world/islamic-state-training-pilots-in-three-captured-jets-monitoring-group-says/article21141852/</t>
  </si>
  <si>
    <t>ISIL video claims beheading of kidnapped journalist James Foley</t>
  </si>
  <si>
    <t>3e53b3e0-285d-11e4-a916-bf0b27b73ad5</t>
  </si>
  <si>
    <t>http://www.theglobeandmail.com/news/world/us-working-to-confirm-authenticity-of-beheading-video/article20127993/</t>
  </si>
  <si>
    <t>Media reports identify Londoner as Islamic State's Jihadi John</t>
  </si>
  <si>
    <t>fd93e040-bdb3-11e4-b073-ed15c88bfa1e</t>
  </si>
  <si>
    <t>http://www.theglobeandmail.com/news/world/media-reports-name-of-jihadi-john-suspect-in-islamic-state-beheading-videos/article23210002/</t>
  </si>
  <si>
    <t>Four theories on what may be ailing Kim Jong-un</t>
  </si>
  <si>
    <t>b75e1980-497b-11e4-9960-a165dd517bbb</t>
  </si>
  <si>
    <t>http://www.theglobeandmail.com/news/world/broken-ankles-behind-kim-jong-uns-absence-report/article20874045/</t>
  </si>
  <si>
    <t>Mexican investigators fear mass grave might hold 43 missing students</t>
  </si>
  <si>
    <t>188109f0-4cbc-11e4-949b-f14041b20838</t>
  </si>
  <si>
    <t>http://www.theglobeandmail.com/news/world/mexican-investigators-fear-mass-grave-might-hold-43-missing-students/article20937256/</t>
  </si>
  <si>
    <t>Some dogs go to heaven? Pope's remark to boy opens can of worms on animal rights</t>
  </si>
  <si>
    <t>930fe9c0-8330-11e4-b1b5-4f1bd36cbfc6</t>
  </si>
  <si>
    <t>http://www.theglobeandmail.com/life/spirituality-and-religion/some-dogs-go-to-heaven-popes-remark-to-boy-opens-can-of-worms-on-animal-rights/article22060527/?service=mobile</t>
  </si>
  <si>
    <t>Attack on Ottawa: Dead soldier and gunman identified</t>
  </si>
  <si>
    <t>7b996750-59f8-11e4-aaf5-a1ddcfbcd5a9</t>
  </si>
  <si>
    <t>http://www.theglobeandmail.com/news/politics/breaking-news-oct-22/article21217602/#dashboard/follows/</t>
  </si>
  <si>
    <t>Insurgents killed in Nigeria despite alleged truce with Boko Haram</t>
  </si>
  <si>
    <t>7ccfaa60-5969-11e4-aaf5-a1ddcfbcd5a9</t>
  </si>
  <si>
    <t>http://www.theglobeandmail.com/news/world/insurgents-killed-in-nigeria-despite-alleged-truce-with-boko-haram/article21164233/</t>
  </si>
  <si>
    <t>Boko Haram agrees to release schoolgirls, Nigeria says</t>
  </si>
  <si>
    <t>e8214f30-5635-11e4-aaf5-a1ddcfbcd5a9</t>
  </si>
  <si>
    <t>http://www.theglobeandmail.com/news/world/nigeria-reaches-deal-with-boko-haram-for-girls-release-presidency-says/article21143310/</t>
  </si>
  <si>
    <t>It's Okay To Laugh About The Fact That The Vogue Rat Infestation is Getting Worse</t>
  </si>
  <si>
    <t>36137950-75af-11e4-99be-fb3662a4a6dd</t>
  </si>
  <si>
    <t>http://www.thegloss.com/2014/11/26/fashion/anna-wintour-vogue-rat-infestation/</t>
  </si>
  <si>
    <t>www.thegloss.com</t>
  </si>
  <si>
    <t>Wife and child of Islamic State leader Baghdadi held in Lebanon</t>
  </si>
  <si>
    <t>916fae80-7af1-11e4-b794-93ed794d7b91</t>
  </si>
  <si>
    <t>http://www.theguardian.com/world/2014/dec/02/al-baghdadi-wife-son-arrest-lebanon-fake-passport</t>
  </si>
  <si>
    <t>www.theguardian.com</t>
  </si>
  <si>
    <t>British teenage jihadi believed to have been killed in Syria</t>
  </si>
  <si>
    <t>d52b67d0-4433-11e4-94c0-515d9d816ec6</t>
  </si>
  <si>
    <t>http://www.theguardian.com/world/2014/sep/24/british-teenage-jihadi-believed-killed-syria-ibrahim-kamara</t>
  </si>
  <si>
    <t>No, Argentina's president did not adopt a Jewish child to stop him turning into a werewolf</t>
  </si>
  <si>
    <t>4bd98350-8f96-11e4-9799-c7e75be2bcad</t>
  </si>
  <si>
    <t>http://www.theguardian.com/world/2014/dec/29/argentina-kirchner-adopt-child-werewolf</t>
  </si>
  <si>
    <t>Sugarhill Gang rapper Big Bank Hank dies aged 57</t>
  </si>
  <si>
    <t>fe17afa0-6b48-11e4-b528-9d5aa2d2e8e7</t>
  </si>
  <si>
    <t>http://www.theguardian.com/music/2014/nov/12/sugarhill-gang-rapper-big-bank-hank-dies-aged-57</t>
  </si>
  <si>
    <t>Dog found abandoned at Scottish train station with suitcase of belongings</t>
  </si>
  <si>
    <t>23423190-969d-11e4-87a8-1d5d45e62193</t>
  </si>
  <si>
    <t>http://www.theguardian.com/world/2015/jan/06/dog-scotland-railway-station-suitcase-spca</t>
  </si>
  <si>
    <t>Ottawa investigates reports that Isis has captured Canadian-Israeli woman</t>
  </si>
  <si>
    <t>68d5ab50-78fd-11e4-b794-93ed794d7b91</t>
  </si>
  <si>
    <t>http://www.theguardian.com/world/2014/nov/30/isis-captured-canadian-israeli-woman-gill-rosenberg</t>
  </si>
  <si>
    <t>Al-Shabaab leader Ahmed Abdi Godane killed by US air strike in Somalia</t>
  </si>
  <si>
    <t>14b123e0-351b-11e4-a3fd-07e9a9d397df</t>
  </si>
  <si>
    <t>http://www.theguardian.com/world/2014/sep/05/al-shabaab-leader-godane-killed-us-airstrike-somalia</t>
  </si>
  <si>
    <t>Sorry - this page has been removed.</t>
  </si>
  <si>
    <t>6d814bb0-4d50-11e4-949b-f14041b20838</t>
  </si>
  <si>
    <t>http://www.theguardian.com/business/2014/oct/06/hewlett-packard-split-into-two</t>
  </si>
  <si>
    <t>Isis apparently takes control of US weapons airdrop intended for Kurds</t>
  </si>
  <si>
    <t>7dbf6480-5a0c-11e4-aaf5-a1ddcfbcd5a9</t>
  </si>
  <si>
    <t>http://www.theguardian.com/world/2014/oct/22/isis-us-airdrop-weapons-pentagon</t>
  </si>
  <si>
    <t>Kurds fear Isis use of chemical weapon in Kobani</t>
  </si>
  <si>
    <t>d8458640-5c33-11e4-a887-2324afc3f9a8</t>
  </si>
  <si>
    <t>http://www.theguardian.com/world/2014/oct/24/kurds-fear-isis-chemical-weapon-kobani</t>
  </si>
  <si>
    <t>Isis supporters claim US hostage killed in Jordanian air strike in Syria</t>
  </si>
  <si>
    <t>f19b38f0-ae3c-11e4-9a23-0b6010caa867</t>
  </si>
  <si>
    <t>http://www.theguardian.com/world/2015/feb/06/us-hostage-isis-coalition-air-strike-killed-syria</t>
  </si>
  <si>
    <t>Isis video claims to show beheading of British hostage David Haines</t>
  </si>
  <si>
    <t>d7d610e0-3c9d-11e4-bc0b-3f922b93930d</t>
  </si>
  <si>
    <t>http://www.theguardian.com/world/2014/sep/13/isis-video-david-haines-beheading</t>
  </si>
  <si>
    <t>Islamic State training pilots to fly MiG fighter planes, says monitoring group</t>
  </si>
  <si>
    <t>d891bae0-5627-11e4-aaf5-a1ddcfbcd5a9</t>
  </si>
  <si>
    <t>http://www.theguardian.com/world/2014/oct/17/islamic-state-training-pilots-mig-planes-syria</t>
  </si>
  <si>
    <t>Islamic State militants claim to have killed US journalist James Foley</t>
  </si>
  <si>
    <t>a9dbcc30-2801-11e4-a916-bf0b27b73ad5</t>
  </si>
  <si>
    <t>http://www.theguardian.com/world/2014/aug/19/james-wright-foley-beheaded-isis-video</t>
  </si>
  <si>
    <t>Obama: murder of James Foley shocks the conscience of the entire world</t>
  </si>
  <si>
    <t>f31ecb70-2894-11e4-a916-bf0b27b73ad5</t>
  </si>
  <si>
    <t>http://www.theguardian.com/world/2014/aug/20/james-foley-isis-video-authenticated-us-government</t>
  </si>
  <si>
    <t>South Korean woman's hair eaten by robot vacuum cleaner as she slept</t>
  </si>
  <si>
    <t>75f09990-b097-11e4-9a23-0b6010caa867</t>
  </si>
  <si>
    <t>http://www.theguardian.com/world/2015/feb/09/south-korean-womans-hair-eaten-by-robot-vacuum-cleaner-as-she-slept</t>
  </si>
  <si>
    <t>It's rubbish that Robert Plant turned down 500m Led Zeppelin reformation offer, says publicist</t>
  </si>
  <si>
    <t>b3fe9970-68f9-11e4-b528-9d5aa2d2e8e7</t>
  </si>
  <si>
    <t>http://www.theguardian.com/music/2014/nov/10/robert-plant-turned-down-500m-led-zeppelin-reformation</t>
  </si>
  <si>
    <t>Mexican students not among bodies found in mass graves</t>
  </si>
  <si>
    <t>aa263510-54d7-11e4-b6a0-9705a8f94440</t>
  </si>
  <si>
    <t>http://www.theguardian.com/world/2014/oct/15/mexican-students-not-found-mass-graves</t>
  </si>
  <si>
    <t>Meteorite caused mysterious boom in Nicaragua</t>
  </si>
  <si>
    <t>a5fd7810-383d-11e4-ae63-d5574342724c</t>
  </si>
  <si>
    <t>http://www.theguardian.com/science/2014/sep/08/meteorite-caused-mystery-boom-nicaragua</t>
  </si>
  <si>
    <t>Meteorite strike in Nicaragua puzzles experts</t>
  </si>
  <si>
    <t>031e1b30-383e-11e4-ae63-d5574342724c</t>
  </si>
  <si>
    <t>http://www.theguardian.com/science/2014/sep/08/meteorite-strike-nicaragua-puzzles-experts</t>
  </si>
  <si>
    <t>Nasa questions whether crater in Nicaragua caused by meteorite</t>
  </si>
  <si>
    <t>b83ca460-383d-11e4-ae63-d5574342724c</t>
  </si>
  <si>
    <t>http://www.theguardian.com/science/2014/sep/09/nasa-questions-crater-nicaragua-caused-meteorite</t>
  </si>
  <si>
    <t>Three Afghan soldiers found at Canada border after leaving Cape Cod base</t>
  </si>
  <si>
    <t>cdd94030-4288-11e4-9e78-ff09d5b0049d</t>
  </si>
  <si>
    <t>http://www.theguardian.com/world/2014/sep/22/afghan-soldiers-cape-code-missing-search-massachusetts</t>
  </si>
  <si>
    <t>Saudi cleric issues fatwa on snowmen</t>
  </si>
  <si>
    <t>b1d36d40-9a97-11e4-bf59-1bb8b99952ce</t>
  </si>
  <si>
    <t>http://www.theguardian.com/world/2015/jan/12/saudi-arabia-snowmen-winter-fatwa</t>
  </si>
  <si>
    <t>Seth Rogen set to play Steve Wozniak in Danny Boyle's Steve Jobs biopic</t>
  </si>
  <si>
    <t>6689b280-6122-11e4-b6e9-e5f029e25965</t>
  </si>
  <si>
    <t>http://www.theguardian.com/film/2014/oct/31/seth-rogen-set-to-play-steve-wozniak-in-danny-boyles-steve-jobs-biopic</t>
  </si>
  <si>
    <t>Tropical spider burrowed under man's skin through scar - video report</t>
  </si>
  <si>
    <t>5f191710-565b-11e4-aaf5-a1ddcfbcd5a9</t>
  </si>
  <si>
    <t>http://www.theguardian.com/environment/video/2014/oct/16/tropical-spider-burrows-mans-skin-bali-video</t>
  </si>
  <si>
    <t>One of Taliban Five in Bowe Bergdahl swap allegedly returned to militancy</t>
  </si>
  <si>
    <t>d5004a70-a89f-11e4-a133-7514623ae047</t>
  </si>
  <si>
    <t>http://www.theguardian.com/world/2015/jan/30/taliban-five-bowe-bergdahl-swap-return-militancy?utm_source=twitterfeed&amp;utm_medium=twitter</t>
  </si>
  <si>
    <t>Texas plumber's truck spotted in Syria: We have nothing to do with terror at all</t>
  </si>
  <si>
    <t>3a4f96f0-8777-11e4-b1b5-4f1bd36cbfc6</t>
  </si>
  <si>
    <t>http://www.theguardian.com/us-news/2014/dec/18/texas-plumber-mark-1-plumbing-syria-jihadist</t>
  </si>
  <si>
    <t>North Korea directive reveals apparent ban on sharing Kim Jong-un's name</t>
  </si>
  <si>
    <t>458cf740-7b94-11e4-b794-93ed794d7b91</t>
  </si>
  <si>
    <t>http://www.theguardian.com/world/2014/dec/03/kim-jong-un-north-korea-name-ban</t>
  </si>
  <si>
    <t>Fate of Isis leader remains unclear after US airstrike in Iraq</t>
  </si>
  <si>
    <t>4d31e8f0-68ea-11e4-b528-9d5aa2d2e8e7</t>
  </si>
  <si>
    <t>http://www.theguardian.com/world/2014/nov/09/isis-leader-baghdadi-fate-unclear-air-strike</t>
  </si>
  <si>
    <t>Christian Bale set to play Steve Jobs in forthcoming biopic of Apple co-founder</t>
  </si>
  <si>
    <t>54d88aa0-54c7-11e4-b6a0-9705a8f94440</t>
  </si>
  <si>
    <t>http://www.theguardian.com/film/2014/oct/15/christian-bale-steve-jobs-biopic</t>
  </si>
  <si>
    <t>IBM denies plans to cut 26 of workforce</t>
  </si>
  <si>
    <t>ad374b00-a57b-11e4-aa4f-ff16e52e0d56</t>
  </si>
  <si>
    <t>http://www.theguardian.com/technology/2015/jan/26/ibm-technology-giant-110000-jobs-cut-claims</t>
  </si>
  <si>
    <t>Is Kim Jong-un's sister now the power behind the North Korean throne?</t>
  </si>
  <si>
    <t>a4bd3cd0-50dc-11e4-b6a0-9705a8f94440</t>
  </si>
  <si>
    <t>http://www.theguardian.com/world/2014/oct/10/is-kim-jong-uns-sister-now-the-power-behind-the-north-korean-throne</t>
  </si>
  <si>
    <t>Indian worker sacked after going on leave for 24 years</t>
  </si>
  <si>
    <t>87d48240-98f8-11e4-bf59-1bb8b99952ce</t>
  </si>
  <si>
    <t>http://www.theguardian.com/world/2015/jan/09/indian-worker-sacked-after-going-on-leave-for-24-years?CMP=fb_gu</t>
  </si>
  <si>
    <t>Boko Haram denies it has agreed ceasefire</t>
  </si>
  <si>
    <t>51f28000-6220-11e4-b3d8-a32d8ec8ad5e</t>
  </si>
  <si>
    <t>http://www.theguardian.com/world/2014/nov/01/boko-haram-nigerian-government-abubakar-shekau-islamist-abducted-schoolgirls</t>
  </si>
  <si>
    <t>Nigeria: hopes for return of kidnapped schoolgirls rise after ceasefire reported</t>
  </si>
  <si>
    <t>4d3ddc80-5636-11e4-aaf5-a1ddcfbcd5a9</t>
  </si>
  <si>
    <t>http://www.theguardian.com/world/2014/oct/17/nigeria-hope-kidnapped-schoolgirls-rise-ceasefire-reported-boko-haram</t>
  </si>
  <si>
    <t>Absent from duty for 25 years, CPWD official dismissed</t>
  </si>
  <si>
    <t>9412ff80-98f5-11e4-bf59-1bb8b99952ce</t>
  </si>
  <si>
    <t>http://www.thehindu.com/news/national/absent-from-duty-for-25-years-cpwd-official-dismissed/article6768549.ece</t>
  </si>
  <si>
    <t>www.thehindu.com</t>
  </si>
  <si>
    <t>Macaulay Culkin Dead? Hoax Goes Viral, Claims Actor Found Dead in Apartment</t>
  </si>
  <si>
    <t>4a0165d0-67b3-11e4-b528-9d5aa2d2e8e7</t>
  </si>
  <si>
    <t>http://www.thehollywoodgossip.com/2014/11/macaulay-culkin-dead-likely-hoax-claims-actor-found-dead-in-apar/</t>
  </si>
  <si>
    <t>www.thehollywoodgossip.com</t>
  </si>
  <si>
    <t>Taylor Lianne Chandler: Michael Phelps Cougar Girlfriend Revealed?</t>
  </si>
  <si>
    <t>0d387820-70df-11e4-8e10-b9c720c188ba</t>
  </si>
  <si>
    <t>http://www.thehollywoodgossip.com/2014/10/taylor-lianne-chandler-michael-phelps-cougar-girlfriend-revealed/?utm_source=skimlinks.com&amp;utm_medium=referral&amp;utm_campaign=skimlinks.com</t>
  </si>
  <si>
    <t>LOL: RICH JOHNSTON SAYS THE BATMOBILE HAS BEEN STOLEN IN DETROIT</t>
  </si>
  <si>
    <t>66266d80-3aba-11e4-bc0b-3f922b93930d</t>
  </si>
  <si>
    <t>http://www.theouthousers.com/index.php/news/128970-lol-rich-johnston-says-the-batmobile-has-been-stolen-in-detroit.html</t>
  </si>
  <si>
    <t>www.theouthousers.com</t>
  </si>
  <si>
    <t>BATMOBILE NOT STOLEN, MTV CONTEST PRIZE REMAINS UNCLAIMED</t>
  </si>
  <si>
    <t>6d937d80-3c20-11e4-bc0b-3f922b93930d</t>
  </si>
  <si>
    <t>http://www.theouthousers.com/index.php/news/128980-batmobile-not-stolen-mtv-contest-prize-remains-unclaimed.html?utm_source=feedburner&amp;utm_medium=feed&amp;utm_campaign=Feed%3A+TheOuthouseGreatestComicBookFeed+(The+Outhouse+Greatest+Comic+Book+Feed)</t>
  </si>
  <si>
    <t>Gallagher: Bettman has changed his tune on NHL expansion</t>
  </si>
  <si>
    <t>61121780-2e04-11e4-89c5-1d389b94bc4b</t>
  </si>
  <si>
    <t>http://www.theprovince.com/sports/Tony+Gallagher+Bettman+changed+tune+expansion/10150984/story.html</t>
  </si>
  <si>
    <t>www.theprovince.com</t>
  </si>
  <si>
    <t>Robot vacuum cleaner EATS WOMAN</t>
  </si>
  <si>
    <t>ac3bd4b0-b097-11e4-9a23-0b6010caa867</t>
  </si>
  <si>
    <t>http://www.theregister.co.uk/2015/02/09/robot_vacuum_cleaner_eats_woman/</t>
  </si>
  <si>
    <t>www.theregister.co.uk</t>
  </si>
  <si>
    <t>ISIS pays tribute to its Cub of Baghdadi child soldier</t>
  </si>
  <si>
    <t>8a1686a0-4f44-11e4-949b-f14041b20838</t>
  </si>
  <si>
    <t>http://www.thereporter.com.au/news/isis-pays-tribute-its-cub-baghdadi-child-soldier/2414006/</t>
  </si>
  <si>
    <t>www.thereporter.com.au</t>
  </si>
  <si>
    <t>Audio Reveals Pause Between Gunshots When Michael Brown Was Shot</t>
  </si>
  <si>
    <t>cc3c0f40-2d71-11e4-89c5-1d389b94bc4b</t>
  </si>
  <si>
    <t>http://www.theroot.com/articles/culture/2014/08/report_audio_shows_pause_between_gunshots_when_michael_brown_shot.html</t>
  </si>
  <si>
    <t>www.theroot.com</t>
  </si>
  <si>
    <t>NHL expansion to Las Vegas a done deal</t>
  </si>
  <si>
    <t>d6f07ff0-2e04-11e4-89c5-1d389b94bc4b</t>
  </si>
  <si>
    <t>http://www.thescore.com/nhl/news/563625</t>
  </si>
  <si>
    <t>www.thescore.com</t>
  </si>
  <si>
    <t>IBM denies layoff rumors</t>
  </si>
  <si>
    <t>d74d3800-a57b-11e4-aa4f-ff16e52e0d56</t>
  </si>
  <si>
    <t>http://www.thestandard.com.hk/breaking_news_detail.asp?id=56564&amp;icid=1&amp;d_str=</t>
  </si>
  <si>
    <t>www.thestandard.com.hk</t>
  </si>
  <si>
    <t>What TBS's Sped-Up Seinfeld Reruns Tell Us About the Sorry State of America</t>
  </si>
  <si>
    <t>bfd2ff20-b6a6-11e4-8507-b58af63d1078</t>
  </si>
  <si>
    <t>http://www.thestranger.com/blogs/slog/2015/02/16/21724413/what-tbss-seinfeld-reruns-have-to-say-about-the-american-worker</t>
  </si>
  <si>
    <t>www.thestranger.com</t>
  </si>
  <si>
    <t>Suspended boy threatened to make student disappear with Lord of the Rings replica ring</t>
  </si>
  <si>
    <t>09adf470-ab0c-11e4-9a23-0b6010caa867</t>
  </si>
  <si>
    <t>http://www.thesudburystar.com/2015/02/02/suspended-boy-threatened-to-make-student-disappear-with-lord-of-the-rings-replica-ring</t>
  </si>
  <si>
    <t>www.thesudburystar.com</t>
  </si>
  <si>
    <t>Her Majesty's magic mushrooms</t>
  </si>
  <si>
    <t>b209f000-83c1-11e4-b1b5-4f1bd36cbfc6</t>
  </si>
  <si>
    <t>http://www.thesun.co.uk/sol/homepage/news/6176017/EXCLUSIVE-TV-gardener-Alan-Titchmarsh-finds-magic-mushrooms-at-Buckingham-palace.html</t>
  </si>
  <si>
    <t>www.thesun.co.uk</t>
  </si>
  <si>
    <t>Brain op shock as teen wakes up mid-surgery</t>
  </si>
  <si>
    <t>5cd224f0-93bf-11e4-b6bf-fdc8b7e3bcff</t>
  </si>
  <si>
    <t>http://www.thesun.co.uk/sol/homepage/news/6230251/Brain-op-shock-as-teen-wakes-up-mid-surgery.html</t>
  </si>
  <si>
    <t>Mass grave found after 40 students disappear in Mexican protest</t>
  </si>
  <si>
    <t>e600a8e0-4dc0-11e4-949b-f14041b20838</t>
  </si>
  <si>
    <t>http://www.thetimes.co.uk/tto/news/world/americas/article4228508.ece</t>
  </si>
  <si>
    <t>www.thetimes.co.uk</t>
  </si>
  <si>
    <t>The rats eat Prada at Vogue NY office</t>
  </si>
  <si>
    <t>7a259f10-75af-11e4-99be-fb3662a4a6dd</t>
  </si>
  <si>
    <t>http://www.thetimes.co.uk/tto/news/world/americas/article4278811.ece</t>
  </si>
  <si>
    <t>Amazon is about to open its first-ever physical store in New York City</t>
  </si>
  <si>
    <t>fd11bd50-4fe9-11e4-b6a0-9705a8f94440</t>
  </si>
  <si>
    <t>http://www.theverge.com/2014/10/9/6953083/amazon-is-about-to-open-its-first-ever-physical-store-in-new-york-city</t>
  </si>
  <si>
    <t>www.theverge.com</t>
  </si>
  <si>
    <t>Is Apple about to launch a totally redesigned, 12-inch MacBook Air?</t>
  </si>
  <si>
    <t>a5593190-969f-11e4-87a8-1d5d45e62193</t>
  </si>
  <si>
    <t>http://www.theverge.com/2015/1/6/7504141/apple-macbook-air-12-inch-redesign-rumor</t>
  </si>
  <si>
    <t>The Apple Watch's battery life will reportedly be just like any other smartwatch</t>
  </si>
  <si>
    <t>3f491600-c411-11e4-88c9-eb158a06b9a5</t>
  </si>
  <si>
    <t>http://www.theverge.com/2015/1/22/7873649/apple-watch-battery-life-will-be-just-like-any-other-smartwatch</t>
  </si>
  <si>
    <t>The next Apple Watch could be platinum</t>
  </si>
  <si>
    <t>542ed010-c668-11e4-883c-a7fa7a3c5066</t>
  </si>
  <si>
    <t>http://www.theverge.com/2015/3/9/8174159/platinum-apple-watch-gold-strap</t>
  </si>
  <si>
    <t>Apple Watch reportedly has low-energy power reserve mode</t>
  </si>
  <si>
    <t>ef6d5c40-c410-11e4-88c9-eb158a06b9a5</t>
  </si>
  <si>
    <t>http://www.theverge.com/2015/3/1/8129717/apple-watch-power-reserve-low-energy-mode-rumor</t>
  </si>
  <si>
    <t>Apple plans to phase out Beats Music brand, report says</t>
  </si>
  <si>
    <t>f5b827f0-4293-11e4-9e78-ff09d5b0049d</t>
  </si>
  <si>
    <t>http://www.theverge.com/2014/9/22/6828899/apple-plans-to-phase-out-beats-music-brand-report-says</t>
  </si>
  <si>
    <t>HP reportedly plans to split PC and printer business from enterprise unit</t>
  </si>
  <si>
    <t>6df2d7d0-4cc4-11e4-949b-f14041b20838</t>
  </si>
  <si>
    <t>http://www.theverge.com/2014/10/5/6913479/hp-reportedly-planning-to-split-off-pc-printer-business-from</t>
  </si>
  <si>
    <t>HP announces plan to split in two</t>
  </si>
  <si>
    <t>5dc9c9c0-4d52-11e4-949b-f14041b20838</t>
  </si>
  <si>
    <t>http://www.theverge.com/2014/10/6/6917471/hp-pc-business-split-hp-enterprise-announcement</t>
  </si>
  <si>
    <t>iOS 8 bug reportedly erases iCloud Drive documents when settings are reset</t>
  </si>
  <si>
    <t>5f46c3d0-48d3-11e4-9960-a165dd517bbb</t>
  </si>
  <si>
    <t>http://www.theverge.com/2014/9/29/6869107/ios-8-bug-erases-icloud-drive-documents</t>
  </si>
  <si>
    <t>Microsoft said to be buying the maker of Minecraft for 2 billion</t>
  </si>
  <si>
    <t>865f36f0-387a-11e4-ae63-d5574342724c</t>
  </si>
  <si>
    <t>http://www.theverge.com/2014/9/9/6128759/microsoft-said-to-be-buying-the-maker-of-minecraft-for-2-billion</t>
  </si>
  <si>
    <t>Seth Rogen may play Steve Wozniak alongside Christian Bale as Steve Jobs</t>
  </si>
  <si>
    <t>42f7b9e0-611b-11e4-b6e9-e5f029e25965</t>
  </si>
  <si>
    <t>http://www.theverge.com/2014/10/30/7133329/seth-rogen-may-play-steve-wozniak-in-steve-jobs-biopic</t>
  </si>
  <si>
    <t>HBO streaming service could launch in April for 15 per month, work on Apple TV</t>
  </si>
  <si>
    <t>3736fe30-c431-11e4-883c-a7fa7a3c5066</t>
  </si>
  <si>
    <t>http://www.theverge.com/2015/3/4/8149579/hbo-now-streaming-service-name-pricing-report</t>
  </si>
  <si>
    <t>Christian Bale to play Steve Jobs in upcoming biopic</t>
  </si>
  <si>
    <t>4e773df0-5ab7-11e4-aaf5-a1ddcfbcd5a9</t>
  </si>
  <si>
    <t>http://www.theverge.com/2014/10/23/7045083/christian-bale-to-play-steve-jobs-in-sorkin-boyle-biopic-movie</t>
  </si>
  <si>
    <t>Unbearable: Man fends off bear attack by playing Justin Bieber song</t>
  </si>
  <si>
    <t>e1a97e90-26c2-11e4-96be-dfc0d1eebaea</t>
  </si>
  <si>
    <t>http://www.theweathernetwork.com/news/articles/unbearable-man-fends-off-bear-attack-by-playing-justin-bieber-song/33483/</t>
  </si>
  <si>
    <t>www.theweathernetwork.com</t>
  </si>
  <si>
    <t>Explosion reported near the Nicaraguan capital attributed to meteorite impact, but experts, including NASA, cast doubt on claims</t>
  </si>
  <si>
    <t>619032a0-3840-11e4-ae63-d5574342724c</t>
  </si>
  <si>
    <t>http://www.theweathernetwork.com/news/articles/meteorite-strike-reported-near-nicaraguan-capital-may-be-linked-to-close-asteroid-flyby/35522/</t>
  </si>
  <si>
    <t>Vigilantes cut off alleged rapist's penis</t>
  </si>
  <si>
    <t>c71847c0-a4c4-11e4-aa4f-ff16e52e0d56</t>
  </si>
  <si>
    <t>http://www.theweek.co.uk/south-and-central-asia/60816/vigilantes-cut-off-alleged-rapists-penis</t>
  </si>
  <si>
    <t>www.theweek.co.uk</t>
  </si>
  <si>
    <t>Kim Jong-un: obese leader fractured both ankles</t>
  </si>
  <si>
    <t>1fb23d10-497a-11e4-9960-a165dd517bbb</t>
  </si>
  <si>
    <t>http://www.theweek.co.uk/people/kim-jong-un/60578/kim-jong-un-obese-leader-fractured-both-ankles</t>
  </si>
  <si>
    <t>Korean housewife attacked by robot vacuum cleaner</t>
  </si>
  <si>
    <t>b5d8c4b0-b097-11e4-9a23-0b6010caa867</t>
  </si>
  <si>
    <t>http://www.theweek.co.uk/technology/62467/korean-housewife-attacked-by-robot-vacuum-cleaner</t>
  </si>
  <si>
    <t>Star Wars 7: JJ Abrams want to move release to summer 2015</t>
  </si>
  <si>
    <t>60eb0070-b2eb-11e4-9a23-0b6010caa867</t>
  </si>
  <si>
    <t>http://www.theweek.co.uk/arts-life/star-wars-episode-7/57322/star-wars-7-jj-abrams-want-to-move-release-to-summer-2015</t>
  </si>
  <si>
    <t>If Only A Bird Really Did Poop on Putin</t>
  </si>
  <si>
    <t>fffb30a0-1bff-11e4-8c09-cd48fe37674e</t>
  </si>
  <si>
    <t>http://www.thewire.com/politics/2014/08/a-bird-didnt-poop-on-putin-but-his-wwi-speech-was-still-pretty-bad/375533/</t>
  </si>
  <si>
    <t>www.thewire.com</t>
  </si>
  <si>
    <t>ISIL Claims to Behead an American Photojournalist</t>
  </si>
  <si>
    <t>3ba2f6c0-27e4-11e4-96be-dfc0d1eebaea</t>
  </si>
  <si>
    <t>http://www.thewire.com/global/2014/08/isil-beheads-photojournalist-james-wright-foley/378802/</t>
  </si>
  <si>
    <t>An Audio Recording of the Michael Brown Shooting Has Reportedly Surfaced</t>
  </si>
  <si>
    <t>93ae30c0-2d69-11e4-89c5-1d389b94bc4b</t>
  </si>
  <si>
    <t>http://www.thewire.com/national/2014/08/an-audio-recording-of-the-michael-brown-shooting-has-reportedly-surfaced/379126/</t>
  </si>
  <si>
    <t>ISIL Has Reportedly Beheaded Journalist Steven Sotloff</t>
  </si>
  <si>
    <t>a40f5ec0-32ce-11e4-8453-710264d9a1f8</t>
  </si>
  <si>
    <t>http://www.thewire.com/global/2014/09/isil-releases-video-of-steven-sotloff-beheading/379479/</t>
  </si>
  <si>
    <t>Brian Williams Demands Apology From Social Media Over Erroneous Urination Reports Video</t>
  </si>
  <si>
    <t>2245b500-645c-11e4-b3d8-a32d8ec8ad5e</t>
  </si>
  <si>
    <t>http://www.thewrap.com/brian-williams-demands-apology-from-social-media-over-erroneous-urination-reports-video/</t>
  </si>
  <si>
    <t>www.thewrap.com</t>
  </si>
  <si>
    <t>Lisa Bonet Tweet About Bill Cosby Sent From Fake Account, Manager Confirms</t>
  </si>
  <si>
    <t>5619ea50-737e-11e4-99be-fb3662a4a6dd</t>
  </si>
  <si>
    <t>http://www.thewrap.com/lisa-bonet-tweet-about-bill-cosby-sent-from-fake-account-manager-confirms/</t>
  </si>
  <si>
    <t>Joan Rivers Doctor Snapped Selfie During Throat Procedure Report</t>
  </si>
  <si>
    <t>9b589c30-3e57-11e4-bc0b-3f922b93930d</t>
  </si>
  <si>
    <t>http://www.thewrap.com/joan-rivers-doctor-snapped-selfie-during-throat-procedure-report/</t>
  </si>
  <si>
    <t>Seth Rogen Eyed to Play Apple's Steve Wozniak in Christian Bale's Steve Jobs Movie Exclusive</t>
  </si>
  <si>
    <t>5becd0f0-611d-11e4-b6e9-e5f029e25965</t>
  </si>
  <si>
    <t>http://www.thewrap.com/seth-rogen-eyed-to-play-apples-steve-wozniak-in-christian-bales-steve-jobs-movie-exclusive/</t>
  </si>
  <si>
    <t>Christian Bale in Talks to Play Steve Jobs in Danny Boyle's Biopic</t>
  </si>
  <si>
    <t>643f69a0-54c7-11e4-b6a0-9705a8f94440</t>
  </si>
  <si>
    <t>http://www.thewrap.com/christian-bale-in-talks-to-play-steve-jobs-in-danny-boyles-biopic/</t>
  </si>
  <si>
    <t>DISCONTINUED 90S MCPIZZA STILL EXISTS AT THESE MCDONALD'S LOCATIONS</t>
  </si>
  <si>
    <t>d54a2b20-a7e3-11e4-a43b-f10f6756f801</t>
  </si>
  <si>
    <t>http://www.thrillist.com/eat/nation/mcpizza-still-available-at-two-mcdonald-s-locations</t>
  </si>
  <si>
    <t>www.thrillist.com</t>
  </si>
  <si>
    <t>Justin Bieber ringtone scares bear, saves Russian fisherman</t>
  </si>
  <si>
    <t>4fd41640-1ce7-11e4-8c09-cd48fe37674e</t>
  </si>
  <si>
    <t>http://www.timeslive.co.za/world/2014/08/05/justin-bieber-ringtone-scares-bear-saves-russian-fisherman</t>
  </si>
  <si>
    <t>www.timeslive.co.za</t>
  </si>
  <si>
    <t>Girl destroys boyfriends penis in acid attack after video of them having sex goes viral</t>
  </si>
  <si>
    <t>69ad2bc0-abe3-11e4-9a23-0b6010caa867</t>
  </si>
  <si>
    <t>http://www.timeslive.co.za/local/2015/02/02/girl-destroys-boyfriends-penis-in-acid-attack-after-video-of-them-having-sex-goes-viral</t>
  </si>
  <si>
    <t>I never intended to kill his penis I was just angry: Mpumalanga acid attack girl</t>
  </si>
  <si>
    <t>844a8680-abe3-11e4-9a23-0b6010caa867</t>
  </si>
  <si>
    <t>http://www.timeslive.co.za/local/2015/02/03/i-never-intended-to-kill-his-penis-i-was-just-angry-mpumalanga-acid-attack-girl</t>
  </si>
  <si>
    <t>James Foley executioner said identified as British rapper Read more: James Foley executioner said identified as British rapper</t>
  </si>
  <si>
    <t>d22fa8a0-2bf8-11e4-89c5-1d389b94bc4b</t>
  </si>
  <si>
    <t>http://www.timesofisrael.com/james-foley-executioner-said-identified-as-british-rapper/</t>
  </si>
  <si>
    <t>www.timesofisrael.com</t>
  </si>
  <si>
    <t>Saudi Airlines to segregate sexes</t>
  </si>
  <si>
    <t>1a479fa0-947a-11e4-b6bf-fdc8b7e3bcff</t>
  </si>
  <si>
    <t>http://www.timesofisrael.com/saudi-airline-to-separate-men-and-women/</t>
  </si>
  <si>
    <t>Female Israeli fighter said abducted by Islamic State Read more: Female Israeli fighter said abducted by Islamic State</t>
  </si>
  <si>
    <t>099087e0-78b8-11e4-b794-93ed794d7b91</t>
  </si>
  <si>
    <t>http://www.timesofisrael.com/female-israeli-fighter-said-abducted-by-islamic-state/</t>
  </si>
  <si>
    <t>Islamic State fighters training to fly captured jets watchdog</t>
  </si>
  <si>
    <t>ec10e140-5627-11e4-aaf5-a1ddcfbcd5a9</t>
  </si>
  <si>
    <t>http://www.timesofisrael.com/islamic-state-fighters-training-to-fly-captured-jets-watchdog/</t>
  </si>
  <si>
    <t>Iraqi social-media rumors claim IS leader slain</t>
  </si>
  <si>
    <t>95170f00-36be-11e4-ae63-d5574342724c</t>
  </si>
  <si>
    <t>http://www.timesofisrael.com/iraqi-social-media-rumors-claim-is-leader-slain/</t>
  </si>
  <si>
    <t>Photo of slain IS leader reported to be doctored</t>
  </si>
  <si>
    <t>087de880-3753-11e4-ae63-d5574342724c</t>
  </si>
  <si>
    <t>http://www.timesofisrael.com/photo-of-slain-is-leader-appears-to-be-doctored/</t>
  </si>
  <si>
    <t>IS reportedly tries to sell slain US hostage's body for 1 million Read more: IS reportedly tries to sell slain US hostage's body for 1 million</t>
  </si>
  <si>
    <t>fe1f66e0-8138-11e4-8faa-9748b2fc07a1</t>
  </si>
  <si>
    <t>http://www.timesofisrael.com/blood-and-production-value-islamic-states-pricey-video-2/</t>
  </si>
  <si>
    <t>905105a0-69ba-11e4-b528-9d5aa2d2e8e7</t>
  </si>
  <si>
    <t>http://www.tmz.com/2014/11/11/sugarhill-gang-big-bank-hank-dies-cancer-dead-rappers-delight/</t>
  </si>
  <si>
    <t>www.tmz.com</t>
  </si>
  <si>
    <t>3-Boobed Woman a Fake</t>
  </si>
  <si>
    <t>2e5840c0-435e-11e4-9e78-ff09d5b0049d</t>
  </si>
  <si>
    <t>http://www.tmz.com/2014/09/23/woman-with-3-boobs-fake-jasmine-tridevil-luggage-stolen-breast-prosthesis/</t>
  </si>
  <si>
    <t>Ex Co-Star Raven Symon Blasts Rape Rumor ... THAT'S DISGUSTING</t>
  </si>
  <si>
    <t>72cf7190-705b-11e4-8e10-b9c720c188ba</t>
  </si>
  <si>
    <t>http://www.tmz.com/2014/11/19/raven-symone-bill-cosby-rape-victim-rumor-not-true/</t>
  </si>
  <si>
    <t>Homeless man receives 100... then shocks everyone with how he spends it</t>
  </si>
  <si>
    <t>4da51560-9224-11e4-9799-c7e75be2bcad</t>
  </si>
  <si>
    <t>http://www.today.com/news/homeless-man-given-100-shocks-everyone-how-he-spends-it-1D80385367</t>
  </si>
  <si>
    <t>www.today.com</t>
  </si>
  <si>
    <t>Hairgate trends on social media: iPhone 6 users complain of ripped out hair</t>
  </si>
  <si>
    <t>57b54f70-4e5e-11e4-949b-f14041b20838</t>
  </si>
  <si>
    <t>http://www.today.com/money/hairgate-trends-social-media-iphone-6-users-complain-ripped-out-2D80199938</t>
  </si>
  <si>
    <t>Paradise is open to all, even dogs, Pope tells boy</t>
  </si>
  <si>
    <t>633516d0-8330-11e4-b1b5-4f1bd36cbfc6</t>
  </si>
  <si>
    <t>http://www.todayonline.com/world/paradise-open-all-even-dogs-pope-tells-boy</t>
  </si>
  <si>
    <t>www.todayonline.com</t>
  </si>
  <si>
    <t>N Korean leader misses annual ritual sister takes over duties</t>
  </si>
  <si>
    <t>f8cbf0b0-5333-11e4-b6a0-9705a8f94440</t>
  </si>
  <si>
    <t>http://www.todayonline.com/world/asia/n-korean-leader-misses-annual-ritual-sister-takes-over-duties</t>
  </si>
  <si>
    <t>Afghan Mother Kills 25 Taliban</t>
  </si>
  <si>
    <t>06edf280-76f5-11e4-b9e8-ab92b2da133c</t>
  </si>
  <si>
    <t>http://www.tolonews.com/en/afghanistan/17230-afghan-mother-kills-25-taliban</t>
  </si>
  <si>
    <t>www.tolonews.com</t>
  </si>
  <si>
    <t>Want a Gold Apple Watch? All You Need is 5,000</t>
  </si>
  <si>
    <t>1b19c6c0-c41c-11e4-883c-a7fa7a3c5066</t>
  </si>
  <si>
    <t>http://www.tomsguide.com/us/apple-watch-edition-price,news-19870.html</t>
  </si>
  <si>
    <t>www.tomsguide.com</t>
  </si>
  <si>
    <t>Resetting iOS 8 Preferences May Wipe iCloud Files</t>
  </si>
  <si>
    <t>306805e0-50af-11e4-b6a0-9705a8f94440</t>
  </si>
  <si>
    <t>http://www.tomsguide.com/us/ios8-wipes-cloud-files,news-19708.html</t>
  </si>
  <si>
    <t>Batmobile wasn't stolen: Cops</t>
  </si>
  <si>
    <t>627fb710-3c43-11e4-bc0b-3f922b93930d</t>
  </si>
  <si>
    <t>http://www.torontosun.com/2014/09/13/batmobile-wasnt-stolen-cops</t>
  </si>
  <si>
    <t>www.torontosun.com</t>
  </si>
  <si>
    <t>Sugarhill Gang's Big Bank Hank dead at 57</t>
  </si>
  <si>
    <t>9cc2bf80-69c5-11e4-b528-9d5aa2d2e8e7</t>
  </si>
  <si>
    <t>http://www.torontosun.com/2014/11/11/sugarhill-gangs-big-bank-hank-dead-at-57</t>
  </si>
  <si>
    <t>Pizza delivery man gets 2,000 tip</t>
  </si>
  <si>
    <t>dd04a000-a1c3-11e4-a353-5b831fe927be</t>
  </si>
  <si>
    <t>http://www.torontosun.com/2015/01/17/pizza-delivery-man-gets-2000-tip</t>
  </si>
  <si>
    <t>Tropical spider burrows under man's skin, lives there for three days</t>
  </si>
  <si>
    <t>56f78700-565c-11e4-aaf5-a1ddcfbcd5a9</t>
  </si>
  <si>
    <t>http://www.torontosun.com/2014/10/16/tropical-spider-burrows-under-mans-skin-lives-there-for-three-days</t>
  </si>
  <si>
    <t>e0d84510-ab0a-11e4-9a23-0b6010caa867</t>
  </si>
  <si>
    <t>http://www.torontosun.com/2015/02/02/suspended-boy-threatened-to-make-student-disappear-with-lord-of-the-rings-replica-ring</t>
  </si>
  <si>
    <t>Florida woman gets third breast to become unattractive 32</t>
  </si>
  <si>
    <t>27f25660-428e-11e4-9e78-ff09d5b0049d</t>
  </si>
  <si>
    <t>http://www.torontosun.com/2014/09/22/florida-woman-gets-third-breast-to-become-unattractive</t>
  </si>
  <si>
    <t>Three-breasted woman outed as fake by Tampa police</t>
  </si>
  <si>
    <t>589765e0-70eb-11e4-8e10-b9c720c188ba</t>
  </si>
  <si>
    <t>http://www.torontosun.com/2014/09/23/three-breasted-woman-outed-as-fake-by-tampa-police</t>
  </si>
  <si>
    <t>Saudi oil pipeline fire under control, security source says</t>
  </si>
  <si>
    <t>e97d8960-6513-11e4-b3d8-a32d8ec8ad5e</t>
  </si>
  <si>
    <t>http://www.trust.org/item/20141105164929-4a5ij</t>
  </si>
  <si>
    <t>www.trust.org</t>
  </si>
  <si>
    <t>Angry Passenger Tossed Off Plane after Crew Wishes Him Merry Christmas</t>
  </si>
  <si>
    <t>6914fe10-8c60-11e4-9799-c7e75be2bcad</t>
  </si>
  <si>
    <t>http://www.truthrevolt.org/news/angry-passenger-tossed-plane-after-crew-wishes-him-merry-christmas</t>
  </si>
  <si>
    <t>www.truthrevolt.org</t>
  </si>
  <si>
    <t>Apple May Or May Not Hold An Event On The 24th Of February Rumor</t>
  </si>
  <si>
    <t>53a4c890-c283-11e4-8747-5b024dd6dd6c</t>
  </si>
  <si>
    <t>http://www.ubergizmo.com/2015/02/apple-may-or-may-not-hold-an-event-on-the-24th-of-february-rumor/</t>
  </si>
  <si>
    <t>www.ubergizmo.com</t>
  </si>
  <si>
    <t>Tim Cook Reportedly Reveals Apple Watch Waterproofing Has Improved</t>
  </si>
  <si>
    <t>230d3560-c1bf-11e4-8747-5b024dd6dd6c</t>
  </si>
  <si>
    <t>http://www.ubergizmo.com/2015/02/tim-cook-reportedly-reveals-apple-watch-waterproofing-has-improved/</t>
  </si>
  <si>
    <t>Gold Apple Watch Will Be Stored In Special Safes At Apple Stores</t>
  </si>
  <si>
    <t>56875710-bfba-11e4-8747-5b024dd6dd6c</t>
  </si>
  <si>
    <t>http://www.ubergizmo.com/2015/02/gold-apple-watch-will-be-stored-in-special-safes-at-apple-stores/</t>
  </si>
  <si>
    <t>Valentine's Day 2015 May Be The Apple Watch Release Target</t>
  </si>
  <si>
    <t>149c6f00-c1e7-11e4-8747-5b024dd6dd6c</t>
  </si>
  <si>
    <t>http://www.ubergizmo.com/2014/09/valentines-day-2015-may-be-the-apple-watch-release-target/</t>
  </si>
  <si>
    <t>Analyst Confirms Apple Watch And 12-inch MacBook Air's Q1 2015 Launch</t>
  </si>
  <si>
    <t>ec33a7c0-c120-11e4-8747-5b024dd6dd6c</t>
  </si>
  <si>
    <t>http://www.ubergizmo.com/2015/01/analyst-confirms-apple-watch-and-12-inch-macbook-airs-q1-2015-launch/</t>
  </si>
  <si>
    <t>Gold Apple Watch Edition Could Cost As Much As 1,200</t>
  </si>
  <si>
    <t>f61b9b60-c34d-11e4-8747-5b024dd6dd6c</t>
  </si>
  <si>
    <t>http://www.ubergizmo.com/2014/09/gold-apple-watch-edition-could-cost-as-much-as-1200/</t>
  </si>
  <si>
    <t>Analyst: Apple Watch Edition Could Cost 5,000</t>
  </si>
  <si>
    <t>d06861f0-c2ad-11e4-8747-5b024dd6dd6c</t>
  </si>
  <si>
    <t>http://www.ubergizmo.com/2014/09/analyst-apple-watch-edition-could-cost-5000/</t>
  </si>
  <si>
    <t>iFixit Debunks iPhone 6 Plus Reinforcement Claims</t>
  </si>
  <si>
    <t>51a9a380-68ec-11e4-b528-9d5aa2d2e8e7</t>
  </si>
  <si>
    <t>http://www.ubergizmo.com/2014/10/ifixit-debunks-iphone-6-plus-reinforcement-claims/</t>
  </si>
  <si>
    <t>Cloistered nun gives birth to a baby The convent: There is a sister Google Translate</t>
  </si>
  <si>
    <t>f990f980-a434-11e4-aa4f-ff16e52e0d56</t>
  </si>
  <si>
    <t>http://www.unionesarda.it/articolo/cronaca_italiana/2015/01/23/suora_di_clausura_partorisce_un_bimbo_in_ospedale_lamentava_un_ma-5-404734.html</t>
  </si>
  <si>
    <t>www.unionesarda.it</t>
  </si>
  <si>
    <t>Argentinian President Cristina Kirchner adopts Jewish boy to protect him from werewolf stigma</t>
  </si>
  <si>
    <t>53d73ae0-8f99-11e4-9799-c7e75be2bcad</t>
  </si>
  <si>
    <t>http://www.upi.com/Top_News/World-News/2014/12/29/Argentinian-President-Cristina-Kirchner-adopts-Jewish-boy-to-protect-him-from-werewolf-stigma/4901419854186/</t>
  </si>
  <si>
    <t>www.upi.com</t>
  </si>
  <si>
    <t>Government threatened Foleys with criminal charges over ransom</t>
  </si>
  <si>
    <t>0bf8b5a0-42ff-11e4-9e78-ff09d5b0049d</t>
  </si>
  <si>
    <t>http://www.upi.com/Top_News/US/2014/09/12/Government-threatened-Foleys-with-criminal-charges-over-ransom/8221410545595/</t>
  </si>
  <si>
    <t>Conflicting reports on alleged IS capture of Canadian woman</t>
  </si>
  <si>
    <t>9c8ef810-7999-11e4-b794-93ed794d7b91</t>
  </si>
  <si>
    <t>http://www.upi.com/Top_News/World-News/2014/12/01/Conflicting-reports-on-alleged-IS-capture-of-Canadian-woman/8981417461730/?spt=su</t>
  </si>
  <si>
    <t>Jeh Johnson shoots down Duncan Hunter's assertion IS is entering U.S. via Mexico</t>
  </si>
  <si>
    <t>1864eed0-4fcf-11e4-b6a0-9705a8f94440</t>
  </si>
  <si>
    <t>http://www.upi.com/Top_News/US/2014/10/09/Jeh-Johnson-shoots-down-Duncan-Hunters-assertion-IS-is-entering-US-via-Mexico/4761412862614/</t>
  </si>
  <si>
    <t>Tropical spider burrowed under Bali tourist's skin</t>
  </si>
  <si>
    <t>6cb94a60-565c-11e4-aaf5-a1ddcfbcd5a9</t>
  </si>
  <si>
    <t>http://www.upi.com/Odd_News/2014/10/16/Tropical-spider-burrowed-under-Bali-tourists-skin/3571413468138/</t>
  </si>
  <si>
    <t>Eggnog-chugging contest leads to hospital stay</t>
  </si>
  <si>
    <t>9075dd80-8afd-11e4-beeb-cde7b534e8de</t>
  </si>
  <si>
    <t>http://www.upi.com/Odd_News/2014/12/23/Eggnog-chugging-contest-leads-to-hospital-stay/4241419358773/</t>
  </si>
  <si>
    <t>Vice's Shane Smith drops 300,000 on Vegas dinner</t>
  </si>
  <si>
    <t>00372560-b886-11e4-b073-ed15c88bfa1e</t>
  </si>
  <si>
    <t>http://www.upi.com/Odd_News/2015/02/19/Vices-Shane-Smith-drops-300000-on-Vegas-dinner/7041424375305/</t>
  </si>
  <si>
    <t>Would you pay 10,000 for the Apple Watch?</t>
  </si>
  <si>
    <t>9a069d10-c367-11e4-9435-a96703525a9e</t>
  </si>
  <si>
    <t>http://www.usatoday.com/story/tech/2015/02/19/would-you-pay-10000-for-the-apple-watch/23702101/</t>
  </si>
  <si>
    <t>www.usatoday.com</t>
  </si>
  <si>
    <t>Apple denies it is shutting down Beats Music</t>
  </si>
  <si>
    <t>23737ca0-429c-11e4-9e78-ff09d5b0049d</t>
  </si>
  <si>
    <t>http://www.usatoday.com/story/tech/2014/09/22/apple-beats-music-shut-down/16066309/</t>
  </si>
  <si>
    <t>Rapper Big Bank Hank of Sugarhill Gang dies at 57</t>
  </si>
  <si>
    <t>777270e0-69c5-11e4-b528-9d5aa2d2e8e7</t>
  </si>
  <si>
    <t>http://www.usatoday.com/story/life/music/2014/11/11/rapper-big-bank-hank-of-sugarhill-gang-dies-57-cancer/18849663/</t>
  </si>
  <si>
    <t>Dog abandoned at Scotland train station with suitcase</t>
  </si>
  <si>
    <t>0dc90ff0-969d-11e4-87a8-1d5d45e62193</t>
  </si>
  <si>
    <t>http://www.usatoday.com/story/news/nation-now/2015/01/06/abandoned-dog-suitcase-belongings-scotland/21337503/</t>
  </si>
  <si>
    <t>WH: We didn't threaten Foley, Sotloff families</t>
  </si>
  <si>
    <t>401e51a0-42ff-11e4-9e78-ff09d5b0049d</t>
  </si>
  <si>
    <t>http://www.usatoday.com/story/theoval/2014/09/14/obama-denis-mcdonough-islamic-state-sunday-shows/15623387/</t>
  </si>
  <si>
    <t>The Floria State University shooter is named Myron May</t>
  </si>
  <si>
    <t>Police identify shooter in Florida State tragedy</t>
  </si>
  <si>
    <t>ee08a120-70d7-11e4-8e10-b9c720c188ba</t>
  </si>
  <si>
    <t>b3b4af00-70d7-11e4-8e10-b9c720c188ba</t>
  </si>
  <si>
    <t>http://www.usatoday.com/story/news/nation/2014/11/20/fsu-guman/19310741/</t>
  </si>
  <si>
    <t>Pentagon: Airstrike kills terror leader in Somalia</t>
  </si>
  <si>
    <t>21145fd0-351b-11e4-a3fd-07e9a9d397df</t>
  </si>
  <si>
    <t>http://www.usatoday.com/story/news/world/2014/09/05/shabab-godane-pentagon-somalia-al-qaeda/15128575/</t>
  </si>
  <si>
    <t>Hairgate: iPhone 6 users say device pulls out hair</t>
  </si>
  <si>
    <t>d2d1fe20-4e5d-11e4-949b-f14041b20838</t>
  </si>
  <si>
    <t>http://www.usatoday.com/story/tech/personal/2014/10/07/iphone-6-hairgate-hair-pulled/16849665/</t>
  </si>
  <si>
    <t>Islamic State militant Jihadi John identified by media</t>
  </si>
  <si>
    <t>bf31dff0-bdb3-11e4-b073-ed15c88bfa1e</t>
  </si>
  <si>
    <t>http://www.usatoday.com/story/news/world/2015/02/26/isil-jihadi-john/24043741/</t>
  </si>
  <si>
    <t>3 missing Afghan officers detained at Canadian border</t>
  </si>
  <si>
    <t>f38cc900-427e-11e4-9e78-ff09d5b0049d</t>
  </si>
  <si>
    <t>http://www.usatoday.com/story/news/nation/2014/09/22/3-afghan-officers-cape-cod-training-exercises-missing-hyannis/16039663/?utm_source=feedblitz&amp;utm_medium=FeedBlitzRss&amp;utm_campaign=usatoday-newstopstories</t>
  </si>
  <si>
    <t>NYC relaxes response to marijuana possession</t>
  </si>
  <si>
    <t>223e3eb0-69b1-11e4-b528-9d5aa2d2e8e7</t>
  </si>
  <si>
    <t>http://www.usatoday.com/story/news/nation/2014/11/10/new-york-city-marijuana-possession/18827881/</t>
  </si>
  <si>
    <t>Scorpion stings flier on Alaska Airlines flight from L.A.</t>
  </si>
  <si>
    <t>b502cd30-b6d0-11e4-8507-b58af63d1078</t>
  </si>
  <si>
    <t>http://www.usatoday.com/story/todayinthesky/2015/02/15/scorpion-stings-flier-on-alaska-airlines-flight-from-los-angeles/23452319/</t>
  </si>
  <si>
    <t>Audio may have captured Michael Brown shooting</t>
  </si>
  <si>
    <t>31b2a470-2d67-11e4-89c5-1d389b94bc4b</t>
  </si>
  <si>
    <t>http://www.usatoday.com/story/news/nation/2014/08/26/michael-brown-shooting-police-ferguson/14612081/</t>
  </si>
  <si>
    <t>Tesla picks Nevada for battery Gigafactory</t>
  </si>
  <si>
    <t>d11fec10-33a8-11e4-8453-710264d9a1f8</t>
  </si>
  <si>
    <t>http://www.usatoday.com/story/money/cars/2014/09/03/tesla-gigafactory-nevada-carson/15029233/</t>
  </si>
  <si>
    <t>Reports of missing Libyan planes raise 911 terror fears</t>
  </si>
  <si>
    <t>1ed52c50-419f-11e4-9e78-ff09d5b0049d</t>
  </si>
  <si>
    <t>http://www.usatoday.com/story/news/world/2014/09/04/libya-missing-planes-sept-11/15059169/</t>
  </si>
  <si>
    <t>Christian Bale will not play Steve Jobs</t>
  </si>
  <si>
    <t>e7971540-6396-11e4-b3d8-a32d8ec8ad5e</t>
  </si>
  <si>
    <t>http://www.usatoday.com/story/life/movies/2014/11/03/christian-bale-steve-jobs/18422221/</t>
  </si>
  <si>
    <t>American journalist killed in failed Yemen rescue attempt</t>
  </si>
  <si>
    <t>29c707a0-7d2c-11e4-8faa-9748b2fc07a1</t>
  </si>
  <si>
    <t>http://www.usatoday.com/story/news/world/2014/12/06/yemen-luke-somers/19995995/</t>
  </si>
  <si>
    <t>In Kim Jong Un's absence, his sister may rule. Or not.</t>
  </si>
  <si>
    <t>bfa0a140-50dc-11e4-b6a0-9705a8f94440</t>
  </si>
  <si>
    <t>http://www.usatoday.com/story/news/world/2014/10/10/kim-jong-un-kim-yo-jong-north-korea/17025635/</t>
  </si>
  <si>
    <t>Boko Haram agrees to cease-fire, may release schoolgirls</t>
  </si>
  <si>
    <t>543c53e0-5636-11e4-aaf5-a1ddcfbcd5a9</t>
  </si>
  <si>
    <t>http://www.usatoday.com/story/news/world/2014/10/17/nigeria-boko-haram-cease-fire/17430595/?utm_source=feedblitz&amp;utm_medium=FeedBlitzRss&amp;utm_campaign=kare/home</t>
  </si>
  <si>
    <t>Boko Haram denies truce, says kidnapped girls married</t>
  </si>
  <si>
    <t>523daf40-621f-11e4-b3d8-a32d8ec8ad5e</t>
  </si>
  <si>
    <t>http://www.usatoday.com/story/news/world/2014/11/01/boko-haram-kidnapped-girls/18311175/</t>
  </si>
  <si>
    <t>Tiger Woods agent shoots down report of failed drug test</t>
  </si>
  <si>
    <t>64ca35b0-c0fd-11e4-8747-5b024dd6dd6c</t>
  </si>
  <si>
    <t>http://www.usatoday.com/story/sports/golf/2015/03/02/tiger-woods-agent-responds-claims-of-failed-drug-test/24259095/</t>
  </si>
  <si>
    <t>Fence-jumper got farther into White House</t>
  </si>
  <si>
    <t>e6c62360-483c-11e4-9960-a165dd517bbb</t>
  </si>
  <si>
    <t>http://www.usatoday.com/story/news/nation/2014/09/29/fence-jumper-white-house-front-door/16445471/</t>
  </si>
  <si>
    <t>Weather Reporter Mike Seidel Was Caught Off Guard on Live TV and Appeared to Be Urinating in the Snow -- Watch</t>
  </si>
  <si>
    <t>97684450-6458-11e4-b3d8-a32d8ec8ad5e</t>
  </si>
  <si>
    <t>http://www.usmagazine.com/celebrity-news/news/weather-reporter-caught-off-guard-on-live-tv-appears-to-be-urinating-2014311</t>
  </si>
  <si>
    <t>www.usmagazine.com</t>
  </si>
  <si>
    <t>Joan Rivers: Doctor Took Selfie With Unconscious Comedian, Performed Biopsy Without Consent -- Details</t>
  </si>
  <si>
    <t>9431dc50-3e57-11e4-bc0b-3f922b93930d</t>
  </si>
  <si>
    <t>http://www.usmagazine.com/celebrity-news/news/joan-rivers-doctor-took-selfie-performed-biopsy-without-consent-2014169</t>
  </si>
  <si>
    <t>Jess Smith, 19, Claims She Was Teletubbies Giggling Baby: What Did She Get Paid?</t>
  </si>
  <si>
    <t>bc685b40-8b14-11e4-9799-c7e75be2bcad</t>
  </si>
  <si>
    <t>http://www.usmagazine.com/celebrity-news/news/jess-smith-19-claims-she-was-teletubbies-giggling-baby-details-20142312</t>
  </si>
  <si>
    <t>Fidel Castro Rumors Sweep Internet, But No Sign in Cuba</t>
  </si>
  <si>
    <t>a64a1be0-98fd-11e4-bf59-1bb8b99952ce</t>
  </si>
  <si>
    <t>http://www.usnews.com/news/articles/2015/01/09/fidel-castro-rumors-sweep-internet-but-no-sign-in-cuba</t>
  </si>
  <si>
    <t>www.usnews.com</t>
  </si>
  <si>
    <t>No, Robert Plant Didn't Rip Up an 800 Million Contract</t>
  </si>
  <si>
    <t>75231170-68fb-11e4-b528-9d5aa2d2e8e7</t>
  </si>
  <si>
    <t>http://www.usnews.com/news/articles/2014/11/10/no-robert-plant-didnt-rip-up-an-800-million-contract</t>
  </si>
  <si>
    <t>Texas Truck Winds Up in Syria With Islamic Militants</t>
  </si>
  <si>
    <t>eb249a20-8777-11e4-b1b5-4f1bd36cbfc6</t>
  </si>
  <si>
    <t>http://www.usnews.com/news/articles/2014/12/18/texas-truck-winds-up-in-syria-with-isis</t>
  </si>
  <si>
    <t>Fence Jumper Ran Deeper Into the White House Than Secret Service Reported</t>
  </si>
  <si>
    <t>6117c770-481c-11e4-9960-a165dd517bbb</t>
  </si>
  <si>
    <t>http://www.usnews.com/news/newsgram/articles/2014/09/29/fence-jumper-made-it-deeper-into-the-white-house-than-secret-service-claims</t>
  </si>
  <si>
    <t>Lenovo Looking To Buy BlackBerry Ltd REPORT</t>
  </si>
  <si>
    <t>777abba0-5869-11e4-aaf5-a1ddcfbcd5a9</t>
  </si>
  <si>
    <t>http://www.valuewalk.com/2014/10/blackberry-buy-offer-lenovo/</t>
  </si>
  <si>
    <t>www.valuewalk.com</t>
  </si>
  <si>
    <t>Meet the 17-Year-Old Rumored to Have Made 72 Million During His High-School Lunch Breaks Updated</t>
  </si>
  <si>
    <t>2193f920-8485-11e4-b1b5-4f1bd36cbfc6</t>
  </si>
  <si>
    <t>http://www.vanityfair.com/online/daily/2014/12/mohammed-israel-72-million-lunch-breaks</t>
  </si>
  <si>
    <t>www.vanityfair.com</t>
  </si>
  <si>
    <t>Magic Mushrooms Found on Buckingham Palace Grounds</t>
  </si>
  <si>
    <t>a78a6830-83c1-11e4-b1b5-4f1bd36cbfc6</t>
  </si>
  <si>
    <t>http://www.vanityfair.com/online/daily/2014/12/magic-mushrooms-found-on-buckingham-palace-grounds?mbid=social_twitter</t>
  </si>
  <si>
    <t>The Force Awakens News: Director J.J. Abrams Eyes Summer Release for Star Wars 7 Because of Too Many Spoilers</t>
  </si>
  <si>
    <t>cf5c4040-b2e2-11e4-9a23-0b6010caa867</t>
  </si>
  <si>
    <t>http://www.vcpost.com/articles/41965/20150211/force-awakens-news-director-jj-abrams-eyes-summer-release.htm</t>
  </si>
  <si>
    <t>www.vcpost.com</t>
  </si>
  <si>
    <t>54e02b00-bd2e-11e4-b073-ed15c88bfa1e</t>
  </si>
  <si>
    <t>http://www.veteranstoday.com/2015/02/24/iraqi-army-downs-2-uk-planes-carrying-weapons-for-isil/</t>
  </si>
  <si>
    <t>www.veteranstoday.com</t>
  </si>
  <si>
    <t>Adopting Potential Werewolves Is Routine Business for Argentine Presidents</t>
  </si>
  <si>
    <t>8dc67d40-9095-11e4-9799-c7e75be2bcad</t>
  </si>
  <si>
    <t>http://www.vice.com/read/in-argentina-presidents-adopt-would-be-werewolves-rather-than-pardon-turkeys-1230</t>
  </si>
  <si>
    <t>www.vice.com</t>
  </si>
  <si>
    <t>After Giving A Homeless Man 100, This Guy Secretly Filmed Him...</t>
  </si>
  <si>
    <t>57b3a530-921f-11e4-9799-c7e75be2bcad</t>
  </si>
  <si>
    <t>http://www.viralnova.com/100-dollars-homeless/</t>
  </si>
  <si>
    <t>www.viralnova.com</t>
  </si>
  <si>
    <t>WHO: Reports of Suspected Ebola Cases in Iraq Untrue</t>
  </si>
  <si>
    <t>795c1dd0-95ca-11e4-87a8-1d5d45e62193</t>
  </si>
  <si>
    <t>http://www.voanews.com/content/reu-who-says-reports-of-suspected-ebola-cases-in-iraq-are-untrue/2587476.html</t>
  </si>
  <si>
    <t>www.voanews.com</t>
  </si>
  <si>
    <t>Did Josh Paler Lin Stage His Viral Video About Helping the Homeless?</t>
  </si>
  <si>
    <t>f33a83d0-921e-11e4-9799-c7e75be2bcad</t>
  </si>
  <si>
    <t>http://www.vocativ.com/tech/internet/viral-christmas-video-hoax/</t>
  </si>
  <si>
    <t>www.vocativ.com</t>
  </si>
  <si>
    <t>ISIS Beheading of U.S. Journalist James Foley Posted to YouTube</t>
  </si>
  <si>
    <t>8fe17d50-2803-11e4-a916-bf0b27b73ad5</t>
  </si>
  <si>
    <t>https://www.vocativ.com/world/syria-world/isis-beheading-u-s-journalist-posted-youtube/</t>
  </si>
  <si>
    <t>That Boko Haram Ceasefire in Nigeria Isn't A Ceasefire</t>
  </si>
  <si>
    <t>68e65080-5969-11e4-aaf5-a1ddcfbcd5a9</t>
  </si>
  <si>
    <t>http://www.vocativ.com/world/nigeria-world/boko-haram-ceasefire/</t>
  </si>
  <si>
    <t>The video of a bird pooping on Vladimir Putin is a hoax</t>
  </si>
  <si>
    <t>3c6f1600-1bd3-11e4-8c09-cd48fe37674e</t>
  </si>
  <si>
    <t>http://www.vox.com/2014/8/4/5966211/heres-video-of-a-bird-pooping-on-vladimir-putin-in-the-middle-of-a</t>
  </si>
  <si>
    <t>www.vox.com</t>
  </si>
  <si>
    <t>Hong Kong's protesters are using the hands up, don't shoot gesture from Ferguson</t>
  </si>
  <si>
    <t>ad3c9580-47e1-11e4-9960-a165dd517bbb</t>
  </si>
  <si>
    <t>http://www.vox.com/2014/9/28/6860493/hong-kong-protests-mike-brown-ferguson</t>
  </si>
  <si>
    <t>Joan Rivers's Personal Doctor Denies Taking Operating-Room Selfie</t>
  </si>
  <si>
    <t>c684ca50-3ffb-11e4-bc0b-3f922b93930d</t>
  </si>
  <si>
    <t>http://www.vulture.com/2014/09/joan-rivers-doctor-denies-taking-or-selfie.html</t>
  </si>
  <si>
    <t>www.vulture.com</t>
  </si>
  <si>
    <t>Joan Rivers Doctor Allegedly Took a Selfie During Her Throat Surgery</t>
  </si>
  <si>
    <t>839ba510-3e57-11e4-bc0b-3f922b93930d</t>
  </si>
  <si>
    <t>http://www.vulture.com/2014/09/joan-rivers-doctor-took-a-selfie-during-surgery.html</t>
  </si>
  <si>
    <t>Staff Reporter</t>
  </si>
  <si>
    <t>0024ff70-ad6e-11e4-9a23-0b6010caa867</t>
  </si>
  <si>
    <t>http://www.wantchinatimes.com/news-subclass-cnt.aspx?id=20150205000035&amp;cid=1303</t>
  </si>
  <si>
    <t>www.wantchinatimes.com</t>
  </si>
  <si>
    <t>And finally: Apple Watch to launch 9 March with 100,000 apps</t>
  </si>
  <si>
    <t>920ae040-c1c2-11e4-8747-5b024dd6dd6c</t>
  </si>
  <si>
    <t>http://www.wareable.com/apple-watch/and-finally-apple-watch-to-launch-9-march-with-100000-apps</t>
  </si>
  <si>
    <t>www.wareable.com</t>
  </si>
  <si>
    <t>Fake Fox News Twitter account emerges after FoxNewsFacts goes viral</t>
  </si>
  <si>
    <t>f005b790-9a82-11e4-bf59-1bb8b99952ce</t>
  </si>
  <si>
    <t>http://www.washingtonexaminer.com/fake-fox-news-twitter-account-emerges-after-foxnewsfacts-goes-viral/article/2558511</t>
  </si>
  <si>
    <t>www.washingtonexaminer.com</t>
  </si>
  <si>
    <t>Wife, child of Islamic State head Abu Bakr al-Baghdadi held in Lebanon, officials say</t>
  </si>
  <si>
    <t>69506bf0-7af2-11e4-b794-93ed794d7b91</t>
  </si>
  <si>
    <t>http://www.washingtonpost.com/world/wife-daughter-of-islamic-state-head-detained-in-lebanon/2014/12/02/f00c29fa-4fa2-4c6f-afd4-801279e22754_story.html</t>
  </si>
  <si>
    <t>www.washingtonpost.com</t>
  </si>
  <si>
    <t>Amazon to launch first brick-and-mortar store, report says</t>
  </si>
  <si>
    <t>5e245090-4fe9-11e4-b6a0-9705a8f94440</t>
  </si>
  <si>
    <t>http://www.washingtonpost.com/business/economy/amazon-to-launch-first-brick-and-mortar-store-report-says/2012/02/06/gIQADB5OuQ_story.html</t>
  </si>
  <si>
    <t>Did Argentina's president adopt a Jewish boy to save him from life as a werewolf'?</t>
  </si>
  <si>
    <t>dc44f2d0-8f96-11e4-9799-c7e75be2bcad</t>
  </si>
  <si>
    <t>http://www.washingtonpost.com/blogs/worldviews/wp/2014/12/29/argentinas-president-adopts-jewish-boy-to-save-him-from-life-as-a-werewolf/</t>
  </si>
  <si>
    <t>Big Bank Hank of pioneering rap group Sugarhill Gang has died</t>
  </si>
  <si>
    <t>42201f40-69c6-11e4-b528-9d5aa2d2e8e7</t>
  </si>
  <si>
    <t>http://www.washingtonpost.com/blogs/style-blog/wp/2014/11/11/report-big-bank-hank-of-pioneering-rap-group-sugarhill-gang-has-died/</t>
  </si>
  <si>
    <t>News sites fall for Putin bird-dropping video</t>
  </si>
  <si>
    <t>3db29910-1c00-11e4-8c09-cd48fe37674e</t>
  </si>
  <si>
    <t>http://www.washingtonpost.com/blogs/erik-wemple/wp/2014/08/04/news-sites-fall-for-putin-bird-dropping-video/</t>
  </si>
  <si>
    <t>Satirical news site attacks China's weird English names</t>
  </si>
  <si>
    <t>3646f050-822f-11e4-be1a-2d20e0ce9757</t>
  </si>
  <si>
    <t>http://www.washingtonpost.com/blogs/worldviews/wp/2014/10/20/dont-give-yourself-an-english-stripper-name-warns-chinese-state-media/</t>
  </si>
  <si>
    <t>There was never a panel discussion on domestic violence planned for ESPN's Monday Night Football pregame show</t>
  </si>
  <si>
    <t>a9d90b40-47f9-11e4-9960-a165dd517bbb</t>
  </si>
  <si>
    <t>http://www.washingtonpost.com/blogs/early-lead/wp/2014/09/29/there-was-never-a-panel-discussion-on-domestic-violence-planned-for-espns-monday-night-football-pregame-show/</t>
  </si>
  <si>
    <t>Rumors about Fidel Castro's death again circulate on the Internet</t>
  </si>
  <si>
    <t>b1be0720-983f-11e4-bf59-1bb8b99952ce</t>
  </si>
  <si>
    <t>http://www.washingtonpost.com/blogs/worldviews/wp/2015/01/09/rumors-about-fidel-castros-fate-take-to-the-internet/</t>
  </si>
  <si>
    <t>White House confirms al-Shabab leader killed in airstrike in Somalia</t>
  </si>
  <si>
    <t>d81bf450-351a-11e4-a3fd-07e9a9d397df</t>
  </si>
  <si>
    <t>http://www.washingtonpost.com/world/national-security/pentagon-confirms-al-shabab-leader-killed-in-airstrike-in-somalia/2014/09/05/fc9fee06-3512-11e4-9e92-0899b306bbea_story.html</t>
  </si>
  <si>
    <t>U.S. accidentally delivered weapons to the Islamic State by airdrop, militants say</t>
  </si>
  <si>
    <t>8557f900-5a0c-11e4-aaf5-a1ddcfbcd5a9</t>
  </si>
  <si>
    <t>http://www.washingtonpost.com/news/checkpoint/wp/2014/10/21/u-s-accidentally-delivered-weapons-to-the-islamic-state-by-airdrop-militants-allege/</t>
  </si>
  <si>
    <t>An accidental delivery of arms to the Islamic State and the problem with airdrops</t>
  </si>
  <si>
    <t>c2f15080-7065-11e4-8e10-b9c720c188ba</t>
  </si>
  <si>
    <t>http://www.washingtonpost.com/news/morning-mix/wp/2014/10/22/an-accidental-delivery-of-arms-to-the-islamic-state-and-the-problem-with-airdrops/</t>
  </si>
  <si>
    <t>Islamic State claims it executed American photojournalist James Foley</t>
  </si>
  <si>
    <t>c2247500-2863-11e4-a916-bf0b27b73ad5</t>
  </si>
  <si>
    <t>http://www.washingtonpost.com/world/national-security/islamic-state-claims-it-beheaded-american-photojournalist-james-foley/2014/08/19/42e83970-27e6-11e4-86ca-6f03cbd15c1a_story.html</t>
  </si>
  <si>
    <t>Obama denounces killing of journalist James Foley and pledges justice</t>
  </si>
  <si>
    <t>e2041430-288f-11e4-a916-bf0b27b73ad5</t>
  </si>
  <si>
    <t>http://www.washingtonpost.com/world/national-security/us-weighs-response-to-apparent-execution-of-american-by-islamic-state/2014/08/20/e33558a8-287d-11e4-8593-da634b334390_story.html?hpid=z1</t>
  </si>
  <si>
    <t>Jihadi John: Islamic State killer is identified as Londoner Mohammed Emwazi</t>
  </si>
  <si>
    <t>8c9072f0-bdb3-11e4-b073-ed15c88bfa1e</t>
  </si>
  <si>
    <t>http://www.washingtonpost.com/world/national-security/jihadi-john-the-islamic-state-killer-behind-the-mask-is-a-young-londoner/2015/02/25/d6dbab16-bc43-11e4-bdfa-b8e8f594e6ee_story.html</t>
  </si>
  <si>
    <t>North Korean leader Kim Jong Un had ankle surgery, report says</t>
  </si>
  <si>
    <t>395f0870-48d9-11e4-9960-a165dd517bbb</t>
  </si>
  <si>
    <t>http://www.washingtonpost.com/world/north-korean-leader-kim-jong-un-had-ankle-surgery-report-says/2014/09/29/8973b009-5e5e-4001-b595-f677dd316de1_story.html</t>
  </si>
  <si>
    <t>Small meteorite strikes Nicaragua, government says</t>
  </si>
  <si>
    <t>844e8790-3847-11e4-ae63-d5574342724c</t>
  </si>
  <si>
    <t>http://www.washingtonpost.com/world/the_americas/small-meteorite-strikes-nicaragua-government-says/2014/09/07/8c8b3f7c-36dd-11e4-a023-1d61f7f31a05_story.html</t>
  </si>
  <si>
    <t>Doctor took a selfie when Joan Rivers was under anesthesia</t>
  </si>
  <si>
    <t>512bf670-3e57-11e4-bc0b-3f922b93930d</t>
  </si>
  <si>
    <t>http://www.washingtonpost.com/news/morning-mix/wp/2014/09/17/report-doctor-took-a-selfie-when-joan-rivers-was-under-anesthesia/</t>
  </si>
  <si>
    <t>Gwen Korovin, Joan Rivers's doctor, denies taking selfie</t>
  </si>
  <si>
    <t>72521280-3ffb-11e4-bc0b-3f922b93930d</t>
  </si>
  <si>
    <t>http://www.washingtonpost.com/news/morning-mix/wp/2014/09/19/gwen-korovin-joan-riverss-doctor-denies-taking-selfie/</t>
  </si>
  <si>
    <t>Video messaging service verifies timing of CNN audio recording</t>
  </si>
  <si>
    <t>ea3e34c0-36c5-11e4-ae63-d5574342724c</t>
  </si>
  <si>
    <t>http://www.washingtonpost.com/blogs/erik-wemple/wp/2014/08/28/video-messaging-service-verifies-timing-of-cnn-audio-recording/</t>
  </si>
  <si>
    <t>Audio recording allegedly captures at least 10 shots fired in Michael Brown killing</t>
  </si>
  <si>
    <t>63dcfac0-2d69-11e4-89c5-1d389b94bc4b</t>
  </si>
  <si>
    <t>http://www.washingtonpost.com/news/post-nation/wp/2014/08/26/audio-recording-allegedly-captures-at-least-10-shots-fired-in-michael-brown-killing/</t>
  </si>
  <si>
    <t>U.S. confirms authenticity of second journalist beheading video</t>
  </si>
  <si>
    <t>81023f00-4198-11e4-9e78-ff09d5b0049d</t>
  </si>
  <si>
    <t>http://www.washingtonpost.com/world/national-security/islamic-state-claims-to-have-beheaded-american-journalist-steven-sotloff/2014/09/02/ae5e8ffa-32c3-11e4-9e92-0899b306bbea_story.html</t>
  </si>
  <si>
    <t>Michael Phelps alleged girlfriend says she was born intersex</t>
  </si>
  <si>
    <t>3d9b63a0-70db-11e4-8e10-b9c720c188ba</t>
  </si>
  <si>
    <t>http://www.washingtonpost.com/blogs/early-lead/wp/2014/11/20/michael-phelps-alleged-girlfriend-says-she-was-born-intersex/</t>
  </si>
  <si>
    <t>9e803de0-70df-11e4-8e10-b9c720c188ba</t>
  </si>
  <si>
    <t>Islamic tribunal confirmed in Texas</t>
  </si>
  <si>
    <t>e8ad5c80-a7cc-11e4-aa4f-ff16e52e0d56</t>
  </si>
  <si>
    <t>http://www.washingtonpost.com/news/volokh-conspiracy/wp/2015/01/28/islamic-tribunal-confirmed-in-texas/</t>
  </si>
  <si>
    <t>North Korea ordered citizens named Kim Jong Un to change their names, says new report</t>
  </si>
  <si>
    <t>4cde70a0-7b94-11e4-b794-93ed794d7b91</t>
  </si>
  <si>
    <t>http://www.washingtonpost.com/blogs/worldviews/wp/2014/12/03/north-korea-ordered-citizens-named-kim-jong-un-to-change-their-names-says-new-report/</t>
  </si>
  <si>
    <t>Islamic State leader Abu Bakr al-Baghdadi: Wounded, dead or missed entirely by U.S. airstrikes?</t>
  </si>
  <si>
    <t>bb527e70-68e6-11e4-b528-9d5aa2d2e8e7</t>
  </si>
  <si>
    <t>http://www.washingtonpost.com/news/morning-mix/wp/2014/11/10/why-its-so-hard-to-kill-islamic-state-leader-abu-bakr-al-baghdadi/?tid=hp_mm</t>
  </si>
  <si>
    <t>No, there aren't any Ebola cases in Iraq</t>
  </si>
  <si>
    <t>3a6e0a20-95ca-11e4-87a8-1d5d45e62193</t>
  </si>
  <si>
    <t>http://www.washingtonpost.com/news/checkpoint/wp/2015/01/06/no-there-arent-any-ebola-cases-in-iraq/</t>
  </si>
  <si>
    <t>Islamic State militants allegedly used chlorine gas against Iraqi security forces</t>
  </si>
  <si>
    <t>b48d35e0-5af8-11e4-a887-2324afc3f9a8</t>
  </si>
  <si>
    <t>http://www.washingtonpost.com/world/middle_east/islamic-state-militants-allegedly-used-chlorine-gas-against-iraqi-security-forces/2014/10/23/c865c943-1c93-4ac0-a7ed-033218f15cbb_story.html?hpid=z1</t>
  </si>
  <si>
    <t>Six months after abducting Nigerian schoolgirls, Boko Haram reportedly wants to free them</t>
  </si>
  <si>
    <t>5c78a270-5636-11e4-aaf5-a1ddcfbcd5a9</t>
  </si>
  <si>
    <t>http://www.washingtonpost.com/blogs/worldviews/wp/2014/10/17/six-months-after-abducting-nigerian-schoolgirls-boko-haram-reportedly-wants-to-free-them/</t>
  </si>
  <si>
    <t>Canadian official identifies dead Ottawa gunman as Michael Zehaf-Bibeau</t>
  </si>
  <si>
    <t>692fb6b0-5a47-11e4-aaf5-a1ddcfbcd5a9</t>
  </si>
  <si>
    <t>http://www.washingtonpost.com/world/the_americas/canadian-official-identifies-dead-ottawa-gunman-as-michael-zehaf-bibeau/2014/10/22/7eb553ca-5a31-11e4-9d6c-756a229d8b18_story.html</t>
  </si>
  <si>
    <t>Not coming to a store near you: The pumpkin spice condom</t>
  </si>
  <si>
    <t>c87e9d00-3780-11e4-ae63-d5574342724c</t>
  </si>
  <si>
    <t>http://www.washingtonpost.com/news/post-nation/wp/2014/09/08/not-coming-to-a-store-near-you-the-pumpkin-spice-condom/</t>
  </si>
  <si>
    <t>What was fake on the Internet this week: Obama's peace prize, pumpkin-spice condoms and insane winter snow</t>
  </si>
  <si>
    <t>06a57f20-3aad-11e4-bc0b-3f922b93930d</t>
  </si>
  <si>
    <t>http://www.washingtonpost.com/news/the-intersect/wp/2014/09/12/what-was-fake-on-the-internet-this-week-obamas-peace-prize-pumpkin-spice-condoms-and-insane-winter-snow/</t>
  </si>
  <si>
    <t>Tiger Woods is not on suspension for failing a drug test, his agent and a PGA official say</t>
  </si>
  <si>
    <t>cd97ea80-c105-11e4-8747-5b024dd6dd6c</t>
  </si>
  <si>
    <t>http://www.washingtonpost.com/blogs/early-lead/wp/2015/03/02/tiger-woods-is-not-on-suspension-for-failing-a-drug-test-his-agent-and-a-pga-official-say/</t>
  </si>
  <si>
    <t>Pierson confirms fence jumper's White House path</t>
  </si>
  <si>
    <t>b206e660-48b3-11e4-9960-a165dd517bbb</t>
  </si>
  <si>
    <t>http://www.washingtonpost.com/blogs/post-politics-live/liveblog/live-updates-hearing-on-white-house-security-and-the-secret-service/?hpid=z2#e27dfb1c-268e-4c14-9379-18fbf54730cd</t>
  </si>
  <si>
    <t>White House fence-jumper made it far deeper into building than previously known</t>
  </si>
  <si>
    <t>60c1fbc0-481b-11e4-9960-a165dd517bbb</t>
  </si>
  <si>
    <t>http://www.washingtonpost.com/politics/white-house-fence-jumper-made-it-far-deeper-into-building-than-previously-known/2014/09/29/02efd53e-47ea-11e4-a046-120a8a855cca_story.html?hpid=z1</t>
  </si>
  <si>
    <t>James Foley family: Obama officials vowed criminal charges if we paid son's ransom</t>
  </si>
  <si>
    <t>608be1f0-42c8-11e4-9e78-ff09d5b0049d</t>
  </si>
  <si>
    <t>http://www.washingtontimes.com/news/2014/sep/12/james-foley-family-obama-officials-vowed-criminal-/</t>
  </si>
  <si>
    <t>www.washingtontimes.com</t>
  </si>
  <si>
    <t>Hong Kong protesters go Ferguson style: Hands up, don't shoot</t>
  </si>
  <si>
    <t>25be2530-49c9-11e4-9960-a165dd517bbb</t>
  </si>
  <si>
    <t>http://www.washingtontimes.com/news/2014/sep/30/hong-kong-protesters-go-ferguson-style-hands-up-do/</t>
  </si>
  <si>
    <t>Islamic State puts James Foley's body up for sale for 1M</t>
  </si>
  <si>
    <t>02560bb0-8139-11e4-8faa-9748b2fc07a1</t>
  </si>
  <si>
    <t>http://www.washingtontimes.com/news/2014/dec/11/islamic-state-puts-james-foley-body-up-for-sale/</t>
  </si>
  <si>
    <t>American Airlines boots man from plane after Merry Christmas prompts meltdown</t>
  </si>
  <si>
    <t>984f2230-8c76-11e4-9799-c7e75be2bcad</t>
  </si>
  <si>
    <t>http://www.washingtontimes.com/news/2014/dec/25/american-airlines-boots-man-christmas-meltdown/</t>
  </si>
  <si>
    <t>Yemen's Houthi rebels seize U.S. Marines weapons at airport</t>
  </si>
  <si>
    <t>ab4acec0-b499-11e4-8507-b58af63d1078</t>
  </si>
  <si>
    <t>http://www.washingtontimes.com/news/2015/feb/11/yemen-houthi-rebels-seize-us-marines-weapons/</t>
  </si>
  <si>
    <t>b01279a0-a69b-11e4-aa4f-ff16e52e0d56</t>
  </si>
  <si>
    <t>http://www.washingtontimes.com/news/2015/jan/27/michelle-obamas-face-blurred-by-saudi-state-televi/</t>
  </si>
  <si>
    <t>Saudi cleric issues fatwa against building snowmen</t>
  </si>
  <si>
    <t>b29408b0-9a98-11e4-bf59-1bb8b99952ce</t>
  </si>
  <si>
    <t>http://www.washingtontimes.com/news/2015/jan/12/saudi-cleric-issues-fatwa-against-building-snowmen/</t>
  </si>
  <si>
    <t>Texas boy, 9, suspended for threatening to use Hobbit magic, dad says</t>
  </si>
  <si>
    <t>ec837ba0-ab0a-11e4-9a23-0b6010caa867</t>
  </si>
  <si>
    <t>http://www.washingtontimes.com/news/2015/feb/1/texas-boy-9-suspended-for-threatening-to-use-hobbi/</t>
  </si>
  <si>
    <t>Taliban member swapped by Obama for Bowe Bergdahl tried to return to terror: report</t>
  </si>
  <si>
    <t>5e9dabf0-a8a1-11e4-a133-7514623ae047</t>
  </si>
  <si>
    <t>http://www.washingtontimes.com/news/2015/jan/29/obama-released-taliban-member-swapped-bowe-bergdah/</t>
  </si>
  <si>
    <t>Missing Libyan jetliners raise fears of terror attacks on 911</t>
  </si>
  <si>
    <t>0f5ef0b0-33cd-11e4-8453-710264d9a1f8</t>
  </si>
  <si>
    <t>http://www.washingtontimes.com/news/2014/sep/2/missing-libyan-jetliners-raise-fears-terror-attack/</t>
  </si>
  <si>
    <t>Spiderman squished: Perth experts debunk spider burrowing claims</t>
  </si>
  <si>
    <t>74590ad0-565c-11e4-aaf5-a1ddcfbcd5a9</t>
  </si>
  <si>
    <t>http://www.watoday.com.au/wa-news/spiderman-squished-perth-experts-debunk-spider-burrowing-claims-20141017-117num.html</t>
  </si>
  <si>
    <t>www.watoday.com.au</t>
  </si>
  <si>
    <t>Team 5 source: Missing Afghan soldiers found at Canadian border</t>
  </si>
  <si>
    <t>0a0ab070-427f-11e4-9e78-ff09d5b0049d</t>
  </si>
  <si>
    <t>http://www.wcvb.com/news/3-afghan-military-officers-missing-from-cape-cod-military-base/28183166#ixzz3E47wO7Uo</t>
  </si>
  <si>
    <t>www.wcvb.com</t>
  </si>
  <si>
    <t>Small Meteorite Strikes in Nicaragua's Capital City of Managua</t>
  </si>
  <si>
    <t>e375b4a0-383d-11e4-ae63-d5574342724c</t>
  </si>
  <si>
    <t>http://www.weather.com/news/science/space/nicaragua-meteorite-20140907</t>
  </si>
  <si>
    <t>www.weather.com</t>
  </si>
  <si>
    <t>ISIS Getting Ebola</t>
  </si>
  <si>
    <t>97c41860-9299-11e4-b271-b1de57982894</t>
  </si>
  <si>
    <t>http://www.weeklystandard.com/blogs/isis-getting-ebola_822644.html</t>
  </si>
  <si>
    <t>www.weeklystandard.com</t>
  </si>
  <si>
    <t>Giant Crab</t>
  </si>
  <si>
    <t>3a95a550-555e-11e4-aaf5-a1ddcfbcd5a9</t>
  </si>
  <si>
    <t>http://www.weirdwhitstable.co.uk/Weird_Whitstable/PH_6.html</t>
  </si>
  <si>
    <t>www.weirdwhitstable.co.uk</t>
  </si>
  <si>
    <t>AP Police say gunman in FSU library shooting, Myron May, was alumnus</t>
  </si>
  <si>
    <t>f7f0f200-70d7-11e4-8e10-b9c720c188ba</t>
  </si>
  <si>
    <t>http://www.wesh.com/news/police-gunman-in-fsu-shooting-killed-by-officers/29833208</t>
  </si>
  <si>
    <t>www.wesh.com</t>
  </si>
  <si>
    <t>The pumpkin spice condom is not happening</t>
  </si>
  <si>
    <t>d0307f40-3817-11e4-ae63-d5574342724c</t>
  </si>
  <si>
    <t>http://www.wesh.com/video/buzz60/the-pumpkin-spice-condom-is-not-happening/27939398</t>
  </si>
  <si>
    <t>Islamic Tribunal Using Sharia Law In Texas Has Been Confirmed Tribunal members say they will avoid Sharia's criminal law.</t>
  </si>
  <si>
    <t>d93406f0-a7cc-11e4-aa4f-ff16e52e0d56</t>
  </si>
  <si>
    <t>http://www.westernjournalism.com/islamic-tribunal-using-sharia-law-texas-confirmed/#6VYDoMgYcXkUmqIQ.97</t>
  </si>
  <si>
    <t>www.westernjournalism.com</t>
  </si>
  <si>
    <t>Missing Nuke In Colorado Sparks Intense Russian Fears</t>
  </si>
  <si>
    <t>f80abf60-533a-11e4-b6a0-9705a8f94440</t>
  </si>
  <si>
    <t>http://www.whatdoesitmean.com/index1809.htm</t>
  </si>
  <si>
    <t>www.whatdoesitmean.com</t>
  </si>
  <si>
    <t>Yang Hu, worker in Zhejiang, cuts off own penis over desperation of finding love</t>
  </si>
  <si>
    <t>1d3dc5a0-a5c7-11e4-aa4f-ff16e52e0d56</t>
  </si>
  <si>
    <t>http://www.whatsonsanya.com/news-29087-yang-hu-worker-in-zhejiang-cuts-off-own-penis-over-desperation-of-finding-love.html</t>
  </si>
  <si>
    <t>www.whatsonsanya.com</t>
  </si>
  <si>
    <t>KC Man Does Not Have Ebola</t>
  </si>
  <si>
    <t>06c9c1a0-4e85-11e4-949b-f14041b20838</t>
  </si>
  <si>
    <t>http://www.wibw.com/home/headlines/KC-Man-Does-Not-Have-Ebola--278193391.html</t>
  </si>
  <si>
    <t>www.wibw.com</t>
  </si>
  <si>
    <t>British aid worker David Haines beheaded by ISIL</t>
  </si>
  <si>
    <t>62495cd0-3c9b-11e4-bc0b-3f922b93930d</t>
  </si>
  <si>
    <t>http://www.wjla.com/articles/2014/09/video-purports-to-show-beheading-of-british-aid-worker-david-haines-by-islamic-state-group-107093.html</t>
  </si>
  <si>
    <t>www.wjla.com</t>
  </si>
  <si>
    <t>7 teen girls get pregnant on school trip Read more at http:www.wnd.com2014127-teen-girls-get-pregnant-on-school-tripF5filOd6yFpASPV9.99</t>
  </si>
  <si>
    <t>4f3266c0-8abe-11e4-adc5-33f8455b16a2</t>
  </si>
  <si>
    <t>http://www.wnd.com/2014/12/7-teen-girls-get-pregnant-on-school-trip/</t>
  </si>
  <si>
    <t>www.wnd.com</t>
  </si>
  <si>
    <t>11 jetliners missing after Islamist takeover of airport</t>
  </si>
  <si>
    <t>09a07360-33cd-11e4-8453-710264d9a1f8</t>
  </si>
  <si>
    <t>http://www.wnd.com/2014/09/11-jetliners-missing-after-islamist-takeover-of-airport/</t>
  </si>
  <si>
    <t>Iraqi media: ISIS militants have contracted Ebola</t>
  </si>
  <si>
    <t>87ab4e80-9299-11e4-b271-b1de57982894</t>
  </si>
  <si>
    <t>http://www.wnd.com/2015/01/iraqi-media-isis-militants-have-contracted-ebola/</t>
  </si>
  <si>
    <t>Batmobile Stolen From Batman v Superman: Dawn of Justice Set, Zack Snyder Knows Who Did It</t>
  </si>
  <si>
    <t>9b4974a0-3c20-11e4-bc0b-3f922b93930d</t>
  </si>
  <si>
    <t>http://www.worstpreviews.com/headline.php?id=31934</t>
  </si>
  <si>
    <t>www.worstpreviews.com</t>
  </si>
  <si>
    <t>157f64b0-3e00-11e4-bc0b-3f922b93930d</t>
  </si>
  <si>
    <t>http://www.wptz.com/entertainment/source-joan-rivers-doc-did-biopsy-selfie/28093698</t>
  </si>
  <si>
    <t>www.wptz.com</t>
  </si>
  <si>
    <t>What Exactly Is an Apple Watch For?</t>
  </si>
  <si>
    <t>e7297b70-c282-11e4-8747-5b024dd6dd6c</t>
  </si>
  <si>
    <t>http://www.wsj.com/articles/challenge-of-apple-watch-defining-its-purpose-1424133615?KEYWORDS=apple+challenge</t>
  </si>
  <si>
    <t>www.wsj.com</t>
  </si>
  <si>
    <t>Video purports to show beheading of US journalist</t>
  </si>
  <si>
    <t>dd427130-32c6-11e4-8453-710264d9a1f8</t>
  </si>
  <si>
    <t>http://www.wtsp.com/story/news/2014/09/02/video-beheading-steven-sotloff/14970485/</t>
  </si>
  <si>
    <t>www.wtsp.com</t>
  </si>
  <si>
    <t>Tampa woman claims to add 3rd breast</t>
  </si>
  <si>
    <t>5be4e2f0-4327-11e4-9e78-ff09d5b0049d</t>
  </si>
  <si>
    <t>http://www.wtsp.com/story/news/local/2014/09/22/tampa-woman-claims-to-add-3rd-breast/16083847/</t>
  </si>
  <si>
    <t>Woman with three breasts: Real or hoax?</t>
  </si>
  <si>
    <t>bf87ab40-4358-11e4-9e78-ff09d5b0049d</t>
  </si>
  <si>
    <t>http://www.wtsp.com/story/news/weird/2014/09/23/tampa-three-breasted-woman-hoax/16103527/</t>
  </si>
  <si>
    <t>Missing Afghan soldiers found at Canadian border</t>
  </si>
  <si>
    <t>eb35ed90-427e-11e4-9e78-ff09d5b0049d</t>
  </si>
  <si>
    <t>http://www.wyff4.com/national/afghan-soldiers-go-missing-in-massachusetts/28181426</t>
  </si>
  <si>
    <t>www.wyff4.com</t>
  </si>
  <si>
    <t>140ebe50-a1c4-11e4-a353-5b831fe927be</t>
  </si>
  <si>
    <t>http://www.wzzm13.com/story/news/2015/01/17/ann-arbor-pizza-delivery-driver-surprised-with-2000-tip/21912279/</t>
  </si>
  <si>
    <t>www.wzzm13.com</t>
  </si>
  <si>
    <t>Apple Plans to Phase Out Beats Music Brand</t>
  </si>
  <si>
    <t>010052c0-429b-11e4-9e78-ff09d5b0049d</t>
  </si>
  <si>
    <t>https://www.yahoo.com/tech/report-apple-plans-to-phase-out-beats-music-brand-98167475364.html</t>
  </si>
  <si>
    <t>www.yahoo.com</t>
  </si>
  <si>
    <t>49b1d210-a7e4-11e4-a43b-f10f6756f801</t>
  </si>
  <si>
    <t>https://www.yahoo.com/tech/s/still-order-mcpizza-two-mcdonald-locations-224011764.html</t>
  </si>
  <si>
    <t>43af3f40-c361-11e4-9435-a96703525a9e</t>
  </si>
  <si>
    <t>https://www.yahoo.com/tech/s/samsung-reportedly-making-secret-chip-apple-watch-231550704.html</t>
  </si>
  <si>
    <t>Israeli-Canadian woman fighting Islamic State has been kidnapped by terror group</t>
  </si>
  <si>
    <t>03e98a30-78b8-11e4-b794-93ed794d7b91</t>
  </si>
  <si>
    <t>http://www.ynetnews.com/articles/0,7340,L-4597888,00.html</t>
  </si>
  <si>
    <t>www.ynetnews.com</t>
  </si>
  <si>
    <t>Have Kanye Kim Been Banned From Future Grammy Ceremonies?</t>
  </si>
  <si>
    <t>95ca0180-b163-11e4-9a23-0b6010caa867</t>
  </si>
  <si>
    <t>http://www.yourdailyscoop.com/have-kanye-kim-been-banned-from-future-grammy-ceremonies/</t>
  </si>
  <si>
    <t>www.yourdailyscoop.com</t>
  </si>
  <si>
    <t>Apple Watch may be powered by Samsung processor</t>
  </si>
  <si>
    <t>2897f230-c364-11e4-9435-a96703525a9e</t>
  </si>
  <si>
    <t>http://www.zdnet.com/article/apple-watch-may-be-powered-by-samsung-processor/</t>
  </si>
  <si>
    <t>www.zdnet.com</t>
  </si>
  <si>
    <t>US Ally Saudi Arabia Starts Gender Segregation On National Airline</t>
  </si>
  <si>
    <t>e2069d10-947b-11e4-b6bf-fdc8b7e3bcff</t>
  </si>
  <si>
    <t>http://www.zerohedge.com/news/2015-01-02/us-ally-saudi-arabia-starts-gender-segregation-national-airline</t>
  </si>
  <si>
    <t>www.zerohedge.com</t>
  </si>
  <si>
    <t>It Begins: HazMat-Wearing Passenger Spotted At Airport</t>
  </si>
  <si>
    <t>dc3aab80-54af-11e4-b6a0-9705a8f94440</t>
  </si>
  <si>
    <t>http://www.zerohedge.com/news/2014-10-15/it-begins-hazmat-wearing-passenger-spotted-airport</t>
  </si>
  <si>
    <t>ISIS Unleash Scorpion Bombs In Iraq</t>
  </si>
  <si>
    <t>fcae2370-85f5-11e4-b1b5-4f1bd36cbfc6</t>
  </si>
  <si>
    <t>http://www.zerohedge.com/news/2014-12-16/isis-unleash-scorpion-bombs-iraq</t>
  </si>
  <si>
    <t>Saudi Stocks, Currency Tumble As Aramco Pipeline Explodes ISIS Sabotage Concerns</t>
  </si>
  <si>
    <t>fe76a9c0-650c-11e4-b3d8-a32d8ec8ad5e</t>
  </si>
  <si>
    <t>http://www.zerohedge.com/news/2014-11-05/isis-sabotage-saudi-stocks-currency-tumble-aramco-pipeline-explodes</t>
  </si>
  <si>
    <t>Weaponized Ebola? ISIS Militants Said To Contract Deadly Virus</t>
  </si>
  <si>
    <t>94d922e0-9298-11e4-b271-b1de57982894</t>
  </si>
  <si>
    <t>http://www.zerohedge.com/news/2015-01-01/weaponized-ebola-isis-militants-said-contract-deadly-virus</t>
  </si>
  <si>
    <t>Angry mob cut off rapist's penis with meat cleaver VIEWER DISCRETION</t>
  </si>
  <si>
    <t>f021cdd0-a4c4-11e4-aa4f-ff16e52e0d56</t>
  </si>
  <si>
    <t>http://ynaija.com/angry-mob-cut-rapists-penis-meat-cleaver-viewer-discretion/</t>
  </si>
  <si>
    <t>ynaija.com</t>
  </si>
  <si>
    <t>Iraqi Army Downs Two UK Planes Carrying Weapons for ISIS</t>
  </si>
  <si>
    <t>f64b09f0-bd25-11e4-b073-ed15c88bfa1e</t>
  </si>
  <si>
    <t>http://yournewswire.com/iraqi-army-downs-two-uk-planes-carrying-weapons-for-isis/</t>
  </si>
  <si>
    <t>yournewswire.com</t>
  </si>
  <si>
    <t>Unconfirmed reports saying ISIS UK Hostage David Haines Beheaded</t>
  </si>
  <si>
    <t>01f20340-3c9c-11e4-bc0b-3f922b93930d</t>
  </si>
  <si>
    <t>http://yournewswire.com/breaking-unconfirmed-reports-saying-isis-uk-hostage-david-haines-beheaded/</t>
  </si>
  <si>
    <t>Police Chief In Charge of Paris Attacks Commits Suicide</t>
  </si>
  <si>
    <t>0c855a90-99f9-11e4-bf59-1bb8b99952ce</t>
  </si>
  <si>
    <t>http://yournewswire.com/police-chief-in-charge-of-paris-attacks-commits-suicide/</t>
  </si>
  <si>
    <t>David Haines beheading video confirmed genuine UK PM Cameron vows to hunt down ISIS monsters</t>
  </si>
  <si>
    <t>f13eaa40-3c9f-11e4-bc0b-3f922b93930d</t>
  </si>
  <si>
    <t>http://zeenews.india.com/news/world/david-haines-beheading-video-confirmed-genuine-uk-pm-cameron-vows-to-hunt-down-isis-monsters_1469821.html</t>
  </si>
  <si>
    <t>zeenews.india.com</t>
  </si>
  <si>
    <t>Fence jumper reportedly made it much further into White House than Secret Service said</t>
  </si>
  <si>
    <t>aaa0b320-481c-11e4-9960-a165dd517bbb</t>
  </si>
  <si>
    <t>daada480-481a-11e4-9960-a165dd517</t>
  </si>
  <si>
    <t>new order of business</t>
  </si>
  <si>
    <t>ads:</t>
  </si>
  <si>
    <t>clickbaits:</t>
  </si>
  <si>
    <t xml:space="preserve">headlines are given, no need to scrape </t>
  </si>
  <si>
    <t xml:space="preserve">either: </t>
  </si>
  <si>
    <t>figure out how the other people's clickbait checker works</t>
  </si>
  <si>
    <t xml:space="preserve">make my own from scratch </t>
  </si>
  <si>
    <t xml:space="preserve">urls are given, no need to scrape </t>
  </si>
  <si>
    <t>either:</t>
  </si>
  <si>
    <t xml:space="preserve">figure out requests to get tags </t>
  </si>
  <si>
    <t>manually find the ad tags for top sources</t>
  </si>
  <si>
    <t xml:space="preserve">loop around for the available tags in a script </t>
  </si>
  <si>
    <t>shanghaiist.com</t>
  </si>
  <si>
    <t xml:space="preserve">compare ad blocked and non adblocked html </t>
  </si>
  <si>
    <t xml:space="preserve">manually cannot work because not every page is set up the same </t>
  </si>
  <si>
    <t>also seeing "sponsored links" is hard. Not a good strategy for data collection</t>
  </si>
  <si>
    <t xml:space="preserve">^ I need to move here </t>
  </si>
  <si>
    <t>occurance</t>
  </si>
  <si>
    <t>num_occuring</t>
  </si>
  <si>
    <t>www.huffingtonpost.com (plus UK)</t>
  </si>
  <si>
    <t>top_occuring_sources</t>
  </si>
  <si>
    <t>done?</t>
  </si>
  <si>
    <t>more than 10 articles per source</t>
  </si>
  <si>
    <t>num observing tot</t>
  </si>
  <si>
    <t>2paragraphs.com.csv</t>
  </si>
  <si>
    <t>abna.ir.csv</t>
  </si>
  <si>
    <t>addictinginfo.org.csv</t>
  </si>
  <si>
    <t>almasryalyoum.com.csv</t>
  </si>
  <si>
    <t>alsabaah.iq.csv</t>
  </si>
  <si>
    <t>americasmarkets.usatoday.com.csv</t>
  </si>
  <si>
    <t>apfelpage.de.csv</t>
  </si>
  <si>
    <t>appy-geek.com.csv</t>
  </si>
  <si>
    <t>au.ibtimes.com.csv</t>
  </si>
  <si>
    <t>au.tv.yahoo.com.csv</t>
  </si>
  <si>
    <t>austriantimes.at.csv</t>
  </si>
  <si>
    <t>bbc-news.co.uk.csv</t>
  </si>
  <si>
    <t>bedfordshire-news.co.uk.csv</t>
  </si>
  <si>
    <t>beforeitsnews.com.csv</t>
  </si>
  <si>
    <t>bigstory.ap.org.csv</t>
  </si>
  <si>
    <t>bizbeatblog.dallasnews.com.csv</t>
  </si>
  <si>
    <t>blogs.miaminewtimes.com.csv</t>
  </si>
  <si>
    <t>blogs.montrealgazette.com.csv</t>
  </si>
  <si>
    <t>blogs.riverfronttimes.com.csv</t>
  </si>
  <si>
    <t>blogs.strategyanalytics.com.csv</t>
  </si>
  <si>
    <t>bloombergview.com.csv</t>
  </si>
  <si>
    <t>bostinno.streetwise.co.csv</t>
  </si>
  <si>
    <t>businessweek.com.csv</t>
  </si>
  <si>
    <t>ca.complex.com.csv</t>
  </si>
  <si>
    <t>ca.eonline.com.csv</t>
  </si>
  <si>
    <t>ca.shine.yahoo.com.csv</t>
  </si>
  <si>
    <t>canadajournal.net.csv</t>
  </si>
  <si>
    <t>capitalfm.co.ke.csv</t>
  </si>
  <si>
    <t>centralasiaonline.com.csv</t>
  </si>
  <si>
    <t>chicago.barstoolsports.com.csv</t>
  </si>
  <si>
    <t>cir.ca.csv</t>
  </si>
  <si>
    <t>cnews.canoe.ca.csv</t>
  </si>
  <si>
    <t>conservativetribune.com.csv</t>
  </si>
  <si>
    <t>countercurrentnews.com.csv</t>
  </si>
  <si>
    <t>dailycurrant.com.csv</t>
  </si>
  <si>
    <t>didsburyreview.ca.csv</t>
  </si>
  <si>
    <t>disinfo.com.csv</t>
  </si>
  <si>
    <t>empirenews.net.csv</t>
  </si>
  <si>
    <t>en.huxiu.com.csv</t>
  </si>
  <si>
    <t>en.ria.ru.csv</t>
  </si>
  <si>
    <t>english.farsnews.com.csv</t>
  </si>
  <si>
    <t>english.pravda.ru.csv</t>
  </si>
  <si>
    <t>factually.gizmodo.com.csv</t>
  </si>
  <si>
    <t>fansided.com.csv</t>
  </si>
  <si>
    <t>foxnews.es.csv</t>
  </si>
  <si>
    <t>globalvoicesonline.org.csv</t>
  </si>
  <si>
    <t>grail-watch.com.csv</t>
  </si>
  <si>
    <t>gtrk-omsk.ru.csv</t>
  </si>
  <si>
    <t>hardballtalk.nbcsports.com.csv</t>
  </si>
  <si>
    <t>homes.yahoo.com.csv</t>
  </si>
  <si>
    <t>hundrednews.com.csv</t>
  </si>
  <si>
    <t>i100.independent.co.uk.csv</t>
  </si>
  <si>
    <t>ibnlive.in.com.csv</t>
  </si>
  <si>
    <t>idevicedailys.com.csv</t>
  </si>
  <si>
    <t>ikwiz.com.csv</t>
  </si>
  <si>
    <t>indiatoday.intoday.in.csv</t>
  </si>
  <si>
    <t>injusticestories.com.csv</t>
  </si>
  <si>
    <t>jjxzdwy.ktimes.co.kr.csv</t>
  </si>
  <si>
    <t>jpupdates.com.csv</t>
  </si>
  <si>
    <t>knowmore.washingtonpost.com.csv</t>
  </si>
  <si>
    <t>koreabizwire.com.csv</t>
  </si>
  <si>
    <t>koreajoongangdaily.joins.com.csv</t>
  </si>
  <si>
    <t>ksfm.cbslocal.com.csv</t>
  </si>
  <si>
    <t>kvil.cbslocal.com.csv</t>
  </si>
  <si>
    <t>latino.foxnews.com.csv</t>
  </si>
  <si>
    <t>lifenews.ru.csv</t>
  </si>
  <si>
    <t>m.fastcocreate.com.csv</t>
  </si>
  <si>
    <t>mawtani.al-shorfa.com.csv</t>
  </si>
  <si>
    <t>mediablackoutusa.com.csv</t>
  </si>
  <si>
    <t>milano.corriere.it.csv</t>
  </si>
  <si>
    <t>money.udn.com.csv</t>
  </si>
  <si>
    <t>msmbc.co.csv</t>
  </si>
  <si>
    <t>msnbc.website.csv</t>
  </si>
  <si>
    <t>mysteriousuniverse.org.csv</t>
  </si>
  <si>
    <t>nation.foxnews.com.csv</t>
  </si>
  <si>
    <t>national.suntimes.com.csv</t>
  </si>
  <si>
    <t>nbctoday.co.csv</t>
  </si>
  <si>
    <t>news.discovery.com.csv</t>
  </si>
  <si>
    <t>news.distractify.com.csv</t>
  </si>
  <si>
    <t>news.khan.co.kr.csv</t>
  </si>
  <si>
    <t>news.msn.co.nz.csv</t>
  </si>
  <si>
    <t>news.mydrivers.com.csv</t>
  </si>
  <si>
    <t>newsafricanow.com.csv</t>
  </si>
  <si>
    <t>newsfeed.gawker.com.csv</t>
  </si>
  <si>
    <t>notallowedto.com.csv</t>
  </si>
  <si>
    <t>oilpro.com.csv</t>
  </si>
  <si>
    <t>omskgazzeta.ru.csv</t>
  </si>
  <si>
    <t>plus.google.com.csv</t>
  </si>
  <si>
    <t>popwatch.ew.com.csv</t>
  </si>
  <si>
    <t>reseauinternational.net.csv</t>
  </si>
  <si>
    <t>slam.canoe.ca.csv</t>
  </si>
  <si>
    <t>source.csv</t>
  </si>
  <si>
    <t>springsadvertiser.co.za.csv</t>
  </si>
  <si>
    <t>syriahr.com.csv</t>
  </si>
  <si>
    <t>tech.firstpost.com.csv</t>
  </si>
  <si>
    <t>the-peoplesnews.com.csv</t>
  </si>
  <si>
    <t>theantimedia.org.csv</t>
  </si>
  <si>
    <t>themichaelreport.com.csv</t>
  </si>
  <si>
    <t>thenet.ng.csv</t>
  </si>
  <si>
    <t>theracketreport.com.csv</t>
  </si>
  <si>
    <t>thescoopblog.dallasnews.com.csv</t>
  </si>
  <si>
    <t>travel.aol.co.uk.csv</t>
  </si>
  <si>
    <t>twitter.csv</t>
  </si>
  <si>
    <t>uniladmag.com.csv</t>
  </si>
  <si>
    <t>uprootedpalestinians.wordpress.com.csv</t>
  </si>
  <si>
    <t>urbanlegends.about.com.csv</t>
  </si>
  <si>
    <t>us.india.com.csv</t>
  </si>
  <si>
    <t>usvsth3m.com.csv</t>
  </si>
  <si>
    <t>verne.elpais.com.csv</t>
  </si>
  <si>
    <t>video.roanoke.com.csv</t>
  </si>
  <si>
    <t>viral4real.com.csv</t>
  </si>
  <si>
    <t>wearabletechnologies.co.uk.csv</t>
  </si>
  <si>
    <t>web.orange.co.uk.csv</t>
  </si>
  <si>
    <t>whateverblog.dallasnews.com.csv</t>
  </si>
  <si>
    <t>don’t have data for bc Bing API OR low data</t>
  </si>
  <si>
    <t>articles.economictimes.indiatimes.com.csv</t>
  </si>
  <si>
    <t>blogs.barrons.com.csv</t>
  </si>
  <si>
    <t>frontburner.dmagazine.com.csv</t>
  </si>
  <si>
    <t>io9.com.csv</t>
  </si>
  <si>
    <t>mobile.nytimes.com.csv</t>
  </si>
  <si>
    <t>news.nationalpost.com.csv</t>
  </si>
  <si>
    <t>news.xinhuanet.com.csv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</si>
</sst>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u/>
      <sz val="12"/>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9" fontId="1" fillId="0" borderId="0" applyFont="0" applyFill="0" applyBorder="0" applyAlignment="0" applyProtection="0"/>
  </cellStyleXfs>
  <cellXfs count="6">
    <xf numFmtId="0" fontId="0" fillId="0" borderId="0" xfId="0"/>
    <xf numFmtId="11" fontId="0" fillId="0" borderId="0" xfId="0" applyNumberFormat="1"/>
    <xf numFmtId="0" fontId="16" fillId="0" borderId="0" xfId="0" applyFont="1"/>
    <xf numFmtId="0" fontId="18" fillId="0" borderId="0" xfId="42"/>
    <xf numFmtId="164" fontId="0" fillId="0" borderId="0" xfId="43" applyNumberFormat="1" applyFont="1"/>
    <xf numFmtId="165" fontId="0" fillId="0" borderId="0" xfId="43" applyNumberFormat="1"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0902668416447948E-2"/>
          <c:y val="2.5416666666666667E-2"/>
          <c:w val="0.89020844269466315"/>
          <c:h val="0.38363298337707785"/>
        </c:manualLayout>
      </c:layout>
      <c:barChart>
        <c:barDir val="col"/>
        <c:grouping val="clustered"/>
        <c:varyColors val="0"/>
        <c:ser>
          <c:idx val="0"/>
          <c:order val="0"/>
          <c:spPr>
            <a:solidFill>
              <a:schemeClr val="accent1"/>
            </a:solidFill>
            <a:ln>
              <a:noFill/>
            </a:ln>
            <a:effectLst/>
          </c:spPr>
          <c:invertIfNegative val="0"/>
          <c:cat>
            <c:strRef>
              <c:f>small_source!$A$2:$A$725</c:f>
              <c:strCache>
                <c:ptCount val="724"/>
                <c:pt idx="0">
                  <c:v>appleinsider.com</c:v>
                </c:pt>
                <c:pt idx="1">
                  <c:v>au.tv.yahoo.com</c:v>
                </c:pt>
                <c:pt idx="2">
                  <c:v>www.9news.com.au</c:v>
                </c:pt>
                <c:pt idx="3">
                  <c:v>www.dailymail.co.uk</c:v>
                </c:pt>
                <c:pt idx="4">
                  <c:v>www.examiner.com</c:v>
                </c:pt>
                <c:pt idx="5">
                  <c:v>www.irishmirror.ie</c:v>
                </c:pt>
                <c:pt idx="6">
                  <c:v>www.mirror.co.uk</c:v>
                </c:pt>
                <c:pt idx="7">
                  <c:v>www.newser.com</c:v>
                </c:pt>
                <c:pt idx="8">
                  <c:v>www.macrumors.com</c:v>
                </c:pt>
                <c:pt idx="9">
                  <c:v>metro.co.uk</c:v>
                </c:pt>
                <c:pt idx="10">
                  <c:v>www.ibtimes.co.in</c:v>
                </c:pt>
                <c:pt idx="11">
                  <c:v>www.huffingtonpost.in</c:v>
                </c:pt>
                <c:pt idx="12">
                  <c:v>www.ibtimes.co.uk</c:v>
                </c:pt>
                <c:pt idx="13">
                  <c:v>www.nydailynews.com</c:v>
                </c:pt>
                <c:pt idx="14">
                  <c:v>online.wsj.com</c:v>
                </c:pt>
                <c:pt idx="15">
                  <c:v>worldnewsdailyreport.com</c:v>
                </c:pt>
                <c:pt idx="16">
                  <c:v>time.com</c:v>
                </c:pt>
                <c:pt idx="17">
                  <c:v>timesofindia.indiatimes.com</c:v>
                </c:pt>
                <c:pt idx="18">
                  <c:v>www.bbc.com</c:v>
                </c:pt>
                <c:pt idx="19">
                  <c:v>www.aljazeera.com</c:v>
                </c:pt>
                <c:pt idx="20">
                  <c:v>www.asianage.com</c:v>
                </c:pt>
                <c:pt idx="21">
                  <c:v>www.buzzfeed.com</c:v>
                </c:pt>
                <c:pt idx="22">
                  <c:v>www.huffingtonpost.com</c:v>
                </c:pt>
                <c:pt idx="23">
                  <c:v>www.cnn.com</c:v>
                </c:pt>
                <c:pt idx="24">
                  <c:v>www.independent.co.uk</c:v>
                </c:pt>
                <c:pt idx="25">
                  <c:v>www.telegraph.co.uk</c:v>
                </c:pt>
                <c:pt idx="26">
                  <c:v>www.smh.com.au</c:v>
                </c:pt>
                <c:pt idx="27">
                  <c:v>www.theatlantic.com</c:v>
                </c:pt>
                <c:pt idx="28">
                  <c:v>www.theguardian.com</c:v>
                </c:pt>
                <c:pt idx="29">
                  <c:v>www.washingtonpost.com</c:v>
                </c:pt>
                <c:pt idx="30">
                  <c:v>www.dailystar.co.uk</c:v>
                </c:pt>
                <c:pt idx="31">
                  <c:v>www.theglobeandmail.com</c:v>
                </c:pt>
                <c:pt idx="32">
                  <c:v>news.sky.com</c:v>
                </c:pt>
                <c:pt idx="33">
                  <c:v>www.huffingtonpost.co.uk</c:v>
                </c:pt>
                <c:pt idx="34">
                  <c:v>www.express.co.uk</c:v>
                </c:pt>
                <c:pt idx="35">
                  <c:v>www.theargus.co.uk</c:v>
                </c:pt>
                <c:pt idx="36">
                  <c:v>www.businessinsider.com</c:v>
                </c:pt>
                <c:pt idx="37">
                  <c:v>gizmodo.com</c:v>
                </c:pt>
                <c:pt idx="38">
                  <c:v>www.cnbc.com</c:v>
                </c:pt>
                <c:pt idx="39">
                  <c:v>theweek.com</c:v>
                </c:pt>
                <c:pt idx="40">
                  <c:v>9to5mac.com</c:v>
                </c:pt>
                <c:pt idx="41">
                  <c:v>bgr.com</c:v>
                </c:pt>
                <c:pt idx="42">
                  <c:v>www.theverge.com</c:v>
                </c:pt>
                <c:pt idx="43">
                  <c:v>www.engadget.com</c:v>
                </c:pt>
                <c:pt idx="44">
                  <c:v>nationalreport.net</c:v>
                </c:pt>
                <c:pt idx="45">
                  <c:v>www.digitimes.com</c:v>
                </c:pt>
                <c:pt idx="46">
                  <c:v>www.ibtimes.com</c:v>
                </c:pt>
                <c:pt idx="47">
                  <c:v>techcrunch.com</c:v>
                </c:pt>
                <c:pt idx="48">
                  <c:v>www.forbes.com</c:v>
                </c:pt>
                <c:pt idx="49">
                  <c:v>www.geek.com</c:v>
                </c:pt>
                <c:pt idx="50">
                  <c:v>www.techtimes.com</c:v>
                </c:pt>
                <c:pt idx="51">
                  <c:v>www.slashgear.com</c:v>
                </c:pt>
                <c:pt idx="52">
                  <c:v>www.macworld.com</c:v>
                </c:pt>
                <c:pt idx="53">
                  <c:v>www.macworld.co.uk</c:v>
                </c:pt>
                <c:pt idx="54">
                  <c:v>www.usatoday.com</c:v>
                </c:pt>
                <c:pt idx="55">
                  <c:v>www.igen.fr</c:v>
                </c:pt>
                <c:pt idx="56">
                  <c:v>pando.com</c:v>
                </c:pt>
                <c:pt idx="57">
                  <c:v>grail-watch.com</c:v>
                </c:pt>
                <c:pt idx="58">
                  <c:v>www.cultofmac.com</c:v>
                </c:pt>
                <c:pt idx="59">
                  <c:v>www.ubergizmo.com</c:v>
                </c:pt>
                <c:pt idx="60">
                  <c:v>investorplace.com</c:v>
                </c:pt>
                <c:pt idx="61">
                  <c:v>www.apfelpage.de</c:v>
                </c:pt>
                <c:pt idx="62">
                  <c:v>www.bizjournals.com</c:v>
                </c:pt>
                <c:pt idx="63">
                  <c:v>valleywag.gawker.com</c:v>
                </c:pt>
                <c:pt idx="64">
                  <c:v>www.businessinsider.in</c:v>
                </c:pt>
                <c:pt idx="65">
                  <c:v>www.cnet.com</c:v>
                </c:pt>
                <c:pt idx="66">
                  <c:v>gigaom.com</c:v>
                </c:pt>
                <c:pt idx="67">
                  <c:v>www.bgr.in</c:v>
                </c:pt>
                <c:pt idx="68">
                  <c:v>gadgets.ndtv.com</c:v>
                </c:pt>
                <c:pt idx="69">
                  <c:v>recode.net</c:v>
                </c:pt>
                <c:pt idx="70">
                  <c:v>www.networkworld.com</c:v>
                </c:pt>
                <c:pt idx="71">
                  <c:v>www.iphoneincanada.ca</c:v>
                </c:pt>
                <c:pt idx="72">
                  <c:v>idevicedailys.com</c:v>
                </c:pt>
                <c:pt idx="73">
                  <c:v>wearabletechnologies.co.uk</c:v>
                </c:pt>
                <c:pt idx="74">
                  <c:v>uproxx.com</c:v>
                </c:pt>
                <c:pt idx="75">
                  <c:v>mic.com</c:v>
                </c:pt>
                <c:pt idx="76">
                  <c:v>macdailynews.com</c:v>
                </c:pt>
                <c:pt idx="77">
                  <c:v>www.macobserver.com</c:v>
                </c:pt>
                <c:pt idx="78">
                  <c:v>www.gsmarena.com</c:v>
                </c:pt>
                <c:pt idx="79">
                  <c:v>www.besttechie.com</c:v>
                </c:pt>
                <c:pt idx="80">
                  <c:v>blogs.barrons.com</c:v>
                </c:pt>
                <c:pt idx="81">
                  <c:v>mashable.com</c:v>
                </c:pt>
                <c:pt idx="82">
                  <c:v>jezebel.com</c:v>
                </c:pt>
                <c:pt idx="83">
                  <c:v>au.ibtimes.com</c:v>
                </c:pt>
                <c:pt idx="84">
                  <c:v>perezhilton.com</c:v>
                </c:pt>
                <c:pt idx="85">
                  <c:v>www.fastcompany.com</c:v>
                </c:pt>
                <c:pt idx="86">
                  <c:v>www.bustle.com</c:v>
                </c:pt>
                <c:pt idx="87">
                  <c:v>thenextweb.com</c:v>
                </c:pt>
                <c:pt idx="88">
                  <c:v>www.techradar.com</c:v>
                </c:pt>
                <c:pt idx="89">
                  <c:v>www.pcworld.com</c:v>
                </c:pt>
                <c:pt idx="90">
                  <c:v>factually.gizmodo.com</c:v>
                </c:pt>
                <c:pt idx="91">
                  <c:v>www.geekwire.com</c:v>
                </c:pt>
                <c:pt idx="92">
                  <c:v>mobilemarketingmagazine.com</c:v>
                </c:pt>
                <c:pt idx="93">
                  <c:v>mobilesyrup.com</c:v>
                </c:pt>
                <c:pt idx="94">
                  <c:v>www.digitaltrends.com</c:v>
                </c:pt>
                <c:pt idx="95">
                  <c:v>www.mactrast.com</c:v>
                </c:pt>
                <c:pt idx="96">
                  <c:v>www.redmondpie.com</c:v>
                </c:pt>
                <c:pt idx="97">
                  <c:v>www.designntrend.com</c:v>
                </c:pt>
                <c:pt idx="98">
                  <c:v>ca.ign.com</c:v>
                </c:pt>
                <c:pt idx="99">
                  <c:v>www.wsj.com</c:v>
                </c:pt>
                <c:pt idx="100">
                  <c:v>nation.foxnews.com</c:v>
                </c:pt>
                <c:pt idx="101">
                  <c:v>forward.com</c:v>
                </c:pt>
                <c:pt idx="102">
                  <c:v>www.mediaite.com</c:v>
                </c:pt>
                <c:pt idx="103">
                  <c:v>www.nbcnews.com</c:v>
                </c:pt>
                <c:pt idx="104">
                  <c:v>www.cbsnews.com</c:v>
                </c:pt>
                <c:pt idx="105">
                  <c:v>www.npr.org</c:v>
                </c:pt>
                <c:pt idx="106">
                  <c:v>www.snopes.com</c:v>
                </c:pt>
                <c:pt idx="107">
                  <c:v>www.upi.com</c:v>
                </c:pt>
                <c:pt idx="108">
                  <c:v>www.torontosun.com</c:v>
                </c:pt>
                <c:pt idx="109">
                  <c:v>www.haaretz.com</c:v>
                </c:pt>
                <c:pt idx="110">
                  <c:v>www.people.com</c:v>
                </c:pt>
                <c:pt idx="111">
                  <c:v>www.huffingtonpost.ca</c:v>
                </c:pt>
                <c:pt idx="112">
                  <c:v>www.cosmopolitan.com</c:v>
                </c:pt>
                <c:pt idx="113">
                  <c:v>i100.independent.co.uk</c:v>
                </c:pt>
                <c:pt idx="114">
                  <c:v>www.latintimes.com</c:v>
                </c:pt>
                <c:pt idx="115">
                  <c:v>www.jta.org</c:v>
                </c:pt>
                <c:pt idx="116">
                  <c:v>www.smithsonianmag.com</c:v>
                </c:pt>
                <c:pt idx="117">
                  <c:v>www.vice.com</c:v>
                </c:pt>
                <c:pt idx="118">
                  <c:v>www.artfido.com</c:v>
                </c:pt>
                <c:pt idx="119">
                  <c:v>www.digitallook.com</c:v>
                </c:pt>
                <c:pt idx="120">
                  <c:v>www.london24.com</c:v>
                </c:pt>
                <c:pt idx="121">
                  <c:v>www.inquisitr.com</c:v>
                </c:pt>
                <c:pt idx="122">
                  <c:v>nypost.com</c:v>
                </c:pt>
                <c:pt idx="123">
                  <c:v>www.news.com.au</c:v>
                </c:pt>
                <c:pt idx="124">
                  <c:v>gawker.com</c:v>
                </c:pt>
                <c:pt idx="125">
                  <c:v>www.foxnews.com</c:v>
                </c:pt>
                <c:pt idx="126">
                  <c:v>www.theepochtimes.com</c:v>
                </c:pt>
                <c:pt idx="127">
                  <c:v>nymag.com</c:v>
                </c:pt>
                <c:pt idx="128">
                  <c:v>abcnews.go.com</c:v>
                </c:pt>
                <c:pt idx="129">
                  <c:v>www.timesofisrael.com</c:v>
                </c:pt>
                <c:pt idx="130">
                  <c:v>dailycaller.com</c:v>
                </c:pt>
                <c:pt idx="131">
                  <c:v>www.mtv.com</c:v>
                </c:pt>
                <c:pt idx="132">
                  <c:v>www.newsmax.com</c:v>
                </c:pt>
                <c:pt idx="133">
                  <c:v>austriantimes.at</c:v>
                </c:pt>
                <c:pt idx="134">
                  <c:v>www.thewrap.com</c:v>
                </c:pt>
                <c:pt idx="135">
                  <c:v>variety.com</c:v>
                </c:pt>
                <c:pt idx="136">
                  <c:v>www.freep.com</c:v>
                </c:pt>
                <c:pt idx="137">
                  <c:v>www.yahoo.com</c:v>
                </c:pt>
                <c:pt idx="138">
                  <c:v>www.poynter.org</c:v>
                </c:pt>
                <c:pt idx="139">
                  <c:v>nukethefridge.com</c:v>
                </c:pt>
                <c:pt idx="140">
                  <c:v>www.theouthousers.com</c:v>
                </c:pt>
                <c:pt idx="141">
                  <c:v>www.theweathernetwork.com</c:v>
                </c:pt>
                <c:pt idx="142">
                  <c:v>www.billboard.com</c:v>
                </c:pt>
                <c:pt idx="143">
                  <c:v>capedcrusades.com</c:v>
                </c:pt>
                <c:pt idx="144">
                  <c:v>comicbook.com</c:v>
                </c:pt>
                <c:pt idx="145">
                  <c:v>detroit.cbslocal.com</c:v>
                </c:pt>
                <c:pt idx="146">
                  <c:v>jalopnik.com</c:v>
                </c:pt>
                <c:pt idx="147">
                  <c:v>movies.cosmicbooknews.com</c:v>
                </c:pt>
                <c:pt idx="148">
                  <c:v>screenrant.com</c:v>
                </c:pt>
                <c:pt idx="149">
                  <c:v>www.bleedingcool.com</c:v>
                </c:pt>
                <c:pt idx="150">
                  <c:v>www.comicbookmovie.com</c:v>
                </c:pt>
                <c:pt idx="151">
                  <c:v>www.deadlinedetroit.com</c:v>
                </c:pt>
                <c:pt idx="152">
                  <c:v>www.kpopstarz.com</c:v>
                </c:pt>
                <c:pt idx="153">
                  <c:v>www.movieviral.com</c:v>
                </c:pt>
                <c:pt idx="154">
                  <c:v>www.slashfilm.com</c:v>
                </c:pt>
                <c:pt idx="155">
                  <c:v>www.supermansupersite.com</c:v>
                </c:pt>
                <c:pt idx="156">
                  <c:v>www.worstpreviews.com</c:v>
                </c:pt>
                <c:pt idx="157">
                  <c:v>www.barstoolsports.com</c:v>
                </c:pt>
                <c:pt idx="158">
                  <c:v>www.bostonherald.com</c:v>
                </c:pt>
                <c:pt idx="159">
                  <c:v>www.abc15.com</c:v>
                </c:pt>
                <c:pt idx="160">
                  <c:v>www.azcentral.com</c:v>
                </c:pt>
                <c:pt idx="161">
                  <c:v>www.complexmag.ca</c:v>
                </c:pt>
                <c:pt idx="162">
                  <c:v>www.iphonote.com</c:v>
                </c:pt>
                <c:pt idx="163">
                  <c:v>thescoopblog.dallasnews.com</c:v>
                </c:pt>
                <c:pt idx="164">
                  <c:v>heavy.com</c:v>
                </c:pt>
                <c:pt idx="165">
                  <c:v>dankennedy.net</c:v>
                </c:pt>
                <c:pt idx="166">
                  <c:v>www.theblaze.com</c:v>
                </c:pt>
                <c:pt idx="167">
                  <c:v>www.latimes.com</c:v>
                </c:pt>
                <c:pt idx="168">
                  <c:v>english.alarabiya.net</c:v>
                </c:pt>
                <c:pt idx="169">
                  <c:v>news.nationalpost.com</c:v>
                </c:pt>
                <c:pt idx="170">
                  <c:v>www.thegatewaypundit.com</c:v>
                </c:pt>
                <c:pt idx="171">
                  <c:v>pagesix.com</c:v>
                </c:pt>
                <c:pt idx="172">
                  <c:v>www.itv.com</c:v>
                </c:pt>
                <c:pt idx="173">
                  <c:v>www.christianpost.com</c:v>
                </c:pt>
                <c:pt idx="174">
                  <c:v>www.thewire.com</c:v>
                </c:pt>
                <c:pt idx="175">
                  <c:v>www.hoax-slayer.com</c:v>
                </c:pt>
                <c:pt idx="176">
                  <c:v>www.aol.com</c:v>
                </c:pt>
                <c:pt idx="177">
                  <c:v>www.deathandtaxesmag.com</c:v>
                </c:pt>
                <c:pt idx="178">
                  <c:v>www.mediabistro.com</c:v>
                </c:pt>
                <c:pt idx="179">
                  <c:v>www.ctvnews.ca</c:v>
                </c:pt>
                <c:pt idx="180">
                  <c:v>www.stuff.co.nz</c:v>
                </c:pt>
                <c:pt idx="181">
                  <c:v>www.timeslive.co.za</c:v>
                </c:pt>
                <c:pt idx="182">
                  <c:v>www.tmz.com</c:v>
                </c:pt>
                <c:pt idx="183">
                  <c:v>www.wnd.com</c:v>
                </c:pt>
                <c:pt idx="184">
                  <c:v>empirenews.net</c:v>
                </c:pt>
                <c:pt idx="185">
                  <c:v>arstechnica.com</c:v>
                </c:pt>
                <c:pt idx="186">
                  <c:v>boingboing.net</c:v>
                </c:pt>
                <c:pt idx="187">
                  <c:v>www.kentonline.co.uk</c:v>
                </c:pt>
                <c:pt idx="188">
                  <c:v>www.usmagazine.com</c:v>
                </c:pt>
                <c:pt idx="189">
                  <c:v>venturebeat.com</c:v>
                </c:pt>
                <c:pt idx="190">
                  <c:v>dailybuzzlive.com</c:v>
                </c:pt>
                <c:pt idx="191">
                  <c:v>www.vox.com</c:v>
                </c:pt>
                <c:pt idx="192">
                  <c:v>pjmedia.com</c:v>
                </c:pt>
                <c:pt idx="193">
                  <c:v>www.cosmopolitan.co.uk</c:v>
                </c:pt>
                <c:pt idx="194">
                  <c:v>www.imediaethics.org</c:v>
                </c:pt>
                <c:pt idx="195">
                  <c:v>www.phillymag.com</c:v>
                </c:pt>
                <c:pt idx="196">
                  <c:v>plus.google.com</c:v>
                </c:pt>
                <c:pt idx="197">
                  <c:v>www.idownloadblog.com</c:v>
                </c:pt>
                <c:pt idx="198">
                  <c:v>www.thehollywoodgossip.com</c:v>
                </c:pt>
                <c:pt idx="199">
                  <c:v>edition.cnn.com</c:v>
                </c:pt>
                <c:pt idx="200">
                  <c:v>mysteriousuniverse.org</c:v>
                </c:pt>
                <c:pt idx="201">
                  <c:v>the-peoplesnews.com</c:v>
                </c:pt>
                <c:pt idx="202">
                  <c:v>www.bild.de</c:v>
                </c:pt>
                <c:pt idx="203">
                  <c:v>www.couriermail.com.au</c:v>
                </c:pt>
                <c:pt idx="204">
                  <c:v>www.hngn.com</c:v>
                </c:pt>
                <c:pt idx="205">
                  <c:v>www.cctvnews.cn</c:v>
                </c:pt>
                <c:pt idx="206">
                  <c:v>www.whatsonsanya.com</c:v>
                </c:pt>
                <c:pt idx="207">
                  <c:v>finance.yahoo.com</c:v>
                </c:pt>
                <c:pt idx="208">
                  <c:v>www.deepdotweb.com</c:v>
                </c:pt>
                <c:pt idx="209">
                  <c:v>www.businessinsider.com.au</c:v>
                </c:pt>
                <c:pt idx="210">
                  <c:v>www.ntd.tv</c:v>
                </c:pt>
                <c:pt idx="211">
                  <c:v>www.weirdwhitstable.co.uk</c:v>
                </c:pt>
                <c:pt idx="212">
                  <c:v>www.leaderpost.com</c:v>
                </c:pt>
                <c:pt idx="213">
                  <c:v>www.thereporter.com.au</c:v>
                </c:pt>
                <c:pt idx="214">
                  <c:v>theconcourse.deadspin.com</c:v>
                </c:pt>
                <c:pt idx="215">
                  <c:v>www.sbnation.com</c:v>
                </c:pt>
                <c:pt idx="216">
                  <c:v>www.gizmodo.co.uk</c:v>
                </c:pt>
                <c:pt idx="217">
                  <c:v>knowmore.washingtonpost.com</c:v>
                </c:pt>
                <c:pt idx="218">
                  <c:v>inserbia.info</c:v>
                </c:pt>
                <c:pt idx="219">
                  <c:v>jjxzdwy.ktimes.co.kr</c:v>
                </c:pt>
                <c:pt idx="220">
                  <c:v>corporate.comcast.com</c:v>
                </c:pt>
                <c:pt idx="221">
                  <c:v>canadajournal.net</c:v>
                </c:pt>
                <c:pt idx="222">
                  <c:v>kxan.com</c:v>
                </c:pt>
                <c:pt idx="223">
                  <c:v>deadline.com</c:v>
                </c:pt>
                <c:pt idx="224">
                  <c:v>nextshark.com</c:v>
                </c:pt>
                <c:pt idx="225">
                  <c:v>www.cbc.ca</c:v>
                </c:pt>
                <c:pt idx="226">
                  <c:v>www.reuters.com</c:v>
                </c:pt>
                <c:pt idx="227">
                  <c:v>www.breitbart.com</c:v>
                </c:pt>
                <c:pt idx="228">
                  <c:v>www.nytimes.com</c:v>
                </c:pt>
                <c:pt idx="229">
                  <c:v>www.thedailybeast.com</c:v>
                </c:pt>
                <c:pt idx="230">
                  <c:v>www.slate.com</c:v>
                </c:pt>
                <c:pt idx="231">
                  <c:v>www.washingtontimes.com</c:v>
                </c:pt>
                <c:pt idx="232">
                  <c:v>www.opposingviews.com</c:v>
                </c:pt>
                <c:pt idx="233">
                  <c:v>www.bloomberg.com</c:v>
                </c:pt>
                <c:pt idx="234">
                  <c:v>www.hollywoodreporter.com</c:v>
                </c:pt>
                <c:pt idx="235">
                  <c:v>rt.com</c:v>
                </c:pt>
                <c:pt idx="236">
                  <c:v>www.zerohedge.com</c:v>
                </c:pt>
                <c:pt idx="237">
                  <c:v>ca.eonline.com</c:v>
                </c:pt>
                <c:pt idx="238">
                  <c:v>www.politico.com</c:v>
                </c:pt>
                <c:pt idx="239">
                  <c:v>indiatoday.intoday.in</c:v>
                </c:pt>
                <c:pt idx="240">
                  <c:v>www.gossipcop.com</c:v>
                </c:pt>
                <c:pt idx="241">
                  <c:v>www.metro.se</c:v>
                </c:pt>
                <c:pt idx="242">
                  <c:v>www.usnews.com</c:v>
                </c:pt>
                <c:pt idx="243">
                  <c:v>www.jpost.com</c:v>
                </c:pt>
                <c:pt idx="244">
                  <c:v>hollywoodlife.com</c:v>
                </c:pt>
                <c:pt idx="245">
                  <c:v>www.theweek.co.uk</c:v>
                </c:pt>
                <c:pt idx="246">
                  <c:v>antiviral.gawker.com</c:v>
                </c:pt>
                <c:pt idx="247">
                  <c:v>twitter.com</c:v>
                </c:pt>
                <c:pt idx="248">
                  <c:v>twitchy.com</c:v>
                </c:pt>
                <c:pt idx="249">
                  <c:v>www.csmonitor.com</c:v>
                </c:pt>
                <c:pt idx="250">
                  <c:v>www.dailysabah.com</c:v>
                </c:pt>
                <c:pt idx="251">
                  <c:v>qz.com</c:v>
                </c:pt>
                <c:pt idx="252">
                  <c:v>www.msnbc.com</c:v>
                </c:pt>
                <c:pt idx="253">
                  <c:v>www.vocativ.com</c:v>
                </c:pt>
                <c:pt idx="254">
                  <c:v>yournewswire.com</c:v>
                </c:pt>
                <c:pt idx="255">
                  <c:v>bigstory.ap.org</c:v>
                </c:pt>
                <c:pt idx="256">
                  <c:v>www.thedailystar.net</c:v>
                </c:pt>
                <c:pt idx="257">
                  <c:v>www.ft.com</c:v>
                </c:pt>
                <c:pt idx="258">
                  <c:v>freebeacon.com</c:v>
                </c:pt>
                <c:pt idx="259">
                  <c:v>www.nationalreview.com</c:v>
                </c:pt>
                <c:pt idx="260">
                  <c:v>www.iraqinews.com</c:v>
                </c:pt>
                <c:pt idx="261">
                  <c:v>io9.com</c:v>
                </c:pt>
                <c:pt idx="262">
                  <c:v>ca.complex.com</c:v>
                </c:pt>
                <c:pt idx="263">
                  <c:v>deadspin.com</c:v>
                </c:pt>
                <c:pt idx="264">
                  <c:v>www.philly.com</c:v>
                </c:pt>
                <c:pt idx="265">
                  <c:v>www.tomsguide.com</c:v>
                </c:pt>
                <c:pt idx="266">
                  <c:v>www.mcclatchydc.com</c:v>
                </c:pt>
                <c:pt idx="267">
                  <c:v>www.theaustralian.com.au</c:v>
                </c:pt>
                <c:pt idx="268">
                  <c:v>www.israelnationalnews.com</c:v>
                </c:pt>
                <c:pt idx="269">
                  <c:v>www.vanityfair.com</c:v>
                </c:pt>
                <c:pt idx="270">
                  <c:v>www.today.com</c:v>
                </c:pt>
                <c:pt idx="271">
                  <c:v>www.deccanchronicle.com</c:v>
                </c:pt>
                <c:pt idx="272">
                  <c:v>www.indiatimes.com</c:v>
                </c:pt>
                <c:pt idx="273">
                  <c:v>www.salon.com</c:v>
                </c:pt>
                <c:pt idx="274">
                  <c:v>www.independent.ie</c:v>
                </c:pt>
                <c:pt idx="275">
                  <c:v>www.dnaindia.com</c:v>
                </c:pt>
                <c:pt idx="276">
                  <c:v>bleacherreport.com</c:v>
                </c:pt>
                <c:pt idx="277">
                  <c:v>espn.go.com</c:v>
                </c:pt>
                <c:pt idx="278">
                  <c:v>www.inside.com</c:v>
                </c:pt>
                <c:pt idx="279">
                  <c:v>en.mediamass.net</c:v>
                </c:pt>
                <c:pt idx="280">
                  <c:v>socialnewsdaily.com</c:v>
                </c:pt>
                <c:pt idx="281">
                  <c:v>www.nymeta.co</c:v>
                </c:pt>
                <c:pt idx="282">
                  <c:v>www.thesun.co.uk</c:v>
                </c:pt>
                <c:pt idx="283">
                  <c:v>www.corsicanadailysun.com</c:v>
                </c:pt>
                <c:pt idx="284">
                  <c:v>www.koco.com</c:v>
                </c:pt>
                <c:pt idx="285">
                  <c:v>www.kwtx.com</c:v>
                </c:pt>
                <c:pt idx="286">
                  <c:v>www.hockeybuzz.com</c:v>
                </c:pt>
                <c:pt idx="287">
                  <c:v>www.pressgazette.co.uk</c:v>
                </c:pt>
                <c:pt idx="288">
                  <c:v>fortressamerica.gawker.com</c:v>
                </c:pt>
                <c:pt idx="289">
                  <c:v>www.capitalfm.co.ke</c:v>
                </c:pt>
                <c:pt idx="290">
                  <c:v>blogs.wsj.com</c:v>
                </c:pt>
                <c:pt idx="291">
                  <c:v>hotair.com</c:v>
                </c:pt>
                <c:pt idx="292">
                  <c:v>www.presstv.ir</c:v>
                </c:pt>
                <c:pt idx="293">
                  <c:v>entertainment.ie</c:v>
                </c:pt>
                <c:pt idx="294">
                  <c:v>www.arabnews.com</c:v>
                </c:pt>
                <c:pt idx="295">
                  <c:v>www.emirates247.com</c:v>
                </c:pt>
                <c:pt idx="296">
                  <c:v>www.moroccoworldnews.com</c:v>
                </c:pt>
                <c:pt idx="297">
                  <c:v>www.palmbeachpost.com</c:v>
                </c:pt>
                <c:pt idx="298">
                  <c:v>www.jewishjournal.com</c:v>
                </c:pt>
                <c:pt idx="299">
                  <c:v>www.ynetnews.com</c:v>
                </c:pt>
                <c:pt idx="300">
                  <c:v>www.abc.net.au</c:v>
                </c:pt>
                <c:pt idx="301">
                  <c:v>money.cnn.com</c:v>
                </c:pt>
                <c:pt idx="302">
                  <c:v>www.gizmodo.in</c:v>
                </c:pt>
                <c:pt idx="303">
                  <c:v>www.viralnova.com</c:v>
                </c:pt>
                <c:pt idx="304">
                  <c:v>www.wareable.com</c:v>
                </c:pt>
                <c:pt idx="305">
                  <c:v>www.kaynaija.com</c:v>
                </c:pt>
                <c:pt idx="306">
                  <c:v>www.oneindia.com</c:v>
                </c:pt>
                <c:pt idx="307">
                  <c:v>ynaija.com</c:v>
                </c:pt>
                <c:pt idx="308">
                  <c:v>www.technobuffalo.com</c:v>
                </c:pt>
                <c:pt idx="309">
                  <c:v>www.appy-geek.com</c:v>
                </c:pt>
                <c:pt idx="310">
                  <c:v>beforeitsnews.com</c:v>
                </c:pt>
                <c:pt idx="311">
                  <c:v>www.globalresearch.ca</c:v>
                </c:pt>
                <c:pt idx="312">
                  <c:v>www.infowars.com</c:v>
                </c:pt>
                <c:pt idx="313">
                  <c:v>www.veteranstoday.com</c:v>
                </c:pt>
                <c:pt idx="314">
                  <c:v>news.vice.com</c:v>
                </c:pt>
                <c:pt idx="315">
                  <c:v>www.albawaba.com</c:v>
                </c:pt>
                <c:pt idx="316">
                  <c:v>www.kurdishquestion.com</c:v>
                </c:pt>
                <c:pt idx="317">
                  <c:v>www.france24.com</c:v>
                </c:pt>
                <c:pt idx="318">
                  <c:v>www.wjla.com</c:v>
                </c:pt>
                <c:pt idx="319">
                  <c:v>zeenews.india.com</c:v>
                </c:pt>
                <c:pt idx="320">
                  <c:v>washington.cbslocal.com</c:v>
                </c:pt>
                <c:pt idx="321">
                  <c:v>www.newrepublic.com</c:v>
                </c:pt>
                <c:pt idx="322">
                  <c:v>www.politifact.com</c:v>
                </c:pt>
                <c:pt idx="323">
                  <c:v>www.al-monitor.com</c:v>
                </c:pt>
                <c:pt idx="324">
                  <c:v>www.jewishpress.com</c:v>
                </c:pt>
                <c:pt idx="325">
                  <c:v>basnews.com</c:v>
                </c:pt>
                <c:pt idx="326">
                  <c:v>townhall.com</c:v>
                </c:pt>
                <c:pt idx="327">
                  <c:v>www.dailytimes.com.pk</c:v>
                </c:pt>
                <c:pt idx="328">
                  <c:v>cir.ca</c:v>
                </c:pt>
                <c:pt idx="329">
                  <c:v>www.facebook.com</c:v>
                </c:pt>
                <c:pt idx="330">
                  <c:v>www.commentarymagazine.com</c:v>
                </c:pt>
                <c:pt idx="331">
                  <c:v>www.maannews.com</c:v>
                </c:pt>
                <c:pt idx="332">
                  <c:v>ftw.usatoday.com</c:v>
                </c:pt>
                <c:pt idx="333">
                  <c:v>www.grindtv.com</c:v>
                </c:pt>
                <c:pt idx="334">
                  <c:v>www.unionesarda.it</c:v>
                </c:pt>
                <c:pt idx="335">
                  <c:v>www.dailystar.com.lb</c:v>
                </c:pt>
                <c:pt idx="336">
                  <c:v>web.orange.co.uk</c:v>
                </c:pt>
                <c:pt idx="337">
                  <c:v>www.thedrinksbusiness.com</c:v>
                </c:pt>
                <c:pt idx="338">
                  <c:v>thebiglead.com</c:v>
                </c:pt>
                <c:pt idx="339">
                  <c:v>www.8newsnow.com</c:v>
                </c:pt>
                <c:pt idx="340">
                  <c:v>www.yourdailyscoop.com</c:v>
                </c:pt>
                <c:pt idx="341">
                  <c:v>www.edmontonsun.com</c:v>
                </c:pt>
                <c:pt idx="342">
                  <c:v>www.thecannabist.co</c:v>
                </c:pt>
                <c:pt idx="343">
                  <c:v>www.shanghaidaily.com</c:v>
                </c:pt>
                <c:pt idx="344">
                  <c:v>www.theregister.co.uk</c:v>
                </c:pt>
                <c:pt idx="345">
                  <c:v>www.benzinga.com</c:v>
                </c:pt>
                <c:pt idx="346">
                  <c:v>www.geeky-gadgets.com</c:v>
                </c:pt>
                <c:pt idx="347">
                  <c:v>www.techvibes.com</c:v>
                </c:pt>
                <c:pt idx="348">
                  <c:v>www.telecompaper.com</c:v>
                </c:pt>
                <c:pt idx="349">
                  <c:v>www.valuewalk.com</c:v>
                </c:pt>
                <c:pt idx="350">
                  <c:v>www.phonearena.com</c:v>
                </c:pt>
                <c:pt idx="351">
                  <c:v>msnbc.website</c:v>
                </c:pt>
                <c:pt idx="352">
                  <c:v>www.intouchweekly.com</c:v>
                </c:pt>
                <c:pt idx="353">
                  <c:v>awfulannouncing.com</c:v>
                </c:pt>
                <c:pt idx="354">
                  <c:v>blogs.riverfronttimes.com</c:v>
                </c:pt>
                <c:pt idx="355">
                  <c:v>blogs.miaminewtimes.com</c:v>
                </c:pt>
                <c:pt idx="356">
                  <c:v>billingsgazette.com</c:v>
                </c:pt>
                <c:pt idx="357">
                  <c:v>gazette.com</c:v>
                </c:pt>
                <c:pt idx="358">
                  <c:v>radio.foxnews.com</c:v>
                </c:pt>
                <c:pt idx="359">
                  <c:v>hundrednews.com</c:v>
                </c:pt>
                <c:pt idx="360">
                  <c:v>af.reuters.com</c:v>
                </c:pt>
                <c:pt idx="361">
                  <c:v>articles.economictimes.indiatimes.com</c:v>
                </c:pt>
                <c:pt idx="362">
                  <c:v>colorlines.com</c:v>
                </c:pt>
                <c:pt idx="363">
                  <c:v>dcist.com</c:v>
                </c:pt>
                <c:pt idx="364">
                  <c:v>observer.com</c:v>
                </c:pt>
                <c:pt idx="365">
                  <c:v>losangeles.cbslocal.com</c:v>
                </c:pt>
                <c:pt idx="366">
                  <c:v>news.distractify.com</c:v>
                </c:pt>
                <c:pt idx="367">
                  <c:v>nbctoday.co</c:v>
                </c:pt>
                <c:pt idx="368">
                  <c:v>rumorfix.com</c:v>
                </c:pt>
                <c:pt idx="369">
                  <c:v>money.udn.com</c:v>
                </c:pt>
                <c:pt idx="370">
                  <c:v>guardianlv.com</c:v>
                </c:pt>
                <c:pt idx="371">
                  <c:v>axisoflogic.com</c:v>
                </c:pt>
                <c:pt idx="372">
                  <c:v>english.farsnews.com</c:v>
                </c:pt>
                <c:pt idx="373">
                  <c:v>abc7news.com</c:v>
                </c:pt>
                <c:pt idx="374">
                  <c:v>dailystar.com.lb</c:v>
                </c:pt>
                <c:pt idx="375">
                  <c:v>ent.siteintelgroup.com</c:v>
                </c:pt>
                <c:pt idx="376">
                  <c:v>news.msn.co.nz</c:v>
                </c:pt>
                <c:pt idx="377">
                  <c:v>insider.foxnews.com</c:v>
                </c:pt>
                <c:pt idx="378">
                  <c:v>mediamatters.org</c:v>
                </c:pt>
                <c:pt idx="379">
                  <c:v>blogs.montrealgazette.com</c:v>
                </c:pt>
                <c:pt idx="380">
                  <c:v>jpupdates.com</c:v>
                </c:pt>
                <c:pt idx="381">
                  <c:v>mawtani.al-shorfa.com</c:v>
                </c:pt>
                <c:pt idx="382">
                  <c:v>washingtonexaminer.com</c:v>
                </c:pt>
                <c:pt idx="383">
                  <c:v>www.abna.ir</c:v>
                </c:pt>
                <c:pt idx="384">
                  <c:v>globalvoicesonline.org</c:v>
                </c:pt>
                <c:pt idx="385">
                  <c:v>www.business-standard.com</c:v>
                </c:pt>
                <c:pt idx="386">
                  <c:v>www.almasryalyoum.com</c:v>
                </c:pt>
                <c:pt idx="387">
                  <c:v>news.xinhuanet.com</c:v>
                </c:pt>
                <c:pt idx="388">
                  <c:v>milano.corriere.it</c:v>
                </c:pt>
                <c:pt idx="389">
                  <c:v>www.ansa.it</c:v>
                </c:pt>
                <c:pt idx="390">
                  <c:v>www.christiantoday.com</c:v>
                </c:pt>
                <c:pt idx="391">
                  <c:v>www.corriereadriatico.it</c:v>
                </c:pt>
                <c:pt idx="392">
                  <c:v>www.channel4.com</c:v>
                </c:pt>
                <c:pt idx="393">
                  <c:v>english.chosun.com</c:v>
                </c:pt>
                <c:pt idx="394">
                  <c:v>koreajoongangdaily.joins.com</c:v>
                </c:pt>
                <c:pt idx="395">
                  <c:v>us.india.com</c:v>
                </c:pt>
                <c:pt idx="396">
                  <c:v>chicago.barstoolsports.com</c:v>
                </c:pt>
                <c:pt idx="397">
                  <c:v>hardballtalk.nbcsports.com</c:v>
                </c:pt>
                <c:pt idx="398">
                  <c:v>www.csnwashington.com</c:v>
                </c:pt>
                <c:pt idx="399">
                  <c:v>foxnews.es</c:v>
                </c:pt>
                <c:pt idx="400">
                  <c:v>laist.com</c:v>
                </c:pt>
                <c:pt idx="401">
                  <c:v>adobochronicles.com</c:v>
                </c:pt>
                <c:pt idx="402">
                  <c:v>didsburyreview.ca</c:v>
                </c:pt>
                <c:pt idx="403">
                  <c:v>www.680news.com</c:v>
                </c:pt>
                <c:pt idx="404">
                  <c:v>marijuanastocks.com</c:v>
                </c:pt>
                <c:pt idx="405">
                  <c:v>theantimedia.org</c:v>
                </c:pt>
                <c:pt idx="406">
                  <c:v>theracketreport.com</c:v>
                </c:pt>
                <c:pt idx="407">
                  <c:v>koreabizwire.com</c:v>
                </c:pt>
                <c:pt idx="408">
                  <c:v>news.khan.co.kr</c:v>
                </c:pt>
                <c:pt idx="409">
                  <c:v>ca.reuters.com</c:v>
                </c:pt>
                <c:pt idx="410">
                  <c:v>wallstreetpit.com</c:v>
                </c:pt>
                <c:pt idx="411">
                  <c:v>www.digitalspy.ca</c:v>
                </c:pt>
                <c:pt idx="412">
                  <c:v>androidheadlines.com</c:v>
                </c:pt>
                <c:pt idx="413">
                  <c:v>tech.firstpost.com</c:v>
                </c:pt>
                <c:pt idx="414">
                  <c:v>www.fashionnstyle.com</c:v>
                </c:pt>
                <c:pt idx="415">
                  <c:v>english.pravda.ru</c:v>
                </c:pt>
                <c:pt idx="416">
                  <c:v>gtrk-omsk.ru</c:v>
                </c:pt>
                <c:pt idx="417">
                  <c:v>omskgazzeta.ru</c:v>
                </c:pt>
                <c:pt idx="418">
                  <c:v>uk.news.yahoo.com</c:v>
                </c:pt>
                <c:pt idx="419">
                  <c:v>news.yahoo.com</c:v>
                </c:pt>
                <c:pt idx="420">
                  <c:v>radaronline.com</c:v>
                </c:pt>
                <c:pt idx="421">
                  <c:v>www.standard.co.uk</c:v>
                </c:pt>
                <c:pt idx="422">
                  <c:v>o.canada.com</c:v>
                </c:pt>
                <c:pt idx="423">
                  <c:v>globalnews.ca</c:v>
                </c:pt>
                <c:pt idx="424">
                  <c:v>www.pcmag.com</c:v>
                </c:pt>
                <c:pt idx="425">
                  <c:v>www.wtsp.com</c:v>
                </c:pt>
                <c:pt idx="426">
                  <c:v>www.myfoxdfw.com</c:v>
                </c:pt>
                <c:pt idx="427">
                  <c:v>www.wesh.com</c:v>
                </c:pt>
                <c:pt idx="428">
                  <c:v>www.liveleak.com</c:v>
                </c:pt>
                <c:pt idx="429">
                  <c:v>www.sunnewsnetwork.ca</c:v>
                </c:pt>
                <c:pt idx="430">
                  <c:v>www.justjared.com</c:v>
                </c:pt>
                <c:pt idx="431">
                  <c:v>www.globalpost.com</c:v>
                </c:pt>
                <c:pt idx="432">
                  <c:v>www.thetimes.co.uk</c:v>
                </c:pt>
                <c:pt idx="433">
                  <c:v>www.motherjones.com</c:v>
                </c:pt>
                <c:pt idx="434">
                  <c:v>www.croatiantimes.com</c:v>
                </c:pt>
                <c:pt idx="435">
                  <c:v>www.styleite.com</c:v>
                </c:pt>
                <c:pt idx="436">
                  <c:v>www.todayonline.com</c:v>
                </c:pt>
                <c:pt idx="437">
                  <c:v>www.vulture.com</c:v>
                </c:pt>
                <c:pt idx="438">
                  <c:v>www.dw.de</c:v>
                </c:pt>
                <c:pt idx="439">
                  <c:v>www.thefourthperiod.com</c:v>
                </c:pt>
                <c:pt idx="440">
                  <c:v>www.telesurtv.net</c:v>
                </c:pt>
                <c:pt idx="441">
                  <c:v>www.whatdoesitmean.com</c:v>
                </c:pt>
                <c:pt idx="442">
                  <c:v>www.washingtonexaminer.com</c:v>
                </c:pt>
                <c:pt idx="443">
                  <c:v>www.middleeasteye.net</c:v>
                </c:pt>
                <c:pt idx="444">
                  <c:v>www.truthrevolt.org</c:v>
                </c:pt>
                <c:pt idx="445">
                  <c:v>www.newsandstar.co.uk</c:v>
                </c:pt>
                <c:pt idx="446">
                  <c:v>journalmetro.com</c:v>
                </c:pt>
                <c:pt idx="447">
                  <c:v>www.thrillist.com</c:v>
                </c:pt>
                <c:pt idx="448">
                  <c:v>www.newsweek.com</c:v>
                </c:pt>
                <c:pt idx="449">
                  <c:v>www.space.com</c:v>
                </c:pt>
                <c:pt idx="450">
                  <c:v>www.spacedaily.com</c:v>
                </c:pt>
                <c:pt idx="451">
                  <c:v>www.weather.com</c:v>
                </c:pt>
                <c:pt idx="452">
                  <c:v>www.myfoxtampabay.com</c:v>
                </c:pt>
                <c:pt idx="453">
                  <c:v>www.lowellsun.com</c:v>
                </c:pt>
                <c:pt idx="454">
                  <c:v>www.wcvb.com</c:v>
                </c:pt>
                <c:pt idx="455">
                  <c:v>www.wyff4.com</c:v>
                </c:pt>
                <c:pt idx="456">
                  <c:v>wafflesatnoon.com</c:v>
                </c:pt>
                <c:pt idx="457">
                  <c:v>www.si.com</c:v>
                </c:pt>
                <c:pt idx="458">
                  <c:v>www.sportingnews.com</c:v>
                </c:pt>
                <c:pt idx="459">
                  <c:v>www.sportsnet.ca</c:v>
                </c:pt>
                <c:pt idx="460">
                  <c:v>www.theprovince.com</c:v>
                </c:pt>
                <c:pt idx="461">
                  <c:v>www.thescore.com</c:v>
                </c:pt>
                <c:pt idx="462">
                  <c:v>www.premiumtimesng.com</c:v>
                </c:pt>
                <c:pt idx="463">
                  <c:v>www.pinknews.co.uk</c:v>
                </c:pt>
                <c:pt idx="464">
                  <c:v>www.dailyrecord.co.uk</c:v>
                </c:pt>
                <c:pt idx="465">
                  <c:v>www.scotsman.com</c:v>
                </c:pt>
                <c:pt idx="466">
                  <c:v>www.forexlive.com</c:v>
                </c:pt>
                <c:pt idx="467">
                  <c:v>www.streetinsider.com</c:v>
                </c:pt>
                <c:pt idx="468">
                  <c:v>www.trust.org</c:v>
                </c:pt>
                <c:pt idx="469">
                  <c:v>pulse.ng</c:v>
                </c:pt>
                <c:pt idx="470">
                  <c:v>usvsth3m.com</c:v>
                </c:pt>
                <c:pt idx="471">
                  <c:v>www.metaspoon.com</c:v>
                </c:pt>
                <c:pt idx="472">
                  <c:v>www.wzzm13.com</c:v>
                </c:pt>
                <c:pt idx="473">
                  <c:v>www.chicagotribune.com</c:v>
                </c:pt>
                <c:pt idx="474">
                  <c:v>www.omaha.com</c:v>
                </c:pt>
                <c:pt idx="475">
                  <c:v>www.religionnews.com</c:v>
                </c:pt>
                <c:pt idx="476">
                  <c:v>www.nzherald.co.nz</c:v>
                </c:pt>
                <c:pt idx="477">
                  <c:v>www.thebureauinvestigates.com</c:v>
                </c:pt>
                <c:pt idx="478">
                  <c:v>www.digitaljournal.com</c:v>
                </c:pt>
                <c:pt idx="479">
                  <c:v>www.patheos.com</c:v>
                </c:pt>
                <c:pt idx="480">
                  <c:v>www.spyghana.com</c:v>
                </c:pt>
                <c:pt idx="481">
                  <c:v>www.starrfmonline.com</c:v>
                </c:pt>
                <c:pt idx="482">
                  <c:v>www.wptz.com</c:v>
                </c:pt>
                <c:pt idx="483">
                  <c:v>stlouis.cbslocal.com</c:v>
                </c:pt>
                <c:pt idx="484">
                  <c:v>talkingpointsmemo.com</c:v>
                </c:pt>
                <c:pt idx="485">
                  <c:v>www.theroot.com</c:v>
                </c:pt>
                <c:pt idx="486">
                  <c:v>www.sciencealert.com.au</c:v>
                </c:pt>
                <c:pt idx="487">
                  <c:v>www.theage.com.au</c:v>
                </c:pt>
                <c:pt idx="488">
                  <c:v>www.thedenverchannel.com</c:v>
                </c:pt>
                <c:pt idx="489">
                  <c:v>www.watoday.com.au</c:v>
                </c:pt>
                <c:pt idx="490">
                  <c:v>www.vcpost.com</c:v>
                </c:pt>
                <c:pt idx="491">
                  <c:v>www.thesudburystar.com</c:v>
                </c:pt>
                <c:pt idx="492">
                  <c:v>www.stripes.com</c:v>
                </c:pt>
                <c:pt idx="493">
                  <c:v>www.straitstimes.com</c:v>
                </c:pt>
                <c:pt idx="494">
                  <c:v>www.thestranger.com</c:v>
                </c:pt>
                <c:pt idx="495">
                  <c:v>www.mercurynews.com</c:v>
                </c:pt>
                <c:pt idx="496">
                  <c:v>www.westernjournalism.com</c:v>
                </c:pt>
                <c:pt idx="497">
                  <c:v>tampa.cbslocal.com</c:v>
                </c:pt>
                <c:pt idx="498">
                  <c:v>www.dailydot.com</c:v>
                </c:pt>
                <c:pt idx="499">
                  <c:v>www.brobible.com</c:v>
                </c:pt>
                <c:pt idx="500">
                  <c:v>www.techinasia.com</c:v>
                </c:pt>
                <c:pt idx="501">
                  <c:v>www.wantchinatimes.com</c:v>
                </c:pt>
                <c:pt idx="502">
                  <c:v>www.thegloss.com</c:v>
                </c:pt>
                <c:pt idx="503">
                  <c:v>www.newseveryday.com</c:v>
                </c:pt>
                <c:pt idx="504">
                  <c:v>www.middleeastmonitor.com</c:v>
                </c:pt>
                <c:pt idx="505">
                  <c:v>in.reuters.com</c:v>
                </c:pt>
                <c:pt idx="506">
                  <c:v>consumerist.com</c:v>
                </c:pt>
                <c:pt idx="507">
                  <c:v>www.wibw.com</c:v>
                </c:pt>
                <c:pt idx="508">
                  <c:v>www.businessweek.com</c:v>
                </c:pt>
                <c:pt idx="509">
                  <c:v>www.voanews.com</c:v>
                </c:pt>
                <c:pt idx="510">
                  <c:v>www.weeklystandard.com</c:v>
                </c:pt>
                <c:pt idx="511">
                  <c:v>www.zdnet.com</c:v>
                </c:pt>
                <c:pt idx="512">
                  <c:v>bbc-news.co.uk</c:v>
                </c:pt>
                <c:pt idx="513">
                  <c:v>injusticestories.com</c:v>
                </c:pt>
                <c:pt idx="514">
                  <c:v>fusion.net</c:v>
                </c:pt>
                <c:pt idx="515">
                  <c:v>nytimes.com</c:v>
                </c:pt>
                <c:pt idx="516">
                  <c:v>ca.shine.yahoo.com</c:v>
                </c:pt>
                <c:pt idx="517">
                  <c:v>reason.com</c:v>
                </c:pt>
                <c:pt idx="518">
                  <c:v>gothamist.com</c:v>
                </c:pt>
                <c:pt idx="519">
                  <c:v>whateverblog.dallasnews.com</c:v>
                </c:pt>
                <c:pt idx="520">
                  <c:v>www.ajc.com</c:v>
                </c:pt>
                <c:pt idx="521">
                  <c:v>ksfm.cbslocal.com</c:v>
                </c:pt>
                <c:pt idx="522">
                  <c:v>www.alternet.org</c:v>
                </c:pt>
                <c:pt idx="523">
                  <c:v>blog.chron.com</c:v>
                </c:pt>
                <c:pt idx="524">
                  <c:v>blog.sfgate.com</c:v>
                </c:pt>
                <c:pt idx="525">
                  <c:v>www.calgarysun.com</c:v>
                </c:pt>
                <c:pt idx="526">
                  <c:v>sploid.gizmodo.com</c:v>
                </c:pt>
                <c:pt idx="527">
                  <c:v>notallowedto.com</c:v>
                </c:pt>
                <c:pt idx="528">
                  <c:v>www.grubstreet.com</c:v>
                </c:pt>
                <c:pt idx="529">
                  <c:v>news.nationalgeographic.com</c:v>
                </c:pt>
                <c:pt idx="530">
                  <c:v>tucson.com</c:v>
                </c:pt>
                <c:pt idx="531">
                  <c:v>twitter</c:v>
                </c:pt>
                <c:pt idx="532">
                  <c:v>www.bloombergview.com</c:v>
                </c:pt>
                <c:pt idx="533">
                  <c:v>www.freerepublic.com</c:v>
                </c:pt>
                <c:pt idx="534">
                  <c:v>abc7.com</c:v>
                </c:pt>
                <c:pt idx="535">
                  <c:v>newsfeed.gawker.com</c:v>
                </c:pt>
                <c:pt idx="536">
                  <c:v>www.chron.com</c:v>
                </c:pt>
                <c:pt idx="537">
                  <c:v>www.ack.net</c:v>
                </c:pt>
                <c:pt idx="538">
                  <c:v>www.boston.com</c:v>
                </c:pt>
                <c:pt idx="539">
                  <c:v>www.capecodonline.com</c:v>
                </c:pt>
                <c:pt idx="540">
                  <c:v>viral4real.com</c:v>
                </c:pt>
                <c:pt idx="541">
                  <c:v>www.carbonated.tv</c:v>
                </c:pt>
                <c:pt idx="542">
                  <c:v>dealbook.nytimes.com</c:v>
                </c:pt>
                <c:pt idx="543">
                  <c:v>kotaku.com</c:v>
                </c:pt>
                <c:pt idx="544">
                  <c:v>mojang.com</c:v>
                </c:pt>
                <c:pt idx="545">
                  <c:v>www.joystiq.com</c:v>
                </c:pt>
                <c:pt idx="546">
                  <c:v>travel.aol.co.uk</c:v>
                </c:pt>
                <c:pt idx="547">
                  <c:v>slam.canoe.ca</c:v>
                </c:pt>
                <c:pt idx="548">
                  <c:v>sports.yahoo.com</c:v>
                </c:pt>
                <c:pt idx="549">
                  <c:v>www.cbssports.com</c:v>
                </c:pt>
                <c:pt idx="550">
                  <c:v>www.foxsports.com</c:v>
                </c:pt>
                <c:pt idx="551">
                  <c:v>africacheck.org</c:v>
                </c:pt>
                <c:pt idx="552">
                  <c:v>countercurrentnews.com</c:v>
                </c:pt>
                <c:pt idx="553">
                  <c:v>munchies.vice.com</c:v>
                </c:pt>
                <c:pt idx="554">
                  <c:v>www.heraldscotland.com</c:v>
                </c:pt>
                <c:pt idx="555">
                  <c:v>www.duffelblog.com</c:v>
                </c:pt>
                <c:pt idx="556">
                  <c:v>oilpro.com</c:v>
                </c:pt>
                <c:pt idx="557">
                  <c:v>uk.reuters.com</c:v>
                </c:pt>
                <c:pt idx="558">
                  <c:v>frontburner.dmagazine.com</c:v>
                </c:pt>
                <c:pt idx="559">
                  <c:v>wonkette.com</c:v>
                </c:pt>
                <c:pt idx="560">
                  <c:v>m.fastcocreate.com</c:v>
                </c:pt>
                <c:pt idx="561">
                  <c:v>verne.elpais.com</c:v>
                </c:pt>
                <c:pt idx="562">
                  <c:v>www.addictinginfo.org</c:v>
                </c:pt>
                <c:pt idx="563">
                  <c:v>www.elwatannews.com</c:v>
                </c:pt>
                <c:pt idx="564">
                  <c:v>wgntv.com</c:v>
                </c:pt>
                <c:pt idx="565">
                  <c:v>www.firstpost.com</c:v>
                </c:pt>
                <c:pt idx="566">
                  <c:v>www.bedfordshire-news.co.uk</c:v>
                </c:pt>
                <c:pt idx="567">
                  <c:v>www.communicationsjournal.co.uk</c:v>
                </c:pt>
                <c:pt idx="568">
                  <c:v>latino.foxnews.com</c:v>
                </c:pt>
                <c:pt idx="569">
                  <c:v>bellingcat.com</c:v>
                </c:pt>
                <c:pt idx="570">
                  <c:v>medium.com</c:v>
                </c:pt>
                <c:pt idx="571">
                  <c:v>www.catholic.org</c:v>
                </c:pt>
                <c:pt idx="572">
                  <c:v>kvil.cbslocal.com</c:v>
                </c:pt>
                <c:pt idx="573">
                  <c:v>netloid.com</c:v>
                </c:pt>
                <c:pt idx="574">
                  <c:v>newsafricanow.com</c:v>
                </c:pt>
                <c:pt idx="575">
                  <c:v>thenet.ng</c:v>
                </c:pt>
                <c:pt idx="576">
                  <c:v>urbanlegends.about.com</c:v>
                </c:pt>
                <c:pt idx="577">
                  <c:v>www.20minutes.fr</c:v>
                </c:pt>
                <c:pt idx="578">
                  <c:v>www.monitor.co.ug</c:v>
                </c:pt>
                <c:pt idx="579">
                  <c:v>jacksonville.com</c:v>
                </c:pt>
                <c:pt idx="580">
                  <c:v>www.dispatch.com</c:v>
                </c:pt>
                <c:pt idx="581">
                  <c:v>www.hindustantimes.com</c:v>
                </c:pt>
                <c:pt idx="582">
                  <c:v>www.kcra.com</c:v>
                </c:pt>
                <c:pt idx="583">
                  <c:v>www.gforgames.com</c:v>
                </c:pt>
                <c:pt idx="584">
                  <c:v>www.collegehumor.com</c:v>
                </c:pt>
                <c:pt idx="585">
                  <c:v>www.myfoxchicago.com</c:v>
                </c:pt>
                <c:pt idx="586">
                  <c:v>gulfnews.com</c:v>
                </c:pt>
                <c:pt idx="587">
                  <c:v>www.chathamdailynews.ca</c:v>
                </c:pt>
                <c:pt idx="588">
                  <c:v>www.ndtv.com</c:v>
                </c:pt>
                <c:pt idx="589">
                  <c:v>seattle.cbslocal.com</c:v>
                </c:pt>
                <c:pt idx="590">
                  <c:v>fox2now.com</c:v>
                </c:pt>
                <c:pt idx="591">
                  <c:v>ktla.com</c:v>
                </c:pt>
                <c:pt idx="592">
                  <c:v>q13fox.com</c:v>
                </c:pt>
                <c:pt idx="593">
                  <c:v>www.dailykos.com</c:v>
                </c:pt>
                <c:pt idx="594">
                  <c:v>huzlers.com</c:v>
                </c:pt>
                <c:pt idx="595">
                  <c:v>ottawacitizen.com</c:v>
                </c:pt>
                <c:pt idx="596">
                  <c:v>www.570news.com</c:v>
                </c:pt>
                <c:pt idx="597">
                  <c:v>kdvr.com</c:v>
                </c:pt>
                <c:pt idx="598">
                  <c:v>wtvr.com</c:v>
                </c:pt>
                <c:pt idx="599">
                  <c:v>www.newsday.com</c:v>
                </c:pt>
                <c:pt idx="600">
                  <c:v>www.ntnews.com.au</c:v>
                </c:pt>
                <c:pt idx="601">
                  <c:v>www.perthnow.com.au</c:v>
                </c:pt>
                <c:pt idx="602">
                  <c:v>ikwiz.com</c:v>
                </c:pt>
                <c:pt idx="603">
                  <c:v>moviepilot.com</c:v>
                </c:pt>
                <c:pt idx="604">
                  <c:v>www.oaoa.com</c:v>
                </c:pt>
                <c:pt idx="605">
                  <c:v>2paragraphs.com</c:v>
                </c:pt>
                <c:pt idx="606">
                  <c:v>collider.com</c:v>
                </c:pt>
                <c:pt idx="607">
                  <c:v>www.avsforum.com</c:v>
                </c:pt>
                <c:pt idx="608">
                  <c:v>www.reddit.com</c:v>
                </c:pt>
                <c:pt idx="609">
                  <c:v>popwatch.ew.com</c:v>
                </c:pt>
                <c:pt idx="610">
                  <c:v>bizbeatblog.dallasnews.com</c:v>
                </c:pt>
                <c:pt idx="611">
                  <c:v>www.mynews3.com</c:v>
                </c:pt>
                <c:pt idx="612">
                  <c:v>houston.cbslocal.com</c:v>
                </c:pt>
                <c:pt idx="613">
                  <c:v>www.galvestondailynews.com</c:v>
                </c:pt>
                <c:pt idx="614">
                  <c:v>fox59.com</c:v>
                </c:pt>
                <c:pt idx="615">
                  <c:v>homes.yahoo.com</c:v>
                </c:pt>
                <c:pt idx="616">
                  <c:v>www.golfchannel.com</c:v>
                </c:pt>
                <c:pt idx="617">
                  <c:v>news.discovery.com</c:v>
                </c:pt>
                <c:pt idx="618">
                  <c:v>www.bostonglobe.com</c:v>
                </c:pt>
                <c:pt idx="619">
                  <c:v>www.lgbtqnation.com</c:v>
                </c:pt>
                <c:pt idx="620">
                  <c:v>www.newnownext.com</c:v>
                </c:pt>
                <c:pt idx="621">
                  <c:v>www.edp24.co.uk</c:v>
                </c:pt>
                <c:pt idx="622">
                  <c:v>uniladmag.com</c:v>
                </c:pt>
                <c:pt idx="623">
                  <c:v>en.huxiu.com</c:v>
                </c:pt>
                <c:pt idx="624">
                  <c:v>news.mydrivers.com</c:v>
                </c:pt>
                <c:pt idx="625">
                  <c:v>www.iclarified.com</c:v>
                </c:pt>
                <c:pt idx="626">
                  <c:v>racked.com</c:v>
                </c:pt>
                <c:pt idx="627">
                  <c:v>blogs.strategyanalytics.com</c:v>
                </c:pt>
                <c:pt idx="628">
                  <c:v>siliconangle.com</c:v>
                </c:pt>
                <c:pt idx="629">
                  <c:v>msmbc.co</c:v>
                </c:pt>
                <c:pt idx="630">
                  <c:v>firsttoknow.com</c:v>
                </c:pt>
                <c:pt idx="631">
                  <c:v>video.roanoke.com</c:v>
                </c:pt>
                <c:pt idx="632">
                  <c:v>mediablackoutusa.com</c:v>
                </c:pt>
                <c:pt idx="633">
                  <c:v>thesource.com</c:v>
                </c:pt>
                <c:pt idx="634">
                  <c:v>www.kmov.com</c:v>
                </c:pt>
                <c:pt idx="635">
                  <c:v>www.saycheesetv.com</c:v>
                </c:pt>
                <c:pt idx="636">
                  <c:v>www.business2community.com</c:v>
                </c:pt>
                <c:pt idx="637">
                  <c:v>www.mumbaimirror.com</c:v>
                </c:pt>
                <c:pt idx="638">
                  <c:v>www.newsmaxhealth.com</c:v>
                </c:pt>
                <c:pt idx="639">
                  <c:v>allafrica.com</c:v>
                </c:pt>
                <c:pt idx="640">
                  <c:v>egyptianstreets.com</c:v>
                </c:pt>
                <c:pt idx="641">
                  <c:v>english.ahram.org.eg</c:v>
                </c:pt>
                <c:pt idx="642">
                  <c:v>mondoweiss.net</c:v>
                </c:pt>
                <c:pt idx="643">
                  <c:v>www.breakingisraelnews.com</c:v>
                </c:pt>
                <c:pt idx="644">
                  <c:v>www.egyptindependent.com</c:v>
                </c:pt>
                <c:pt idx="645">
                  <c:v>www.imra.org.il</c:v>
                </c:pt>
                <c:pt idx="646">
                  <c:v>www.indybay.org</c:v>
                </c:pt>
                <c:pt idx="647">
                  <c:v>themichaelreport.com</c:v>
                </c:pt>
                <c:pt idx="648">
                  <c:v>americasmarkets.usatoday.com</c:v>
                </c:pt>
                <c:pt idx="649">
                  <c:v>bostinno.streetwise.co</c:v>
                </c:pt>
                <c:pt idx="650">
                  <c:v>crimefeed.com</c:v>
                </c:pt>
                <c:pt idx="651">
                  <c:v>www.dailytelegraph.com.au</c:v>
                </c:pt>
                <c:pt idx="652">
                  <c:v>fox8.com</c:v>
                </c:pt>
                <c:pt idx="653">
                  <c:v>kfor.com</c:v>
                </c:pt>
                <c:pt idx="654">
                  <c:v>www.plymouthherald.co.uk</c:v>
                </c:pt>
                <c:pt idx="655">
                  <c:v>www.monitornacional.com</c:v>
                </c:pt>
                <c:pt idx="656">
                  <c:v>www.noticiasunam.com</c:v>
                </c:pt>
                <c:pt idx="657">
                  <c:v>springsadvertiser.co.za</c:v>
                </c:pt>
                <c:pt idx="658">
                  <c:v>www.iol.co.za</c:v>
                </c:pt>
                <c:pt idx="659">
                  <c:v>www.news24.com</c:v>
                </c:pt>
                <c:pt idx="660">
                  <c:v>www.epictimes.com</c:v>
                </c:pt>
                <c:pt idx="661">
                  <c:v>fox4kc.com</c:v>
                </c:pt>
                <c:pt idx="662">
                  <c:v>www.kansascity.com</c:v>
                </c:pt>
                <c:pt idx="663">
                  <c:v>www.kctv5.com</c:v>
                </c:pt>
                <c:pt idx="664">
                  <c:v>www.kmbc.com</c:v>
                </c:pt>
                <c:pt idx="665">
                  <c:v>www.kshb.com</c:v>
                </c:pt>
                <c:pt idx="666">
                  <c:v>www.kwch.com</c:v>
                </c:pt>
                <c:pt idx="667">
                  <c:v>myfox8.com</c:v>
                </c:pt>
                <c:pt idx="668">
                  <c:v>www.elonpendulum.com</c:v>
                </c:pt>
                <c:pt idx="669">
                  <c:v>www.thecollegefix.com</c:v>
                </c:pt>
                <c:pt idx="670">
                  <c:v>www.livemint.com</c:v>
                </c:pt>
                <c:pt idx="671">
                  <c:v>www.nbcbayarea.com</c:v>
                </c:pt>
                <c:pt idx="672">
                  <c:v>www.newsshopper.co.uk</c:v>
                </c:pt>
                <c:pt idx="673">
                  <c:v>21stcenturywire.com</c:v>
                </c:pt>
                <c:pt idx="674">
                  <c:v>uprootedpalestinians.wordpress.com</c:v>
                </c:pt>
                <c:pt idx="675">
                  <c:v>disinfo.com</c:v>
                </c:pt>
                <c:pt idx="676">
                  <c:v>reseauinternational.net</c:v>
                </c:pt>
                <c:pt idx="677">
                  <c:v>www.examiner.co.uk</c:v>
                </c:pt>
                <c:pt idx="678">
                  <c:v>business.financialpost.com</c:v>
                </c:pt>
                <c:pt idx="679">
                  <c:v>www.itworld.com</c:v>
                </c:pt>
                <c:pt idx="680">
                  <c:v>www.thestandard.com.hk</c:v>
                </c:pt>
                <c:pt idx="681">
                  <c:v>conservativetribune.com</c:v>
                </c:pt>
                <c:pt idx="682">
                  <c:v>en.ria.ru</c:v>
                </c:pt>
                <c:pt idx="683">
                  <c:v>syriahr.com</c:v>
                </c:pt>
                <c:pt idx="684">
                  <c:v>www.cbn.com</c:v>
                </c:pt>
                <c:pt idx="685">
                  <c:v>rudaw.net</c:v>
                </c:pt>
                <c:pt idx="686">
                  <c:v>www.alsabaah.iq</c:v>
                </c:pt>
                <c:pt idx="687">
                  <c:v>www.latinpost.com</c:v>
                </c:pt>
                <c:pt idx="688">
                  <c:v>www.sciencetimes.com</c:v>
                </c:pt>
                <c:pt idx="689">
                  <c:v>www.i24news.tv</c:v>
                </c:pt>
                <c:pt idx="690">
                  <c:v>www.mintpressnews.com</c:v>
                </c:pt>
                <c:pt idx="691">
                  <c:v>www.ninanews.com</c:v>
                </c:pt>
                <c:pt idx="692">
                  <c:v>thediplomat.com</c:v>
                </c:pt>
                <c:pt idx="693">
                  <c:v>www.marketwatch.com</c:v>
                </c:pt>
                <c:pt idx="694">
                  <c:v>cnews.canoe.ca</c:v>
                </c:pt>
                <c:pt idx="695">
                  <c:v>ibnlive.in.com</c:v>
                </c:pt>
                <c:pt idx="696">
                  <c:v>indianexpress.com</c:v>
                </c:pt>
                <c:pt idx="697">
                  <c:v>www.thehindu.com</c:v>
                </c:pt>
                <c:pt idx="698">
                  <c:v>www.ksl.com</c:v>
                </c:pt>
                <c:pt idx="699">
                  <c:v>www.relevantmagazine.com</c:v>
                </c:pt>
                <c:pt idx="700">
                  <c:v>national.suntimes.com</c:v>
                </c:pt>
                <c:pt idx="701">
                  <c:v>centralasiaonline.com</c:v>
                </c:pt>
                <c:pt idx="702">
                  <c:v>www.khaama.com</c:v>
                </c:pt>
                <c:pt idx="703">
                  <c:v>www.tolonews.com</c:v>
                </c:pt>
                <c:pt idx="704">
                  <c:v>dailycurrant.com</c:v>
                </c:pt>
                <c:pt idx="705">
                  <c:v>www.thefederalistpapers.org</c:v>
                </c:pt>
                <c:pt idx="706">
                  <c:v>www.montrealgazette.com</c:v>
                </c:pt>
                <c:pt idx="707">
                  <c:v>www.anorak.co.uk</c:v>
                </c:pt>
                <c:pt idx="708">
                  <c:v>www.hiphophangover.com</c:v>
                </c:pt>
                <c:pt idx="709">
                  <c:v>aina.org</c:v>
                </c:pt>
                <c:pt idx="710">
                  <c:v>www.pakistantoday.com.pk</c:v>
                </c:pt>
                <c:pt idx="711">
                  <c:v>www.the-star.co.ke</c:v>
                </c:pt>
                <c:pt idx="712">
                  <c:v>mobile.nytimes.com</c:v>
                </c:pt>
                <c:pt idx="713">
                  <c:v>moneyweek.com</c:v>
                </c:pt>
                <c:pt idx="714">
                  <c:v>sputniknews.com</c:v>
                </c:pt>
                <c:pt idx="715">
                  <c:v>www.casinocitytimes.com</c:v>
                </c:pt>
                <c:pt idx="716">
                  <c:v>www.marketplace.org</c:v>
                </c:pt>
                <c:pt idx="717">
                  <c:v>www.standardmedia.co.ke</c:v>
                </c:pt>
                <c:pt idx="718">
                  <c:v>lifenews.ru</c:v>
                </c:pt>
                <c:pt idx="719">
                  <c:v>www.pressandjournal.co.uk</c:v>
                </c:pt>
                <c:pt idx="720">
                  <c:v>fansided.com</c:v>
                </c:pt>
                <c:pt idx="721">
                  <c:v>thegolfnewsnet.com</c:v>
                </c:pt>
                <c:pt idx="722">
                  <c:v>digg.com</c:v>
                </c:pt>
                <c:pt idx="723">
                  <c:v>shanghaiist.com</c:v>
                </c:pt>
              </c:strCache>
            </c:strRef>
          </c:cat>
          <c:val>
            <c:numRef>
              <c:f>small_source!$B$2:$B$725</c:f>
              <c:numCache>
                <c:formatCode>General</c:formatCode>
                <c:ptCount val="724"/>
                <c:pt idx="0">
                  <c:v>134</c:v>
                </c:pt>
                <c:pt idx="1">
                  <c:v>63</c:v>
                </c:pt>
                <c:pt idx="2">
                  <c:v>52</c:v>
                </c:pt>
                <c:pt idx="3">
                  <c:v>50</c:v>
                </c:pt>
                <c:pt idx="4">
                  <c:v>46</c:v>
                </c:pt>
                <c:pt idx="5">
                  <c:v>46</c:v>
                </c:pt>
                <c:pt idx="6">
                  <c:v>45</c:v>
                </c:pt>
                <c:pt idx="7">
                  <c:v>41</c:v>
                </c:pt>
                <c:pt idx="8">
                  <c:v>37</c:v>
                </c:pt>
                <c:pt idx="9">
                  <c:v>36</c:v>
                </c:pt>
                <c:pt idx="10">
                  <c:v>35</c:v>
                </c:pt>
                <c:pt idx="11">
                  <c:v>35</c:v>
                </c:pt>
                <c:pt idx="12">
                  <c:v>30</c:v>
                </c:pt>
                <c:pt idx="13">
                  <c:v>29</c:v>
                </c:pt>
                <c:pt idx="14">
                  <c:v>29</c:v>
                </c:pt>
                <c:pt idx="15">
                  <c:v>29</c:v>
                </c:pt>
                <c:pt idx="16">
                  <c:v>28</c:v>
                </c:pt>
                <c:pt idx="17">
                  <c:v>28</c:v>
                </c:pt>
                <c:pt idx="18">
                  <c:v>27</c:v>
                </c:pt>
                <c:pt idx="19">
                  <c:v>27</c:v>
                </c:pt>
                <c:pt idx="20">
                  <c:v>26</c:v>
                </c:pt>
                <c:pt idx="21">
                  <c:v>23</c:v>
                </c:pt>
                <c:pt idx="22">
                  <c:v>22</c:v>
                </c:pt>
                <c:pt idx="23">
                  <c:v>22</c:v>
                </c:pt>
                <c:pt idx="24">
                  <c:v>20</c:v>
                </c:pt>
                <c:pt idx="25">
                  <c:v>20</c:v>
                </c:pt>
                <c:pt idx="26">
                  <c:v>20</c:v>
                </c:pt>
                <c:pt idx="27">
                  <c:v>20</c:v>
                </c:pt>
                <c:pt idx="28">
                  <c:v>17</c:v>
                </c:pt>
                <c:pt idx="29">
                  <c:v>17</c:v>
                </c:pt>
                <c:pt idx="30">
                  <c:v>17</c:v>
                </c:pt>
                <c:pt idx="31">
                  <c:v>17</c:v>
                </c:pt>
                <c:pt idx="32">
                  <c:v>17</c:v>
                </c:pt>
                <c:pt idx="33">
                  <c:v>17</c:v>
                </c:pt>
                <c:pt idx="34">
                  <c:v>16</c:v>
                </c:pt>
                <c:pt idx="35">
                  <c:v>15</c:v>
                </c:pt>
                <c:pt idx="36">
                  <c:v>14</c:v>
                </c:pt>
                <c:pt idx="37">
                  <c:v>14</c:v>
                </c:pt>
                <c:pt idx="38">
                  <c:v>14</c:v>
                </c:pt>
                <c:pt idx="39">
                  <c:v>14</c:v>
                </c:pt>
                <c:pt idx="40">
                  <c:v>13</c:v>
                </c:pt>
                <c:pt idx="41">
                  <c:v>13</c:v>
                </c:pt>
                <c:pt idx="42">
                  <c:v>13</c:v>
                </c:pt>
                <c:pt idx="43">
                  <c:v>13</c:v>
                </c:pt>
                <c:pt idx="44">
                  <c:v>13</c:v>
                </c:pt>
                <c:pt idx="45">
                  <c:v>13</c:v>
                </c:pt>
                <c:pt idx="46">
                  <c:v>12</c:v>
                </c:pt>
                <c:pt idx="47">
                  <c:v>12</c:v>
                </c:pt>
                <c:pt idx="48">
                  <c:v>12</c:v>
                </c:pt>
                <c:pt idx="49">
                  <c:v>12</c:v>
                </c:pt>
                <c:pt idx="50">
                  <c:v>11</c:v>
                </c:pt>
                <c:pt idx="51">
                  <c:v>11</c:v>
                </c:pt>
                <c:pt idx="52">
                  <c:v>11</c:v>
                </c:pt>
                <c:pt idx="53">
                  <c:v>11</c:v>
                </c:pt>
                <c:pt idx="54">
                  <c:v>10</c:v>
                </c:pt>
                <c:pt idx="55">
                  <c:v>10</c:v>
                </c:pt>
                <c:pt idx="56">
                  <c:v>10</c:v>
                </c:pt>
                <c:pt idx="57">
                  <c:v>10</c:v>
                </c:pt>
                <c:pt idx="58">
                  <c:v>10</c:v>
                </c:pt>
                <c:pt idx="59">
                  <c:v>9</c:v>
                </c:pt>
                <c:pt idx="60">
                  <c:v>9</c:v>
                </c:pt>
                <c:pt idx="61">
                  <c:v>9</c:v>
                </c:pt>
                <c:pt idx="62">
                  <c:v>8</c:v>
                </c:pt>
                <c:pt idx="63">
                  <c:v>8</c:v>
                </c:pt>
                <c:pt idx="64">
                  <c:v>8</c:v>
                </c:pt>
                <c:pt idx="65">
                  <c:v>8</c:v>
                </c:pt>
                <c:pt idx="66">
                  <c:v>7</c:v>
                </c:pt>
                <c:pt idx="67">
                  <c:v>7</c:v>
                </c:pt>
                <c:pt idx="68">
                  <c:v>7</c:v>
                </c:pt>
                <c:pt idx="69">
                  <c:v>7</c:v>
                </c:pt>
                <c:pt idx="70">
                  <c:v>7</c:v>
                </c:pt>
                <c:pt idx="71">
                  <c:v>7</c:v>
                </c:pt>
                <c:pt idx="72">
                  <c:v>7</c:v>
                </c:pt>
                <c:pt idx="73">
                  <c:v>7</c:v>
                </c:pt>
                <c:pt idx="74">
                  <c:v>6</c:v>
                </c:pt>
                <c:pt idx="75">
                  <c:v>6</c:v>
                </c:pt>
                <c:pt idx="76">
                  <c:v>6</c:v>
                </c:pt>
                <c:pt idx="77">
                  <c:v>6</c:v>
                </c:pt>
                <c:pt idx="78">
                  <c:v>6</c:v>
                </c:pt>
                <c:pt idx="79">
                  <c:v>6</c:v>
                </c:pt>
                <c:pt idx="80">
                  <c:v>6</c:v>
                </c:pt>
                <c:pt idx="81">
                  <c:v>6</c:v>
                </c:pt>
                <c:pt idx="82">
                  <c:v>6</c:v>
                </c:pt>
                <c:pt idx="83">
                  <c:v>6</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2</c:v>
                </c:pt>
                <c:pt idx="250">
                  <c:v>2</c:v>
                </c:pt>
                <c:pt idx="251">
                  <c:v>2</c:v>
                </c:pt>
                <c:pt idx="252">
                  <c:v>2</c:v>
                </c:pt>
                <c:pt idx="253">
                  <c:v>2</c:v>
                </c:pt>
                <c:pt idx="254">
                  <c:v>2</c:v>
                </c:pt>
                <c:pt idx="255">
                  <c:v>2</c:v>
                </c:pt>
                <c:pt idx="256">
                  <c:v>2</c:v>
                </c:pt>
                <c:pt idx="257">
                  <c:v>2</c:v>
                </c:pt>
                <c:pt idx="258">
                  <c:v>2</c:v>
                </c:pt>
                <c:pt idx="259">
                  <c:v>2</c:v>
                </c:pt>
                <c:pt idx="260">
                  <c:v>2</c:v>
                </c:pt>
                <c:pt idx="261">
                  <c:v>2</c:v>
                </c:pt>
                <c:pt idx="262">
                  <c:v>2</c:v>
                </c:pt>
                <c:pt idx="263">
                  <c:v>2</c:v>
                </c:pt>
                <c:pt idx="264">
                  <c:v>2</c:v>
                </c:pt>
                <c:pt idx="265">
                  <c:v>2</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0</c:v>
                </c:pt>
                <c:pt idx="722">
                  <c:v>0</c:v>
                </c:pt>
              </c:numCache>
            </c:numRef>
          </c:val>
          <c:extLst>
            <c:ext xmlns:c16="http://schemas.microsoft.com/office/drawing/2014/chart" uri="{C3380CC4-5D6E-409C-BE32-E72D297353CC}">
              <c16:uniqueId val="{00000000-624E-B248-81C1-31CBAF179857}"/>
            </c:ext>
          </c:extLst>
        </c:ser>
        <c:dLbls>
          <c:showLegendKey val="0"/>
          <c:showVal val="0"/>
          <c:showCatName val="0"/>
          <c:showSerName val="0"/>
          <c:showPercent val="0"/>
          <c:showBubbleSize val="0"/>
        </c:dLbls>
        <c:gapWidth val="219"/>
        <c:overlap val="-27"/>
        <c:axId val="745987552"/>
        <c:axId val="791773696"/>
      </c:barChart>
      <c:catAx>
        <c:axId val="74598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73696"/>
        <c:crosses val="autoZero"/>
        <c:auto val="1"/>
        <c:lblAlgn val="ctr"/>
        <c:lblOffset val="100"/>
        <c:noMultiLvlLbl val="0"/>
      </c:catAx>
      <c:valAx>
        <c:axId val="79177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987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720758982893843E-2"/>
          <c:y val="1.8208955223880597E-2"/>
          <c:w val="0.93027924101710613"/>
          <c:h val="0.45082827333150521"/>
        </c:manualLayout>
      </c:layout>
      <c:barChart>
        <c:barDir val="col"/>
        <c:grouping val="clustered"/>
        <c:varyColors val="0"/>
        <c:ser>
          <c:idx val="0"/>
          <c:order val="0"/>
          <c:spPr>
            <a:solidFill>
              <a:schemeClr val="accent1"/>
            </a:solidFill>
            <a:ln>
              <a:noFill/>
            </a:ln>
            <a:effectLst/>
          </c:spPr>
          <c:invertIfNegative val="0"/>
          <c:cat>
            <c:strRef>
              <c:f>small_source!$A$2:$A$725</c:f>
              <c:strCache>
                <c:ptCount val="724"/>
                <c:pt idx="0">
                  <c:v>appleinsider.com</c:v>
                </c:pt>
                <c:pt idx="1">
                  <c:v>au.tv.yahoo.com</c:v>
                </c:pt>
                <c:pt idx="2">
                  <c:v>www.9news.com.au</c:v>
                </c:pt>
                <c:pt idx="3">
                  <c:v>www.dailymail.co.uk</c:v>
                </c:pt>
                <c:pt idx="4">
                  <c:v>www.examiner.com</c:v>
                </c:pt>
                <c:pt idx="5">
                  <c:v>www.irishmirror.ie</c:v>
                </c:pt>
                <c:pt idx="6">
                  <c:v>www.mirror.co.uk</c:v>
                </c:pt>
                <c:pt idx="7">
                  <c:v>www.newser.com</c:v>
                </c:pt>
                <c:pt idx="8">
                  <c:v>www.macrumors.com</c:v>
                </c:pt>
                <c:pt idx="9">
                  <c:v>metro.co.uk</c:v>
                </c:pt>
                <c:pt idx="10">
                  <c:v>www.ibtimes.co.in</c:v>
                </c:pt>
                <c:pt idx="11">
                  <c:v>www.huffingtonpost.in</c:v>
                </c:pt>
                <c:pt idx="12">
                  <c:v>www.ibtimes.co.uk</c:v>
                </c:pt>
                <c:pt idx="13">
                  <c:v>www.nydailynews.com</c:v>
                </c:pt>
                <c:pt idx="14">
                  <c:v>online.wsj.com</c:v>
                </c:pt>
                <c:pt idx="15">
                  <c:v>worldnewsdailyreport.com</c:v>
                </c:pt>
                <c:pt idx="16">
                  <c:v>time.com</c:v>
                </c:pt>
                <c:pt idx="17">
                  <c:v>timesofindia.indiatimes.com</c:v>
                </c:pt>
                <c:pt idx="18">
                  <c:v>www.bbc.com</c:v>
                </c:pt>
                <c:pt idx="19">
                  <c:v>www.aljazeera.com</c:v>
                </c:pt>
                <c:pt idx="20">
                  <c:v>www.asianage.com</c:v>
                </c:pt>
                <c:pt idx="21">
                  <c:v>www.buzzfeed.com</c:v>
                </c:pt>
                <c:pt idx="22">
                  <c:v>www.huffingtonpost.com</c:v>
                </c:pt>
                <c:pt idx="23">
                  <c:v>www.cnn.com</c:v>
                </c:pt>
                <c:pt idx="24">
                  <c:v>www.independent.co.uk</c:v>
                </c:pt>
                <c:pt idx="25">
                  <c:v>www.telegraph.co.uk</c:v>
                </c:pt>
                <c:pt idx="26">
                  <c:v>www.smh.com.au</c:v>
                </c:pt>
                <c:pt idx="27">
                  <c:v>www.theatlantic.com</c:v>
                </c:pt>
                <c:pt idx="28">
                  <c:v>www.theguardian.com</c:v>
                </c:pt>
                <c:pt idx="29">
                  <c:v>www.washingtonpost.com</c:v>
                </c:pt>
                <c:pt idx="30">
                  <c:v>www.dailystar.co.uk</c:v>
                </c:pt>
                <c:pt idx="31">
                  <c:v>www.theglobeandmail.com</c:v>
                </c:pt>
                <c:pt idx="32">
                  <c:v>news.sky.com</c:v>
                </c:pt>
                <c:pt idx="33">
                  <c:v>www.huffingtonpost.co.uk</c:v>
                </c:pt>
                <c:pt idx="34">
                  <c:v>www.express.co.uk</c:v>
                </c:pt>
                <c:pt idx="35">
                  <c:v>www.theargus.co.uk</c:v>
                </c:pt>
                <c:pt idx="36">
                  <c:v>www.businessinsider.com</c:v>
                </c:pt>
                <c:pt idx="37">
                  <c:v>gizmodo.com</c:v>
                </c:pt>
                <c:pt idx="38">
                  <c:v>www.cnbc.com</c:v>
                </c:pt>
                <c:pt idx="39">
                  <c:v>theweek.com</c:v>
                </c:pt>
                <c:pt idx="40">
                  <c:v>9to5mac.com</c:v>
                </c:pt>
                <c:pt idx="41">
                  <c:v>bgr.com</c:v>
                </c:pt>
                <c:pt idx="42">
                  <c:v>www.theverge.com</c:v>
                </c:pt>
                <c:pt idx="43">
                  <c:v>www.engadget.com</c:v>
                </c:pt>
                <c:pt idx="44">
                  <c:v>nationalreport.net</c:v>
                </c:pt>
                <c:pt idx="45">
                  <c:v>www.digitimes.com</c:v>
                </c:pt>
                <c:pt idx="46">
                  <c:v>www.ibtimes.com</c:v>
                </c:pt>
                <c:pt idx="47">
                  <c:v>techcrunch.com</c:v>
                </c:pt>
                <c:pt idx="48">
                  <c:v>www.forbes.com</c:v>
                </c:pt>
                <c:pt idx="49">
                  <c:v>www.geek.com</c:v>
                </c:pt>
                <c:pt idx="50">
                  <c:v>www.techtimes.com</c:v>
                </c:pt>
                <c:pt idx="51">
                  <c:v>www.slashgear.com</c:v>
                </c:pt>
                <c:pt idx="52">
                  <c:v>www.macworld.com</c:v>
                </c:pt>
                <c:pt idx="53">
                  <c:v>www.macworld.co.uk</c:v>
                </c:pt>
                <c:pt idx="54">
                  <c:v>www.usatoday.com</c:v>
                </c:pt>
                <c:pt idx="55">
                  <c:v>www.igen.fr</c:v>
                </c:pt>
                <c:pt idx="56">
                  <c:v>pando.com</c:v>
                </c:pt>
                <c:pt idx="57">
                  <c:v>grail-watch.com</c:v>
                </c:pt>
                <c:pt idx="58">
                  <c:v>www.cultofmac.com</c:v>
                </c:pt>
                <c:pt idx="59">
                  <c:v>www.ubergizmo.com</c:v>
                </c:pt>
                <c:pt idx="60">
                  <c:v>investorplace.com</c:v>
                </c:pt>
                <c:pt idx="61">
                  <c:v>www.apfelpage.de</c:v>
                </c:pt>
                <c:pt idx="62">
                  <c:v>www.bizjournals.com</c:v>
                </c:pt>
                <c:pt idx="63">
                  <c:v>valleywag.gawker.com</c:v>
                </c:pt>
                <c:pt idx="64">
                  <c:v>www.businessinsider.in</c:v>
                </c:pt>
                <c:pt idx="65">
                  <c:v>www.cnet.com</c:v>
                </c:pt>
                <c:pt idx="66">
                  <c:v>gigaom.com</c:v>
                </c:pt>
                <c:pt idx="67">
                  <c:v>www.bgr.in</c:v>
                </c:pt>
                <c:pt idx="68">
                  <c:v>gadgets.ndtv.com</c:v>
                </c:pt>
                <c:pt idx="69">
                  <c:v>recode.net</c:v>
                </c:pt>
                <c:pt idx="70">
                  <c:v>www.networkworld.com</c:v>
                </c:pt>
                <c:pt idx="71">
                  <c:v>www.iphoneincanada.ca</c:v>
                </c:pt>
                <c:pt idx="72">
                  <c:v>idevicedailys.com</c:v>
                </c:pt>
                <c:pt idx="73">
                  <c:v>wearabletechnologies.co.uk</c:v>
                </c:pt>
                <c:pt idx="74">
                  <c:v>uproxx.com</c:v>
                </c:pt>
                <c:pt idx="75">
                  <c:v>mic.com</c:v>
                </c:pt>
                <c:pt idx="76">
                  <c:v>macdailynews.com</c:v>
                </c:pt>
                <c:pt idx="77">
                  <c:v>www.macobserver.com</c:v>
                </c:pt>
                <c:pt idx="78">
                  <c:v>www.gsmarena.com</c:v>
                </c:pt>
                <c:pt idx="79">
                  <c:v>www.besttechie.com</c:v>
                </c:pt>
                <c:pt idx="80">
                  <c:v>blogs.barrons.com</c:v>
                </c:pt>
                <c:pt idx="81">
                  <c:v>mashable.com</c:v>
                </c:pt>
                <c:pt idx="82">
                  <c:v>jezebel.com</c:v>
                </c:pt>
                <c:pt idx="83">
                  <c:v>au.ibtimes.com</c:v>
                </c:pt>
                <c:pt idx="84">
                  <c:v>perezhilton.com</c:v>
                </c:pt>
                <c:pt idx="85">
                  <c:v>www.fastcompany.com</c:v>
                </c:pt>
                <c:pt idx="86">
                  <c:v>www.bustle.com</c:v>
                </c:pt>
                <c:pt idx="87">
                  <c:v>thenextweb.com</c:v>
                </c:pt>
                <c:pt idx="88">
                  <c:v>www.techradar.com</c:v>
                </c:pt>
                <c:pt idx="89">
                  <c:v>www.pcworld.com</c:v>
                </c:pt>
                <c:pt idx="90">
                  <c:v>factually.gizmodo.com</c:v>
                </c:pt>
                <c:pt idx="91">
                  <c:v>www.geekwire.com</c:v>
                </c:pt>
                <c:pt idx="92">
                  <c:v>mobilemarketingmagazine.com</c:v>
                </c:pt>
                <c:pt idx="93">
                  <c:v>mobilesyrup.com</c:v>
                </c:pt>
                <c:pt idx="94">
                  <c:v>www.digitaltrends.com</c:v>
                </c:pt>
                <c:pt idx="95">
                  <c:v>www.mactrast.com</c:v>
                </c:pt>
                <c:pt idx="96">
                  <c:v>www.redmondpie.com</c:v>
                </c:pt>
                <c:pt idx="97">
                  <c:v>www.designntrend.com</c:v>
                </c:pt>
                <c:pt idx="98">
                  <c:v>ca.ign.com</c:v>
                </c:pt>
                <c:pt idx="99">
                  <c:v>www.wsj.com</c:v>
                </c:pt>
                <c:pt idx="100">
                  <c:v>nation.foxnews.com</c:v>
                </c:pt>
                <c:pt idx="101">
                  <c:v>forward.com</c:v>
                </c:pt>
                <c:pt idx="102">
                  <c:v>www.mediaite.com</c:v>
                </c:pt>
                <c:pt idx="103">
                  <c:v>www.nbcnews.com</c:v>
                </c:pt>
                <c:pt idx="104">
                  <c:v>www.cbsnews.com</c:v>
                </c:pt>
                <c:pt idx="105">
                  <c:v>www.npr.org</c:v>
                </c:pt>
                <c:pt idx="106">
                  <c:v>www.snopes.com</c:v>
                </c:pt>
                <c:pt idx="107">
                  <c:v>www.upi.com</c:v>
                </c:pt>
                <c:pt idx="108">
                  <c:v>www.torontosun.com</c:v>
                </c:pt>
                <c:pt idx="109">
                  <c:v>www.haaretz.com</c:v>
                </c:pt>
                <c:pt idx="110">
                  <c:v>www.people.com</c:v>
                </c:pt>
                <c:pt idx="111">
                  <c:v>www.huffingtonpost.ca</c:v>
                </c:pt>
                <c:pt idx="112">
                  <c:v>www.cosmopolitan.com</c:v>
                </c:pt>
                <c:pt idx="113">
                  <c:v>i100.independent.co.uk</c:v>
                </c:pt>
                <c:pt idx="114">
                  <c:v>www.latintimes.com</c:v>
                </c:pt>
                <c:pt idx="115">
                  <c:v>www.jta.org</c:v>
                </c:pt>
                <c:pt idx="116">
                  <c:v>www.smithsonianmag.com</c:v>
                </c:pt>
                <c:pt idx="117">
                  <c:v>www.vice.com</c:v>
                </c:pt>
                <c:pt idx="118">
                  <c:v>www.artfido.com</c:v>
                </c:pt>
                <c:pt idx="119">
                  <c:v>www.digitallook.com</c:v>
                </c:pt>
                <c:pt idx="120">
                  <c:v>www.london24.com</c:v>
                </c:pt>
                <c:pt idx="121">
                  <c:v>www.inquisitr.com</c:v>
                </c:pt>
                <c:pt idx="122">
                  <c:v>nypost.com</c:v>
                </c:pt>
                <c:pt idx="123">
                  <c:v>www.news.com.au</c:v>
                </c:pt>
                <c:pt idx="124">
                  <c:v>gawker.com</c:v>
                </c:pt>
                <c:pt idx="125">
                  <c:v>www.foxnews.com</c:v>
                </c:pt>
                <c:pt idx="126">
                  <c:v>www.theepochtimes.com</c:v>
                </c:pt>
                <c:pt idx="127">
                  <c:v>nymag.com</c:v>
                </c:pt>
                <c:pt idx="128">
                  <c:v>abcnews.go.com</c:v>
                </c:pt>
                <c:pt idx="129">
                  <c:v>www.timesofisrael.com</c:v>
                </c:pt>
                <c:pt idx="130">
                  <c:v>dailycaller.com</c:v>
                </c:pt>
                <c:pt idx="131">
                  <c:v>www.mtv.com</c:v>
                </c:pt>
                <c:pt idx="132">
                  <c:v>www.newsmax.com</c:v>
                </c:pt>
                <c:pt idx="133">
                  <c:v>austriantimes.at</c:v>
                </c:pt>
                <c:pt idx="134">
                  <c:v>www.thewrap.com</c:v>
                </c:pt>
                <c:pt idx="135">
                  <c:v>variety.com</c:v>
                </c:pt>
                <c:pt idx="136">
                  <c:v>www.freep.com</c:v>
                </c:pt>
                <c:pt idx="137">
                  <c:v>www.yahoo.com</c:v>
                </c:pt>
                <c:pt idx="138">
                  <c:v>www.poynter.org</c:v>
                </c:pt>
                <c:pt idx="139">
                  <c:v>nukethefridge.com</c:v>
                </c:pt>
                <c:pt idx="140">
                  <c:v>www.theouthousers.com</c:v>
                </c:pt>
                <c:pt idx="141">
                  <c:v>www.theweathernetwork.com</c:v>
                </c:pt>
                <c:pt idx="142">
                  <c:v>www.billboard.com</c:v>
                </c:pt>
                <c:pt idx="143">
                  <c:v>capedcrusades.com</c:v>
                </c:pt>
                <c:pt idx="144">
                  <c:v>comicbook.com</c:v>
                </c:pt>
                <c:pt idx="145">
                  <c:v>detroit.cbslocal.com</c:v>
                </c:pt>
                <c:pt idx="146">
                  <c:v>jalopnik.com</c:v>
                </c:pt>
                <c:pt idx="147">
                  <c:v>movies.cosmicbooknews.com</c:v>
                </c:pt>
                <c:pt idx="148">
                  <c:v>screenrant.com</c:v>
                </c:pt>
                <c:pt idx="149">
                  <c:v>www.bleedingcool.com</c:v>
                </c:pt>
                <c:pt idx="150">
                  <c:v>www.comicbookmovie.com</c:v>
                </c:pt>
                <c:pt idx="151">
                  <c:v>www.deadlinedetroit.com</c:v>
                </c:pt>
                <c:pt idx="152">
                  <c:v>www.kpopstarz.com</c:v>
                </c:pt>
                <c:pt idx="153">
                  <c:v>www.movieviral.com</c:v>
                </c:pt>
                <c:pt idx="154">
                  <c:v>www.slashfilm.com</c:v>
                </c:pt>
                <c:pt idx="155">
                  <c:v>www.supermansupersite.com</c:v>
                </c:pt>
                <c:pt idx="156">
                  <c:v>www.worstpreviews.com</c:v>
                </c:pt>
                <c:pt idx="157">
                  <c:v>www.barstoolsports.com</c:v>
                </c:pt>
                <c:pt idx="158">
                  <c:v>www.bostonherald.com</c:v>
                </c:pt>
                <c:pt idx="159">
                  <c:v>www.abc15.com</c:v>
                </c:pt>
                <c:pt idx="160">
                  <c:v>www.azcentral.com</c:v>
                </c:pt>
                <c:pt idx="161">
                  <c:v>www.complexmag.ca</c:v>
                </c:pt>
                <c:pt idx="162">
                  <c:v>www.iphonote.com</c:v>
                </c:pt>
                <c:pt idx="163">
                  <c:v>thescoopblog.dallasnews.com</c:v>
                </c:pt>
                <c:pt idx="164">
                  <c:v>heavy.com</c:v>
                </c:pt>
                <c:pt idx="165">
                  <c:v>dankennedy.net</c:v>
                </c:pt>
                <c:pt idx="166">
                  <c:v>www.theblaze.com</c:v>
                </c:pt>
                <c:pt idx="167">
                  <c:v>www.latimes.com</c:v>
                </c:pt>
                <c:pt idx="168">
                  <c:v>english.alarabiya.net</c:v>
                </c:pt>
                <c:pt idx="169">
                  <c:v>news.nationalpost.com</c:v>
                </c:pt>
                <c:pt idx="170">
                  <c:v>www.thegatewaypundit.com</c:v>
                </c:pt>
                <c:pt idx="171">
                  <c:v>pagesix.com</c:v>
                </c:pt>
                <c:pt idx="172">
                  <c:v>www.itv.com</c:v>
                </c:pt>
                <c:pt idx="173">
                  <c:v>www.christianpost.com</c:v>
                </c:pt>
                <c:pt idx="174">
                  <c:v>www.thewire.com</c:v>
                </c:pt>
                <c:pt idx="175">
                  <c:v>www.hoax-slayer.com</c:v>
                </c:pt>
                <c:pt idx="176">
                  <c:v>www.aol.com</c:v>
                </c:pt>
                <c:pt idx="177">
                  <c:v>www.deathandtaxesmag.com</c:v>
                </c:pt>
                <c:pt idx="178">
                  <c:v>www.mediabistro.com</c:v>
                </c:pt>
                <c:pt idx="179">
                  <c:v>www.ctvnews.ca</c:v>
                </c:pt>
                <c:pt idx="180">
                  <c:v>www.stuff.co.nz</c:v>
                </c:pt>
                <c:pt idx="181">
                  <c:v>www.timeslive.co.za</c:v>
                </c:pt>
                <c:pt idx="182">
                  <c:v>www.tmz.com</c:v>
                </c:pt>
                <c:pt idx="183">
                  <c:v>www.wnd.com</c:v>
                </c:pt>
                <c:pt idx="184">
                  <c:v>empirenews.net</c:v>
                </c:pt>
                <c:pt idx="185">
                  <c:v>arstechnica.com</c:v>
                </c:pt>
                <c:pt idx="186">
                  <c:v>boingboing.net</c:v>
                </c:pt>
                <c:pt idx="187">
                  <c:v>www.kentonline.co.uk</c:v>
                </c:pt>
                <c:pt idx="188">
                  <c:v>www.usmagazine.com</c:v>
                </c:pt>
                <c:pt idx="189">
                  <c:v>venturebeat.com</c:v>
                </c:pt>
                <c:pt idx="190">
                  <c:v>dailybuzzlive.com</c:v>
                </c:pt>
                <c:pt idx="191">
                  <c:v>www.vox.com</c:v>
                </c:pt>
                <c:pt idx="192">
                  <c:v>pjmedia.com</c:v>
                </c:pt>
                <c:pt idx="193">
                  <c:v>www.cosmopolitan.co.uk</c:v>
                </c:pt>
                <c:pt idx="194">
                  <c:v>www.imediaethics.org</c:v>
                </c:pt>
                <c:pt idx="195">
                  <c:v>www.phillymag.com</c:v>
                </c:pt>
                <c:pt idx="196">
                  <c:v>plus.google.com</c:v>
                </c:pt>
                <c:pt idx="197">
                  <c:v>www.idownloadblog.com</c:v>
                </c:pt>
                <c:pt idx="198">
                  <c:v>www.thehollywoodgossip.com</c:v>
                </c:pt>
                <c:pt idx="199">
                  <c:v>edition.cnn.com</c:v>
                </c:pt>
                <c:pt idx="200">
                  <c:v>mysteriousuniverse.org</c:v>
                </c:pt>
                <c:pt idx="201">
                  <c:v>the-peoplesnews.com</c:v>
                </c:pt>
                <c:pt idx="202">
                  <c:v>www.bild.de</c:v>
                </c:pt>
                <c:pt idx="203">
                  <c:v>www.couriermail.com.au</c:v>
                </c:pt>
                <c:pt idx="204">
                  <c:v>www.hngn.com</c:v>
                </c:pt>
                <c:pt idx="205">
                  <c:v>www.cctvnews.cn</c:v>
                </c:pt>
                <c:pt idx="206">
                  <c:v>www.whatsonsanya.com</c:v>
                </c:pt>
                <c:pt idx="207">
                  <c:v>finance.yahoo.com</c:v>
                </c:pt>
                <c:pt idx="208">
                  <c:v>www.deepdotweb.com</c:v>
                </c:pt>
                <c:pt idx="209">
                  <c:v>www.businessinsider.com.au</c:v>
                </c:pt>
                <c:pt idx="210">
                  <c:v>www.ntd.tv</c:v>
                </c:pt>
                <c:pt idx="211">
                  <c:v>www.weirdwhitstable.co.uk</c:v>
                </c:pt>
                <c:pt idx="212">
                  <c:v>www.leaderpost.com</c:v>
                </c:pt>
                <c:pt idx="213">
                  <c:v>www.thereporter.com.au</c:v>
                </c:pt>
                <c:pt idx="214">
                  <c:v>theconcourse.deadspin.com</c:v>
                </c:pt>
                <c:pt idx="215">
                  <c:v>www.sbnation.com</c:v>
                </c:pt>
                <c:pt idx="216">
                  <c:v>www.gizmodo.co.uk</c:v>
                </c:pt>
                <c:pt idx="217">
                  <c:v>knowmore.washingtonpost.com</c:v>
                </c:pt>
                <c:pt idx="218">
                  <c:v>inserbia.info</c:v>
                </c:pt>
                <c:pt idx="219">
                  <c:v>jjxzdwy.ktimes.co.kr</c:v>
                </c:pt>
                <c:pt idx="220">
                  <c:v>corporate.comcast.com</c:v>
                </c:pt>
                <c:pt idx="221">
                  <c:v>canadajournal.net</c:v>
                </c:pt>
                <c:pt idx="222">
                  <c:v>kxan.com</c:v>
                </c:pt>
                <c:pt idx="223">
                  <c:v>deadline.com</c:v>
                </c:pt>
                <c:pt idx="224">
                  <c:v>nextshark.com</c:v>
                </c:pt>
                <c:pt idx="225">
                  <c:v>www.cbc.ca</c:v>
                </c:pt>
                <c:pt idx="226">
                  <c:v>www.reuters.com</c:v>
                </c:pt>
                <c:pt idx="227">
                  <c:v>www.breitbart.com</c:v>
                </c:pt>
                <c:pt idx="228">
                  <c:v>www.nytimes.com</c:v>
                </c:pt>
                <c:pt idx="229">
                  <c:v>www.thedailybeast.com</c:v>
                </c:pt>
                <c:pt idx="230">
                  <c:v>www.slate.com</c:v>
                </c:pt>
                <c:pt idx="231">
                  <c:v>www.washingtontimes.com</c:v>
                </c:pt>
                <c:pt idx="232">
                  <c:v>www.opposingviews.com</c:v>
                </c:pt>
                <c:pt idx="233">
                  <c:v>www.bloomberg.com</c:v>
                </c:pt>
                <c:pt idx="234">
                  <c:v>www.hollywoodreporter.com</c:v>
                </c:pt>
                <c:pt idx="235">
                  <c:v>rt.com</c:v>
                </c:pt>
                <c:pt idx="236">
                  <c:v>www.zerohedge.com</c:v>
                </c:pt>
                <c:pt idx="237">
                  <c:v>ca.eonline.com</c:v>
                </c:pt>
                <c:pt idx="238">
                  <c:v>www.politico.com</c:v>
                </c:pt>
                <c:pt idx="239">
                  <c:v>indiatoday.intoday.in</c:v>
                </c:pt>
                <c:pt idx="240">
                  <c:v>www.gossipcop.com</c:v>
                </c:pt>
                <c:pt idx="241">
                  <c:v>www.metro.se</c:v>
                </c:pt>
                <c:pt idx="242">
                  <c:v>www.usnews.com</c:v>
                </c:pt>
                <c:pt idx="243">
                  <c:v>www.jpost.com</c:v>
                </c:pt>
                <c:pt idx="244">
                  <c:v>hollywoodlife.com</c:v>
                </c:pt>
                <c:pt idx="245">
                  <c:v>www.theweek.co.uk</c:v>
                </c:pt>
                <c:pt idx="246">
                  <c:v>antiviral.gawker.com</c:v>
                </c:pt>
                <c:pt idx="247">
                  <c:v>twitter.com</c:v>
                </c:pt>
                <c:pt idx="248">
                  <c:v>twitchy.com</c:v>
                </c:pt>
                <c:pt idx="249">
                  <c:v>www.csmonitor.com</c:v>
                </c:pt>
                <c:pt idx="250">
                  <c:v>www.dailysabah.com</c:v>
                </c:pt>
                <c:pt idx="251">
                  <c:v>qz.com</c:v>
                </c:pt>
                <c:pt idx="252">
                  <c:v>www.msnbc.com</c:v>
                </c:pt>
                <c:pt idx="253">
                  <c:v>www.vocativ.com</c:v>
                </c:pt>
                <c:pt idx="254">
                  <c:v>yournewswire.com</c:v>
                </c:pt>
                <c:pt idx="255">
                  <c:v>bigstory.ap.org</c:v>
                </c:pt>
                <c:pt idx="256">
                  <c:v>www.thedailystar.net</c:v>
                </c:pt>
                <c:pt idx="257">
                  <c:v>www.ft.com</c:v>
                </c:pt>
                <c:pt idx="258">
                  <c:v>freebeacon.com</c:v>
                </c:pt>
                <c:pt idx="259">
                  <c:v>www.nationalreview.com</c:v>
                </c:pt>
                <c:pt idx="260">
                  <c:v>www.iraqinews.com</c:v>
                </c:pt>
                <c:pt idx="261">
                  <c:v>io9.com</c:v>
                </c:pt>
                <c:pt idx="262">
                  <c:v>ca.complex.com</c:v>
                </c:pt>
                <c:pt idx="263">
                  <c:v>deadspin.com</c:v>
                </c:pt>
                <c:pt idx="264">
                  <c:v>www.philly.com</c:v>
                </c:pt>
                <c:pt idx="265">
                  <c:v>www.tomsguide.com</c:v>
                </c:pt>
                <c:pt idx="266">
                  <c:v>www.mcclatchydc.com</c:v>
                </c:pt>
                <c:pt idx="267">
                  <c:v>www.theaustralian.com.au</c:v>
                </c:pt>
                <c:pt idx="268">
                  <c:v>www.israelnationalnews.com</c:v>
                </c:pt>
                <c:pt idx="269">
                  <c:v>www.vanityfair.com</c:v>
                </c:pt>
                <c:pt idx="270">
                  <c:v>www.today.com</c:v>
                </c:pt>
                <c:pt idx="271">
                  <c:v>www.deccanchronicle.com</c:v>
                </c:pt>
                <c:pt idx="272">
                  <c:v>www.indiatimes.com</c:v>
                </c:pt>
                <c:pt idx="273">
                  <c:v>www.salon.com</c:v>
                </c:pt>
                <c:pt idx="274">
                  <c:v>www.independent.ie</c:v>
                </c:pt>
                <c:pt idx="275">
                  <c:v>www.dnaindia.com</c:v>
                </c:pt>
                <c:pt idx="276">
                  <c:v>bleacherreport.com</c:v>
                </c:pt>
                <c:pt idx="277">
                  <c:v>espn.go.com</c:v>
                </c:pt>
                <c:pt idx="278">
                  <c:v>www.inside.com</c:v>
                </c:pt>
                <c:pt idx="279">
                  <c:v>en.mediamass.net</c:v>
                </c:pt>
                <c:pt idx="280">
                  <c:v>socialnewsdaily.com</c:v>
                </c:pt>
                <c:pt idx="281">
                  <c:v>www.nymeta.co</c:v>
                </c:pt>
                <c:pt idx="282">
                  <c:v>www.thesun.co.uk</c:v>
                </c:pt>
                <c:pt idx="283">
                  <c:v>www.corsicanadailysun.com</c:v>
                </c:pt>
                <c:pt idx="284">
                  <c:v>www.koco.com</c:v>
                </c:pt>
                <c:pt idx="285">
                  <c:v>www.kwtx.com</c:v>
                </c:pt>
                <c:pt idx="286">
                  <c:v>www.hockeybuzz.com</c:v>
                </c:pt>
                <c:pt idx="287">
                  <c:v>www.pressgazette.co.uk</c:v>
                </c:pt>
                <c:pt idx="288">
                  <c:v>fortressamerica.gawker.com</c:v>
                </c:pt>
                <c:pt idx="289">
                  <c:v>www.capitalfm.co.ke</c:v>
                </c:pt>
                <c:pt idx="290">
                  <c:v>blogs.wsj.com</c:v>
                </c:pt>
                <c:pt idx="291">
                  <c:v>hotair.com</c:v>
                </c:pt>
                <c:pt idx="292">
                  <c:v>www.presstv.ir</c:v>
                </c:pt>
                <c:pt idx="293">
                  <c:v>entertainment.ie</c:v>
                </c:pt>
                <c:pt idx="294">
                  <c:v>www.arabnews.com</c:v>
                </c:pt>
                <c:pt idx="295">
                  <c:v>www.emirates247.com</c:v>
                </c:pt>
                <c:pt idx="296">
                  <c:v>www.moroccoworldnews.com</c:v>
                </c:pt>
                <c:pt idx="297">
                  <c:v>www.palmbeachpost.com</c:v>
                </c:pt>
                <c:pt idx="298">
                  <c:v>www.jewishjournal.com</c:v>
                </c:pt>
                <c:pt idx="299">
                  <c:v>www.ynetnews.com</c:v>
                </c:pt>
                <c:pt idx="300">
                  <c:v>www.abc.net.au</c:v>
                </c:pt>
                <c:pt idx="301">
                  <c:v>money.cnn.com</c:v>
                </c:pt>
                <c:pt idx="302">
                  <c:v>www.gizmodo.in</c:v>
                </c:pt>
                <c:pt idx="303">
                  <c:v>www.viralnova.com</c:v>
                </c:pt>
                <c:pt idx="304">
                  <c:v>www.wareable.com</c:v>
                </c:pt>
                <c:pt idx="305">
                  <c:v>www.kaynaija.com</c:v>
                </c:pt>
                <c:pt idx="306">
                  <c:v>www.oneindia.com</c:v>
                </c:pt>
                <c:pt idx="307">
                  <c:v>ynaija.com</c:v>
                </c:pt>
                <c:pt idx="308">
                  <c:v>www.technobuffalo.com</c:v>
                </c:pt>
                <c:pt idx="309">
                  <c:v>www.appy-geek.com</c:v>
                </c:pt>
                <c:pt idx="310">
                  <c:v>beforeitsnews.com</c:v>
                </c:pt>
                <c:pt idx="311">
                  <c:v>www.globalresearch.ca</c:v>
                </c:pt>
                <c:pt idx="312">
                  <c:v>www.infowars.com</c:v>
                </c:pt>
                <c:pt idx="313">
                  <c:v>www.veteranstoday.com</c:v>
                </c:pt>
                <c:pt idx="314">
                  <c:v>news.vice.com</c:v>
                </c:pt>
                <c:pt idx="315">
                  <c:v>www.albawaba.com</c:v>
                </c:pt>
                <c:pt idx="316">
                  <c:v>www.kurdishquestion.com</c:v>
                </c:pt>
                <c:pt idx="317">
                  <c:v>www.france24.com</c:v>
                </c:pt>
                <c:pt idx="318">
                  <c:v>www.wjla.com</c:v>
                </c:pt>
                <c:pt idx="319">
                  <c:v>zeenews.india.com</c:v>
                </c:pt>
                <c:pt idx="320">
                  <c:v>washington.cbslocal.com</c:v>
                </c:pt>
                <c:pt idx="321">
                  <c:v>www.newrepublic.com</c:v>
                </c:pt>
                <c:pt idx="322">
                  <c:v>www.politifact.com</c:v>
                </c:pt>
                <c:pt idx="323">
                  <c:v>www.al-monitor.com</c:v>
                </c:pt>
                <c:pt idx="324">
                  <c:v>www.jewishpress.com</c:v>
                </c:pt>
                <c:pt idx="325">
                  <c:v>basnews.com</c:v>
                </c:pt>
                <c:pt idx="326">
                  <c:v>townhall.com</c:v>
                </c:pt>
                <c:pt idx="327">
                  <c:v>www.dailytimes.com.pk</c:v>
                </c:pt>
                <c:pt idx="328">
                  <c:v>cir.ca</c:v>
                </c:pt>
                <c:pt idx="329">
                  <c:v>www.facebook.com</c:v>
                </c:pt>
                <c:pt idx="330">
                  <c:v>www.commentarymagazine.com</c:v>
                </c:pt>
                <c:pt idx="331">
                  <c:v>www.maannews.com</c:v>
                </c:pt>
                <c:pt idx="332">
                  <c:v>ftw.usatoday.com</c:v>
                </c:pt>
                <c:pt idx="333">
                  <c:v>www.grindtv.com</c:v>
                </c:pt>
                <c:pt idx="334">
                  <c:v>www.unionesarda.it</c:v>
                </c:pt>
                <c:pt idx="335">
                  <c:v>www.dailystar.com.lb</c:v>
                </c:pt>
                <c:pt idx="336">
                  <c:v>web.orange.co.uk</c:v>
                </c:pt>
                <c:pt idx="337">
                  <c:v>www.thedrinksbusiness.com</c:v>
                </c:pt>
                <c:pt idx="338">
                  <c:v>thebiglead.com</c:v>
                </c:pt>
                <c:pt idx="339">
                  <c:v>www.8newsnow.com</c:v>
                </c:pt>
                <c:pt idx="340">
                  <c:v>www.yourdailyscoop.com</c:v>
                </c:pt>
                <c:pt idx="341">
                  <c:v>www.edmontonsun.com</c:v>
                </c:pt>
                <c:pt idx="342">
                  <c:v>www.thecannabist.co</c:v>
                </c:pt>
                <c:pt idx="343">
                  <c:v>www.shanghaidaily.com</c:v>
                </c:pt>
                <c:pt idx="344">
                  <c:v>www.theregister.co.uk</c:v>
                </c:pt>
                <c:pt idx="345">
                  <c:v>www.benzinga.com</c:v>
                </c:pt>
                <c:pt idx="346">
                  <c:v>www.geeky-gadgets.com</c:v>
                </c:pt>
                <c:pt idx="347">
                  <c:v>www.techvibes.com</c:v>
                </c:pt>
                <c:pt idx="348">
                  <c:v>www.telecompaper.com</c:v>
                </c:pt>
                <c:pt idx="349">
                  <c:v>www.valuewalk.com</c:v>
                </c:pt>
                <c:pt idx="350">
                  <c:v>www.phonearena.com</c:v>
                </c:pt>
                <c:pt idx="351">
                  <c:v>msnbc.website</c:v>
                </c:pt>
                <c:pt idx="352">
                  <c:v>www.intouchweekly.com</c:v>
                </c:pt>
                <c:pt idx="353">
                  <c:v>awfulannouncing.com</c:v>
                </c:pt>
                <c:pt idx="354">
                  <c:v>blogs.riverfronttimes.com</c:v>
                </c:pt>
                <c:pt idx="355">
                  <c:v>blogs.miaminewtimes.com</c:v>
                </c:pt>
                <c:pt idx="356">
                  <c:v>billingsgazette.com</c:v>
                </c:pt>
                <c:pt idx="357">
                  <c:v>gazette.com</c:v>
                </c:pt>
                <c:pt idx="358">
                  <c:v>radio.foxnews.com</c:v>
                </c:pt>
                <c:pt idx="359">
                  <c:v>hundrednews.com</c:v>
                </c:pt>
                <c:pt idx="360">
                  <c:v>af.reuters.com</c:v>
                </c:pt>
                <c:pt idx="361">
                  <c:v>articles.economictimes.indiatimes.com</c:v>
                </c:pt>
                <c:pt idx="362">
                  <c:v>colorlines.com</c:v>
                </c:pt>
                <c:pt idx="363">
                  <c:v>dcist.com</c:v>
                </c:pt>
                <c:pt idx="364">
                  <c:v>observer.com</c:v>
                </c:pt>
                <c:pt idx="365">
                  <c:v>losangeles.cbslocal.com</c:v>
                </c:pt>
                <c:pt idx="366">
                  <c:v>news.distractify.com</c:v>
                </c:pt>
                <c:pt idx="367">
                  <c:v>nbctoday.co</c:v>
                </c:pt>
                <c:pt idx="368">
                  <c:v>rumorfix.com</c:v>
                </c:pt>
                <c:pt idx="369">
                  <c:v>money.udn.com</c:v>
                </c:pt>
                <c:pt idx="370">
                  <c:v>guardianlv.com</c:v>
                </c:pt>
                <c:pt idx="371">
                  <c:v>axisoflogic.com</c:v>
                </c:pt>
                <c:pt idx="372">
                  <c:v>english.farsnews.com</c:v>
                </c:pt>
                <c:pt idx="373">
                  <c:v>abc7news.com</c:v>
                </c:pt>
                <c:pt idx="374">
                  <c:v>dailystar.com.lb</c:v>
                </c:pt>
                <c:pt idx="375">
                  <c:v>ent.siteintelgroup.com</c:v>
                </c:pt>
                <c:pt idx="376">
                  <c:v>news.msn.co.nz</c:v>
                </c:pt>
                <c:pt idx="377">
                  <c:v>insider.foxnews.com</c:v>
                </c:pt>
                <c:pt idx="378">
                  <c:v>mediamatters.org</c:v>
                </c:pt>
                <c:pt idx="379">
                  <c:v>blogs.montrealgazette.com</c:v>
                </c:pt>
                <c:pt idx="380">
                  <c:v>jpupdates.com</c:v>
                </c:pt>
                <c:pt idx="381">
                  <c:v>mawtani.al-shorfa.com</c:v>
                </c:pt>
                <c:pt idx="382">
                  <c:v>washingtonexaminer.com</c:v>
                </c:pt>
                <c:pt idx="383">
                  <c:v>www.abna.ir</c:v>
                </c:pt>
                <c:pt idx="384">
                  <c:v>globalvoicesonline.org</c:v>
                </c:pt>
                <c:pt idx="385">
                  <c:v>www.business-standard.com</c:v>
                </c:pt>
                <c:pt idx="386">
                  <c:v>www.almasryalyoum.com</c:v>
                </c:pt>
                <c:pt idx="387">
                  <c:v>news.xinhuanet.com</c:v>
                </c:pt>
                <c:pt idx="388">
                  <c:v>milano.corriere.it</c:v>
                </c:pt>
                <c:pt idx="389">
                  <c:v>www.ansa.it</c:v>
                </c:pt>
                <c:pt idx="390">
                  <c:v>www.christiantoday.com</c:v>
                </c:pt>
                <c:pt idx="391">
                  <c:v>www.corriereadriatico.it</c:v>
                </c:pt>
                <c:pt idx="392">
                  <c:v>www.channel4.com</c:v>
                </c:pt>
                <c:pt idx="393">
                  <c:v>english.chosun.com</c:v>
                </c:pt>
                <c:pt idx="394">
                  <c:v>koreajoongangdaily.joins.com</c:v>
                </c:pt>
                <c:pt idx="395">
                  <c:v>us.india.com</c:v>
                </c:pt>
                <c:pt idx="396">
                  <c:v>chicago.barstoolsports.com</c:v>
                </c:pt>
                <c:pt idx="397">
                  <c:v>hardballtalk.nbcsports.com</c:v>
                </c:pt>
                <c:pt idx="398">
                  <c:v>www.csnwashington.com</c:v>
                </c:pt>
                <c:pt idx="399">
                  <c:v>foxnews.es</c:v>
                </c:pt>
                <c:pt idx="400">
                  <c:v>laist.com</c:v>
                </c:pt>
                <c:pt idx="401">
                  <c:v>adobochronicles.com</c:v>
                </c:pt>
                <c:pt idx="402">
                  <c:v>didsburyreview.ca</c:v>
                </c:pt>
                <c:pt idx="403">
                  <c:v>www.680news.com</c:v>
                </c:pt>
                <c:pt idx="404">
                  <c:v>marijuanastocks.com</c:v>
                </c:pt>
                <c:pt idx="405">
                  <c:v>theantimedia.org</c:v>
                </c:pt>
                <c:pt idx="406">
                  <c:v>theracketreport.com</c:v>
                </c:pt>
                <c:pt idx="407">
                  <c:v>koreabizwire.com</c:v>
                </c:pt>
                <c:pt idx="408">
                  <c:v>news.khan.co.kr</c:v>
                </c:pt>
                <c:pt idx="409">
                  <c:v>ca.reuters.com</c:v>
                </c:pt>
                <c:pt idx="410">
                  <c:v>wallstreetpit.com</c:v>
                </c:pt>
                <c:pt idx="411">
                  <c:v>www.digitalspy.ca</c:v>
                </c:pt>
                <c:pt idx="412">
                  <c:v>androidheadlines.com</c:v>
                </c:pt>
                <c:pt idx="413">
                  <c:v>tech.firstpost.com</c:v>
                </c:pt>
                <c:pt idx="414">
                  <c:v>www.fashionnstyle.com</c:v>
                </c:pt>
                <c:pt idx="415">
                  <c:v>english.pravda.ru</c:v>
                </c:pt>
                <c:pt idx="416">
                  <c:v>gtrk-omsk.ru</c:v>
                </c:pt>
                <c:pt idx="417">
                  <c:v>omskgazzeta.ru</c:v>
                </c:pt>
                <c:pt idx="418">
                  <c:v>uk.news.yahoo.com</c:v>
                </c:pt>
                <c:pt idx="419">
                  <c:v>news.yahoo.com</c:v>
                </c:pt>
                <c:pt idx="420">
                  <c:v>radaronline.com</c:v>
                </c:pt>
                <c:pt idx="421">
                  <c:v>www.standard.co.uk</c:v>
                </c:pt>
                <c:pt idx="422">
                  <c:v>o.canada.com</c:v>
                </c:pt>
                <c:pt idx="423">
                  <c:v>globalnews.ca</c:v>
                </c:pt>
                <c:pt idx="424">
                  <c:v>www.pcmag.com</c:v>
                </c:pt>
                <c:pt idx="425">
                  <c:v>www.wtsp.com</c:v>
                </c:pt>
                <c:pt idx="426">
                  <c:v>www.myfoxdfw.com</c:v>
                </c:pt>
                <c:pt idx="427">
                  <c:v>www.wesh.com</c:v>
                </c:pt>
                <c:pt idx="428">
                  <c:v>www.liveleak.com</c:v>
                </c:pt>
                <c:pt idx="429">
                  <c:v>www.sunnewsnetwork.ca</c:v>
                </c:pt>
                <c:pt idx="430">
                  <c:v>www.justjared.com</c:v>
                </c:pt>
                <c:pt idx="431">
                  <c:v>www.globalpost.com</c:v>
                </c:pt>
                <c:pt idx="432">
                  <c:v>www.thetimes.co.uk</c:v>
                </c:pt>
                <c:pt idx="433">
                  <c:v>www.motherjones.com</c:v>
                </c:pt>
                <c:pt idx="434">
                  <c:v>www.croatiantimes.com</c:v>
                </c:pt>
                <c:pt idx="435">
                  <c:v>www.styleite.com</c:v>
                </c:pt>
                <c:pt idx="436">
                  <c:v>www.todayonline.com</c:v>
                </c:pt>
                <c:pt idx="437">
                  <c:v>www.vulture.com</c:v>
                </c:pt>
                <c:pt idx="438">
                  <c:v>www.dw.de</c:v>
                </c:pt>
                <c:pt idx="439">
                  <c:v>www.thefourthperiod.com</c:v>
                </c:pt>
                <c:pt idx="440">
                  <c:v>www.telesurtv.net</c:v>
                </c:pt>
                <c:pt idx="441">
                  <c:v>www.whatdoesitmean.com</c:v>
                </c:pt>
                <c:pt idx="442">
                  <c:v>www.washingtonexaminer.com</c:v>
                </c:pt>
                <c:pt idx="443">
                  <c:v>www.middleeasteye.net</c:v>
                </c:pt>
                <c:pt idx="444">
                  <c:v>www.truthrevolt.org</c:v>
                </c:pt>
                <c:pt idx="445">
                  <c:v>www.newsandstar.co.uk</c:v>
                </c:pt>
                <c:pt idx="446">
                  <c:v>journalmetro.com</c:v>
                </c:pt>
                <c:pt idx="447">
                  <c:v>www.thrillist.com</c:v>
                </c:pt>
                <c:pt idx="448">
                  <c:v>www.newsweek.com</c:v>
                </c:pt>
                <c:pt idx="449">
                  <c:v>www.space.com</c:v>
                </c:pt>
                <c:pt idx="450">
                  <c:v>www.spacedaily.com</c:v>
                </c:pt>
                <c:pt idx="451">
                  <c:v>www.weather.com</c:v>
                </c:pt>
                <c:pt idx="452">
                  <c:v>www.myfoxtampabay.com</c:v>
                </c:pt>
                <c:pt idx="453">
                  <c:v>www.lowellsun.com</c:v>
                </c:pt>
                <c:pt idx="454">
                  <c:v>www.wcvb.com</c:v>
                </c:pt>
                <c:pt idx="455">
                  <c:v>www.wyff4.com</c:v>
                </c:pt>
                <c:pt idx="456">
                  <c:v>wafflesatnoon.com</c:v>
                </c:pt>
                <c:pt idx="457">
                  <c:v>www.si.com</c:v>
                </c:pt>
                <c:pt idx="458">
                  <c:v>www.sportingnews.com</c:v>
                </c:pt>
                <c:pt idx="459">
                  <c:v>www.sportsnet.ca</c:v>
                </c:pt>
                <c:pt idx="460">
                  <c:v>www.theprovince.com</c:v>
                </c:pt>
                <c:pt idx="461">
                  <c:v>www.thescore.com</c:v>
                </c:pt>
                <c:pt idx="462">
                  <c:v>www.premiumtimesng.com</c:v>
                </c:pt>
                <c:pt idx="463">
                  <c:v>www.pinknews.co.uk</c:v>
                </c:pt>
                <c:pt idx="464">
                  <c:v>www.dailyrecord.co.uk</c:v>
                </c:pt>
                <c:pt idx="465">
                  <c:v>www.scotsman.com</c:v>
                </c:pt>
                <c:pt idx="466">
                  <c:v>www.forexlive.com</c:v>
                </c:pt>
                <c:pt idx="467">
                  <c:v>www.streetinsider.com</c:v>
                </c:pt>
                <c:pt idx="468">
                  <c:v>www.trust.org</c:v>
                </c:pt>
                <c:pt idx="469">
                  <c:v>pulse.ng</c:v>
                </c:pt>
                <c:pt idx="470">
                  <c:v>usvsth3m.com</c:v>
                </c:pt>
                <c:pt idx="471">
                  <c:v>www.metaspoon.com</c:v>
                </c:pt>
                <c:pt idx="472">
                  <c:v>www.wzzm13.com</c:v>
                </c:pt>
                <c:pt idx="473">
                  <c:v>www.chicagotribune.com</c:v>
                </c:pt>
                <c:pt idx="474">
                  <c:v>www.omaha.com</c:v>
                </c:pt>
                <c:pt idx="475">
                  <c:v>www.religionnews.com</c:v>
                </c:pt>
                <c:pt idx="476">
                  <c:v>www.nzherald.co.nz</c:v>
                </c:pt>
                <c:pt idx="477">
                  <c:v>www.thebureauinvestigates.com</c:v>
                </c:pt>
                <c:pt idx="478">
                  <c:v>www.digitaljournal.com</c:v>
                </c:pt>
                <c:pt idx="479">
                  <c:v>www.patheos.com</c:v>
                </c:pt>
                <c:pt idx="480">
                  <c:v>www.spyghana.com</c:v>
                </c:pt>
                <c:pt idx="481">
                  <c:v>www.starrfmonline.com</c:v>
                </c:pt>
                <c:pt idx="482">
                  <c:v>www.wptz.com</c:v>
                </c:pt>
                <c:pt idx="483">
                  <c:v>stlouis.cbslocal.com</c:v>
                </c:pt>
                <c:pt idx="484">
                  <c:v>talkingpointsmemo.com</c:v>
                </c:pt>
                <c:pt idx="485">
                  <c:v>www.theroot.com</c:v>
                </c:pt>
                <c:pt idx="486">
                  <c:v>www.sciencealert.com.au</c:v>
                </c:pt>
                <c:pt idx="487">
                  <c:v>www.theage.com.au</c:v>
                </c:pt>
                <c:pt idx="488">
                  <c:v>www.thedenverchannel.com</c:v>
                </c:pt>
                <c:pt idx="489">
                  <c:v>www.watoday.com.au</c:v>
                </c:pt>
                <c:pt idx="490">
                  <c:v>www.vcpost.com</c:v>
                </c:pt>
                <c:pt idx="491">
                  <c:v>www.thesudburystar.com</c:v>
                </c:pt>
                <c:pt idx="492">
                  <c:v>www.stripes.com</c:v>
                </c:pt>
                <c:pt idx="493">
                  <c:v>www.straitstimes.com</c:v>
                </c:pt>
                <c:pt idx="494">
                  <c:v>www.thestranger.com</c:v>
                </c:pt>
                <c:pt idx="495">
                  <c:v>www.mercurynews.com</c:v>
                </c:pt>
                <c:pt idx="496">
                  <c:v>www.westernjournalism.com</c:v>
                </c:pt>
                <c:pt idx="497">
                  <c:v>tampa.cbslocal.com</c:v>
                </c:pt>
                <c:pt idx="498">
                  <c:v>www.dailydot.com</c:v>
                </c:pt>
                <c:pt idx="499">
                  <c:v>www.brobible.com</c:v>
                </c:pt>
                <c:pt idx="500">
                  <c:v>www.techinasia.com</c:v>
                </c:pt>
                <c:pt idx="501">
                  <c:v>www.wantchinatimes.com</c:v>
                </c:pt>
                <c:pt idx="502">
                  <c:v>www.thegloss.com</c:v>
                </c:pt>
                <c:pt idx="503">
                  <c:v>www.newseveryday.com</c:v>
                </c:pt>
                <c:pt idx="504">
                  <c:v>www.middleeastmonitor.com</c:v>
                </c:pt>
                <c:pt idx="505">
                  <c:v>in.reuters.com</c:v>
                </c:pt>
                <c:pt idx="506">
                  <c:v>consumerist.com</c:v>
                </c:pt>
                <c:pt idx="507">
                  <c:v>www.wibw.com</c:v>
                </c:pt>
                <c:pt idx="508">
                  <c:v>www.businessweek.com</c:v>
                </c:pt>
                <c:pt idx="509">
                  <c:v>www.voanews.com</c:v>
                </c:pt>
                <c:pt idx="510">
                  <c:v>www.weeklystandard.com</c:v>
                </c:pt>
                <c:pt idx="511">
                  <c:v>www.zdnet.com</c:v>
                </c:pt>
                <c:pt idx="512">
                  <c:v>bbc-news.co.uk</c:v>
                </c:pt>
                <c:pt idx="513">
                  <c:v>injusticestories.com</c:v>
                </c:pt>
                <c:pt idx="514">
                  <c:v>fusion.net</c:v>
                </c:pt>
                <c:pt idx="515">
                  <c:v>nytimes.com</c:v>
                </c:pt>
                <c:pt idx="516">
                  <c:v>ca.shine.yahoo.com</c:v>
                </c:pt>
                <c:pt idx="517">
                  <c:v>reason.com</c:v>
                </c:pt>
                <c:pt idx="518">
                  <c:v>gothamist.com</c:v>
                </c:pt>
                <c:pt idx="519">
                  <c:v>whateverblog.dallasnews.com</c:v>
                </c:pt>
                <c:pt idx="520">
                  <c:v>www.ajc.com</c:v>
                </c:pt>
                <c:pt idx="521">
                  <c:v>ksfm.cbslocal.com</c:v>
                </c:pt>
                <c:pt idx="522">
                  <c:v>www.alternet.org</c:v>
                </c:pt>
                <c:pt idx="523">
                  <c:v>blog.chron.com</c:v>
                </c:pt>
                <c:pt idx="524">
                  <c:v>blog.sfgate.com</c:v>
                </c:pt>
                <c:pt idx="525">
                  <c:v>www.calgarysun.com</c:v>
                </c:pt>
                <c:pt idx="526">
                  <c:v>sploid.gizmodo.com</c:v>
                </c:pt>
                <c:pt idx="527">
                  <c:v>notallowedto.com</c:v>
                </c:pt>
                <c:pt idx="528">
                  <c:v>www.grubstreet.com</c:v>
                </c:pt>
                <c:pt idx="529">
                  <c:v>news.nationalgeographic.com</c:v>
                </c:pt>
                <c:pt idx="530">
                  <c:v>tucson.com</c:v>
                </c:pt>
                <c:pt idx="531">
                  <c:v>twitter</c:v>
                </c:pt>
                <c:pt idx="532">
                  <c:v>www.bloombergview.com</c:v>
                </c:pt>
                <c:pt idx="533">
                  <c:v>www.freerepublic.com</c:v>
                </c:pt>
                <c:pt idx="534">
                  <c:v>abc7.com</c:v>
                </c:pt>
                <c:pt idx="535">
                  <c:v>newsfeed.gawker.com</c:v>
                </c:pt>
                <c:pt idx="536">
                  <c:v>www.chron.com</c:v>
                </c:pt>
                <c:pt idx="537">
                  <c:v>www.ack.net</c:v>
                </c:pt>
                <c:pt idx="538">
                  <c:v>www.boston.com</c:v>
                </c:pt>
                <c:pt idx="539">
                  <c:v>www.capecodonline.com</c:v>
                </c:pt>
                <c:pt idx="540">
                  <c:v>viral4real.com</c:v>
                </c:pt>
                <c:pt idx="541">
                  <c:v>www.carbonated.tv</c:v>
                </c:pt>
                <c:pt idx="542">
                  <c:v>dealbook.nytimes.com</c:v>
                </c:pt>
                <c:pt idx="543">
                  <c:v>kotaku.com</c:v>
                </c:pt>
                <c:pt idx="544">
                  <c:v>mojang.com</c:v>
                </c:pt>
                <c:pt idx="545">
                  <c:v>www.joystiq.com</c:v>
                </c:pt>
                <c:pt idx="546">
                  <c:v>travel.aol.co.uk</c:v>
                </c:pt>
                <c:pt idx="547">
                  <c:v>slam.canoe.ca</c:v>
                </c:pt>
                <c:pt idx="548">
                  <c:v>sports.yahoo.com</c:v>
                </c:pt>
                <c:pt idx="549">
                  <c:v>www.cbssports.com</c:v>
                </c:pt>
                <c:pt idx="550">
                  <c:v>www.foxsports.com</c:v>
                </c:pt>
                <c:pt idx="551">
                  <c:v>africacheck.org</c:v>
                </c:pt>
                <c:pt idx="552">
                  <c:v>countercurrentnews.com</c:v>
                </c:pt>
                <c:pt idx="553">
                  <c:v>munchies.vice.com</c:v>
                </c:pt>
                <c:pt idx="554">
                  <c:v>www.heraldscotland.com</c:v>
                </c:pt>
                <c:pt idx="555">
                  <c:v>www.duffelblog.com</c:v>
                </c:pt>
                <c:pt idx="556">
                  <c:v>oilpro.com</c:v>
                </c:pt>
                <c:pt idx="557">
                  <c:v>uk.reuters.com</c:v>
                </c:pt>
                <c:pt idx="558">
                  <c:v>frontburner.dmagazine.com</c:v>
                </c:pt>
                <c:pt idx="559">
                  <c:v>wonkette.com</c:v>
                </c:pt>
                <c:pt idx="560">
                  <c:v>m.fastcocreate.com</c:v>
                </c:pt>
                <c:pt idx="561">
                  <c:v>verne.elpais.com</c:v>
                </c:pt>
                <c:pt idx="562">
                  <c:v>www.addictinginfo.org</c:v>
                </c:pt>
                <c:pt idx="563">
                  <c:v>www.elwatannews.com</c:v>
                </c:pt>
                <c:pt idx="564">
                  <c:v>wgntv.com</c:v>
                </c:pt>
                <c:pt idx="565">
                  <c:v>www.firstpost.com</c:v>
                </c:pt>
                <c:pt idx="566">
                  <c:v>www.bedfordshire-news.co.uk</c:v>
                </c:pt>
                <c:pt idx="567">
                  <c:v>www.communicationsjournal.co.uk</c:v>
                </c:pt>
                <c:pt idx="568">
                  <c:v>latino.foxnews.com</c:v>
                </c:pt>
                <c:pt idx="569">
                  <c:v>bellingcat.com</c:v>
                </c:pt>
                <c:pt idx="570">
                  <c:v>medium.com</c:v>
                </c:pt>
                <c:pt idx="571">
                  <c:v>www.catholic.org</c:v>
                </c:pt>
                <c:pt idx="572">
                  <c:v>kvil.cbslocal.com</c:v>
                </c:pt>
                <c:pt idx="573">
                  <c:v>netloid.com</c:v>
                </c:pt>
                <c:pt idx="574">
                  <c:v>newsafricanow.com</c:v>
                </c:pt>
                <c:pt idx="575">
                  <c:v>thenet.ng</c:v>
                </c:pt>
                <c:pt idx="576">
                  <c:v>urbanlegends.about.com</c:v>
                </c:pt>
                <c:pt idx="577">
                  <c:v>www.20minutes.fr</c:v>
                </c:pt>
                <c:pt idx="578">
                  <c:v>www.monitor.co.ug</c:v>
                </c:pt>
                <c:pt idx="579">
                  <c:v>jacksonville.com</c:v>
                </c:pt>
                <c:pt idx="580">
                  <c:v>www.dispatch.com</c:v>
                </c:pt>
                <c:pt idx="581">
                  <c:v>www.hindustantimes.com</c:v>
                </c:pt>
                <c:pt idx="582">
                  <c:v>www.kcra.com</c:v>
                </c:pt>
                <c:pt idx="583">
                  <c:v>www.gforgames.com</c:v>
                </c:pt>
                <c:pt idx="584">
                  <c:v>www.collegehumor.com</c:v>
                </c:pt>
                <c:pt idx="585">
                  <c:v>www.myfoxchicago.com</c:v>
                </c:pt>
                <c:pt idx="586">
                  <c:v>gulfnews.com</c:v>
                </c:pt>
                <c:pt idx="587">
                  <c:v>www.chathamdailynews.ca</c:v>
                </c:pt>
                <c:pt idx="588">
                  <c:v>www.ndtv.com</c:v>
                </c:pt>
                <c:pt idx="589">
                  <c:v>seattle.cbslocal.com</c:v>
                </c:pt>
                <c:pt idx="590">
                  <c:v>fox2now.com</c:v>
                </c:pt>
                <c:pt idx="591">
                  <c:v>ktla.com</c:v>
                </c:pt>
                <c:pt idx="592">
                  <c:v>q13fox.com</c:v>
                </c:pt>
                <c:pt idx="593">
                  <c:v>www.dailykos.com</c:v>
                </c:pt>
                <c:pt idx="594">
                  <c:v>huzlers.com</c:v>
                </c:pt>
                <c:pt idx="595">
                  <c:v>ottawacitizen.com</c:v>
                </c:pt>
                <c:pt idx="596">
                  <c:v>www.570news.com</c:v>
                </c:pt>
                <c:pt idx="597">
                  <c:v>kdvr.com</c:v>
                </c:pt>
                <c:pt idx="598">
                  <c:v>wtvr.com</c:v>
                </c:pt>
                <c:pt idx="599">
                  <c:v>www.newsday.com</c:v>
                </c:pt>
                <c:pt idx="600">
                  <c:v>www.ntnews.com.au</c:v>
                </c:pt>
                <c:pt idx="601">
                  <c:v>www.perthnow.com.au</c:v>
                </c:pt>
                <c:pt idx="602">
                  <c:v>ikwiz.com</c:v>
                </c:pt>
                <c:pt idx="603">
                  <c:v>moviepilot.com</c:v>
                </c:pt>
                <c:pt idx="604">
                  <c:v>www.oaoa.com</c:v>
                </c:pt>
                <c:pt idx="605">
                  <c:v>2paragraphs.com</c:v>
                </c:pt>
                <c:pt idx="606">
                  <c:v>collider.com</c:v>
                </c:pt>
                <c:pt idx="607">
                  <c:v>www.avsforum.com</c:v>
                </c:pt>
                <c:pt idx="608">
                  <c:v>www.reddit.com</c:v>
                </c:pt>
                <c:pt idx="609">
                  <c:v>popwatch.ew.com</c:v>
                </c:pt>
                <c:pt idx="610">
                  <c:v>bizbeatblog.dallasnews.com</c:v>
                </c:pt>
                <c:pt idx="611">
                  <c:v>www.mynews3.com</c:v>
                </c:pt>
                <c:pt idx="612">
                  <c:v>houston.cbslocal.com</c:v>
                </c:pt>
                <c:pt idx="613">
                  <c:v>www.galvestondailynews.com</c:v>
                </c:pt>
                <c:pt idx="614">
                  <c:v>fox59.com</c:v>
                </c:pt>
                <c:pt idx="615">
                  <c:v>homes.yahoo.com</c:v>
                </c:pt>
                <c:pt idx="616">
                  <c:v>www.golfchannel.com</c:v>
                </c:pt>
                <c:pt idx="617">
                  <c:v>news.discovery.com</c:v>
                </c:pt>
                <c:pt idx="618">
                  <c:v>www.bostonglobe.com</c:v>
                </c:pt>
                <c:pt idx="619">
                  <c:v>www.lgbtqnation.com</c:v>
                </c:pt>
                <c:pt idx="620">
                  <c:v>www.newnownext.com</c:v>
                </c:pt>
                <c:pt idx="621">
                  <c:v>www.edp24.co.uk</c:v>
                </c:pt>
                <c:pt idx="622">
                  <c:v>uniladmag.com</c:v>
                </c:pt>
                <c:pt idx="623">
                  <c:v>en.huxiu.com</c:v>
                </c:pt>
                <c:pt idx="624">
                  <c:v>news.mydrivers.com</c:v>
                </c:pt>
                <c:pt idx="625">
                  <c:v>www.iclarified.com</c:v>
                </c:pt>
                <c:pt idx="626">
                  <c:v>racked.com</c:v>
                </c:pt>
                <c:pt idx="627">
                  <c:v>blogs.strategyanalytics.com</c:v>
                </c:pt>
                <c:pt idx="628">
                  <c:v>siliconangle.com</c:v>
                </c:pt>
                <c:pt idx="629">
                  <c:v>msmbc.co</c:v>
                </c:pt>
                <c:pt idx="630">
                  <c:v>firsttoknow.com</c:v>
                </c:pt>
                <c:pt idx="631">
                  <c:v>video.roanoke.com</c:v>
                </c:pt>
                <c:pt idx="632">
                  <c:v>mediablackoutusa.com</c:v>
                </c:pt>
                <c:pt idx="633">
                  <c:v>thesource.com</c:v>
                </c:pt>
                <c:pt idx="634">
                  <c:v>www.kmov.com</c:v>
                </c:pt>
                <c:pt idx="635">
                  <c:v>www.saycheesetv.com</c:v>
                </c:pt>
                <c:pt idx="636">
                  <c:v>www.business2community.com</c:v>
                </c:pt>
                <c:pt idx="637">
                  <c:v>www.mumbaimirror.com</c:v>
                </c:pt>
                <c:pt idx="638">
                  <c:v>www.newsmaxhealth.com</c:v>
                </c:pt>
                <c:pt idx="639">
                  <c:v>allafrica.com</c:v>
                </c:pt>
                <c:pt idx="640">
                  <c:v>egyptianstreets.com</c:v>
                </c:pt>
                <c:pt idx="641">
                  <c:v>english.ahram.org.eg</c:v>
                </c:pt>
                <c:pt idx="642">
                  <c:v>mondoweiss.net</c:v>
                </c:pt>
                <c:pt idx="643">
                  <c:v>www.breakingisraelnews.com</c:v>
                </c:pt>
                <c:pt idx="644">
                  <c:v>www.egyptindependent.com</c:v>
                </c:pt>
                <c:pt idx="645">
                  <c:v>www.imra.org.il</c:v>
                </c:pt>
                <c:pt idx="646">
                  <c:v>www.indybay.org</c:v>
                </c:pt>
                <c:pt idx="647">
                  <c:v>themichaelreport.com</c:v>
                </c:pt>
                <c:pt idx="648">
                  <c:v>americasmarkets.usatoday.com</c:v>
                </c:pt>
                <c:pt idx="649">
                  <c:v>bostinno.streetwise.co</c:v>
                </c:pt>
                <c:pt idx="650">
                  <c:v>crimefeed.com</c:v>
                </c:pt>
                <c:pt idx="651">
                  <c:v>www.dailytelegraph.com.au</c:v>
                </c:pt>
                <c:pt idx="652">
                  <c:v>fox8.com</c:v>
                </c:pt>
                <c:pt idx="653">
                  <c:v>kfor.com</c:v>
                </c:pt>
                <c:pt idx="654">
                  <c:v>www.plymouthherald.co.uk</c:v>
                </c:pt>
                <c:pt idx="655">
                  <c:v>www.monitornacional.com</c:v>
                </c:pt>
                <c:pt idx="656">
                  <c:v>www.noticiasunam.com</c:v>
                </c:pt>
                <c:pt idx="657">
                  <c:v>springsadvertiser.co.za</c:v>
                </c:pt>
                <c:pt idx="658">
                  <c:v>www.iol.co.za</c:v>
                </c:pt>
                <c:pt idx="659">
                  <c:v>www.news24.com</c:v>
                </c:pt>
                <c:pt idx="660">
                  <c:v>www.epictimes.com</c:v>
                </c:pt>
                <c:pt idx="661">
                  <c:v>fox4kc.com</c:v>
                </c:pt>
                <c:pt idx="662">
                  <c:v>www.kansascity.com</c:v>
                </c:pt>
                <c:pt idx="663">
                  <c:v>www.kctv5.com</c:v>
                </c:pt>
                <c:pt idx="664">
                  <c:v>www.kmbc.com</c:v>
                </c:pt>
                <c:pt idx="665">
                  <c:v>www.kshb.com</c:v>
                </c:pt>
                <c:pt idx="666">
                  <c:v>www.kwch.com</c:v>
                </c:pt>
                <c:pt idx="667">
                  <c:v>myfox8.com</c:v>
                </c:pt>
                <c:pt idx="668">
                  <c:v>www.elonpendulum.com</c:v>
                </c:pt>
                <c:pt idx="669">
                  <c:v>www.thecollegefix.com</c:v>
                </c:pt>
                <c:pt idx="670">
                  <c:v>www.livemint.com</c:v>
                </c:pt>
                <c:pt idx="671">
                  <c:v>www.nbcbayarea.com</c:v>
                </c:pt>
                <c:pt idx="672">
                  <c:v>www.newsshopper.co.uk</c:v>
                </c:pt>
                <c:pt idx="673">
                  <c:v>21stcenturywire.com</c:v>
                </c:pt>
                <c:pt idx="674">
                  <c:v>uprootedpalestinians.wordpress.com</c:v>
                </c:pt>
                <c:pt idx="675">
                  <c:v>disinfo.com</c:v>
                </c:pt>
                <c:pt idx="676">
                  <c:v>reseauinternational.net</c:v>
                </c:pt>
                <c:pt idx="677">
                  <c:v>www.examiner.co.uk</c:v>
                </c:pt>
                <c:pt idx="678">
                  <c:v>business.financialpost.com</c:v>
                </c:pt>
                <c:pt idx="679">
                  <c:v>www.itworld.com</c:v>
                </c:pt>
                <c:pt idx="680">
                  <c:v>www.thestandard.com.hk</c:v>
                </c:pt>
                <c:pt idx="681">
                  <c:v>conservativetribune.com</c:v>
                </c:pt>
                <c:pt idx="682">
                  <c:v>en.ria.ru</c:v>
                </c:pt>
                <c:pt idx="683">
                  <c:v>syriahr.com</c:v>
                </c:pt>
                <c:pt idx="684">
                  <c:v>www.cbn.com</c:v>
                </c:pt>
                <c:pt idx="685">
                  <c:v>rudaw.net</c:v>
                </c:pt>
                <c:pt idx="686">
                  <c:v>www.alsabaah.iq</c:v>
                </c:pt>
                <c:pt idx="687">
                  <c:v>www.latinpost.com</c:v>
                </c:pt>
                <c:pt idx="688">
                  <c:v>www.sciencetimes.com</c:v>
                </c:pt>
                <c:pt idx="689">
                  <c:v>www.i24news.tv</c:v>
                </c:pt>
                <c:pt idx="690">
                  <c:v>www.mintpressnews.com</c:v>
                </c:pt>
                <c:pt idx="691">
                  <c:v>www.ninanews.com</c:v>
                </c:pt>
                <c:pt idx="692">
                  <c:v>thediplomat.com</c:v>
                </c:pt>
                <c:pt idx="693">
                  <c:v>www.marketwatch.com</c:v>
                </c:pt>
                <c:pt idx="694">
                  <c:v>cnews.canoe.ca</c:v>
                </c:pt>
                <c:pt idx="695">
                  <c:v>ibnlive.in.com</c:v>
                </c:pt>
                <c:pt idx="696">
                  <c:v>indianexpress.com</c:v>
                </c:pt>
                <c:pt idx="697">
                  <c:v>www.thehindu.com</c:v>
                </c:pt>
                <c:pt idx="698">
                  <c:v>www.ksl.com</c:v>
                </c:pt>
                <c:pt idx="699">
                  <c:v>www.relevantmagazine.com</c:v>
                </c:pt>
                <c:pt idx="700">
                  <c:v>national.suntimes.com</c:v>
                </c:pt>
                <c:pt idx="701">
                  <c:v>centralasiaonline.com</c:v>
                </c:pt>
                <c:pt idx="702">
                  <c:v>www.khaama.com</c:v>
                </c:pt>
                <c:pt idx="703">
                  <c:v>www.tolonews.com</c:v>
                </c:pt>
                <c:pt idx="704">
                  <c:v>dailycurrant.com</c:v>
                </c:pt>
                <c:pt idx="705">
                  <c:v>www.thefederalistpapers.org</c:v>
                </c:pt>
                <c:pt idx="706">
                  <c:v>www.montrealgazette.com</c:v>
                </c:pt>
                <c:pt idx="707">
                  <c:v>www.anorak.co.uk</c:v>
                </c:pt>
                <c:pt idx="708">
                  <c:v>www.hiphophangover.com</c:v>
                </c:pt>
                <c:pt idx="709">
                  <c:v>aina.org</c:v>
                </c:pt>
                <c:pt idx="710">
                  <c:v>www.pakistantoday.com.pk</c:v>
                </c:pt>
                <c:pt idx="711">
                  <c:v>www.the-star.co.ke</c:v>
                </c:pt>
                <c:pt idx="712">
                  <c:v>mobile.nytimes.com</c:v>
                </c:pt>
                <c:pt idx="713">
                  <c:v>moneyweek.com</c:v>
                </c:pt>
                <c:pt idx="714">
                  <c:v>sputniknews.com</c:v>
                </c:pt>
                <c:pt idx="715">
                  <c:v>www.casinocitytimes.com</c:v>
                </c:pt>
                <c:pt idx="716">
                  <c:v>www.marketplace.org</c:v>
                </c:pt>
                <c:pt idx="717">
                  <c:v>www.standardmedia.co.ke</c:v>
                </c:pt>
                <c:pt idx="718">
                  <c:v>lifenews.ru</c:v>
                </c:pt>
                <c:pt idx="719">
                  <c:v>www.pressandjournal.co.uk</c:v>
                </c:pt>
                <c:pt idx="720">
                  <c:v>fansided.com</c:v>
                </c:pt>
                <c:pt idx="721">
                  <c:v>thegolfnewsnet.com</c:v>
                </c:pt>
                <c:pt idx="722">
                  <c:v>digg.com</c:v>
                </c:pt>
                <c:pt idx="723">
                  <c:v>shanghaiist.com</c:v>
                </c:pt>
              </c:strCache>
            </c:strRef>
          </c:cat>
          <c:val>
            <c:numRef>
              <c:f>small_source!$B$2:$B$725</c:f>
              <c:numCache>
                <c:formatCode>General</c:formatCode>
                <c:ptCount val="724"/>
                <c:pt idx="0">
                  <c:v>134</c:v>
                </c:pt>
                <c:pt idx="1">
                  <c:v>63</c:v>
                </c:pt>
                <c:pt idx="2">
                  <c:v>52</c:v>
                </c:pt>
                <c:pt idx="3">
                  <c:v>50</c:v>
                </c:pt>
                <c:pt idx="4">
                  <c:v>46</c:v>
                </c:pt>
                <c:pt idx="5">
                  <c:v>46</c:v>
                </c:pt>
                <c:pt idx="6">
                  <c:v>45</c:v>
                </c:pt>
                <c:pt idx="7">
                  <c:v>41</c:v>
                </c:pt>
                <c:pt idx="8">
                  <c:v>37</c:v>
                </c:pt>
                <c:pt idx="9">
                  <c:v>36</c:v>
                </c:pt>
                <c:pt idx="10">
                  <c:v>35</c:v>
                </c:pt>
                <c:pt idx="11">
                  <c:v>35</c:v>
                </c:pt>
                <c:pt idx="12">
                  <c:v>30</c:v>
                </c:pt>
                <c:pt idx="13">
                  <c:v>29</c:v>
                </c:pt>
                <c:pt idx="14">
                  <c:v>29</c:v>
                </c:pt>
                <c:pt idx="15">
                  <c:v>29</c:v>
                </c:pt>
                <c:pt idx="16">
                  <c:v>28</c:v>
                </c:pt>
                <c:pt idx="17">
                  <c:v>28</c:v>
                </c:pt>
                <c:pt idx="18">
                  <c:v>27</c:v>
                </c:pt>
                <c:pt idx="19">
                  <c:v>27</c:v>
                </c:pt>
                <c:pt idx="20">
                  <c:v>26</c:v>
                </c:pt>
                <c:pt idx="21">
                  <c:v>23</c:v>
                </c:pt>
                <c:pt idx="22">
                  <c:v>22</c:v>
                </c:pt>
                <c:pt idx="23">
                  <c:v>22</c:v>
                </c:pt>
                <c:pt idx="24">
                  <c:v>20</c:v>
                </c:pt>
                <c:pt idx="25">
                  <c:v>20</c:v>
                </c:pt>
                <c:pt idx="26">
                  <c:v>20</c:v>
                </c:pt>
                <c:pt idx="27">
                  <c:v>20</c:v>
                </c:pt>
                <c:pt idx="28">
                  <c:v>17</c:v>
                </c:pt>
                <c:pt idx="29">
                  <c:v>17</c:v>
                </c:pt>
                <c:pt idx="30">
                  <c:v>17</c:v>
                </c:pt>
                <c:pt idx="31">
                  <c:v>17</c:v>
                </c:pt>
                <c:pt idx="32">
                  <c:v>17</c:v>
                </c:pt>
                <c:pt idx="33">
                  <c:v>17</c:v>
                </c:pt>
                <c:pt idx="34">
                  <c:v>16</c:v>
                </c:pt>
                <c:pt idx="35">
                  <c:v>15</c:v>
                </c:pt>
                <c:pt idx="36">
                  <c:v>14</c:v>
                </c:pt>
                <c:pt idx="37">
                  <c:v>14</c:v>
                </c:pt>
                <c:pt idx="38">
                  <c:v>14</c:v>
                </c:pt>
                <c:pt idx="39">
                  <c:v>14</c:v>
                </c:pt>
                <c:pt idx="40">
                  <c:v>13</c:v>
                </c:pt>
                <c:pt idx="41">
                  <c:v>13</c:v>
                </c:pt>
                <c:pt idx="42">
                  <c:v>13</c:v>
                </c:pt>
                <c:pt idx="43">
                  <c:v>13</c:v>
                </c:pt>
                <c:pt idx="44">
                  <c:v>13</c:v>
                </c:pt>
                <c:pt idx="45">
                  <c:v>13</c:v>
                </c:pt>
                <c:pt idx="46">
                  <c:v>12</c:v>
                </c:pt>
                <c:pt idx="47">
                  <c:v>12</c:v>
                </c:pt>
                <c:pt idx="48">
                  <c:v>12</c:v>
                </c:pt>
                <c:pt idx="49">
                  <c:v>12</c:v>
                </c:pt>
                <c:pt idx="50">
                  <c:v>11</c:v>
                </c:pt>
                <c:pt idx="51">
                  <c:v>11</c:v>
                </c:pt>
                <c:pt idx="52">
                  <c:v>11</c:v>
                </c:pt>
                <c:pt idx="53">
                  <c:v>11</c:v>
                </c:pt>
                <c:pt idx="54">
                  <c:v>10</c:v>
                </c:pt>
                <c:pt idx="55">
                  <c:v>10</c:v>
                </c:pt>
                <c:pt idx="56">
                  <c:v>10</c:v>
                </c:pt>
                <c:pt idx="57">
                  <c:v>10</c:v>
                </c:pt>
                <c:pt idx="58">
                  <c:v>10</c:v>
                </c:pt>
                <c:pt idx="59">
                  <c:v>9</c:v>
                </c:pt>
                <c:pt idx="60">
                  <c:v>9</c:v>
                </c:pt>
                <c:pt idx="61">
                  <c:v>9</c:v>
                </c:pt>
                <c:pt idx="62">
                  <c:v>8</c:v>
                </c:pt>
                <c:pt idx="63">
                  <c:v>8</c:v>
                </c:pt>
                <c:pt idx="64">
                  <c:v>8</c:v>
                </c:pt>
                <c:pt idx="65">
                  <c:v>8</c:v>
                </c:pt>
                <c:pt idx="66">
                  <c:v>7</c:v>
                </c:pt>
                <c:pt idx="67">
                  <c:v>7</c:v>
                </c:pt>
                <c:pt idx="68">
                  <c:v>7</c:v>
                </c:pt>
                <c:pt idx="69">
                  <c:v>7</c:v>
                </c:pt>
                <c:pt idx="70">
                  <c:v>7</c:v>
                </c:pt>
                <c:pt idx="71">
                  <c:v>7</c:v>
                </c:pt>
                <c:pt idx="72">
                  <c:v>7</c:v>
                </c:pt>
                <c:pt idx="73">
                  <c:v>7</c:v>
                </c:pt>
                <c:pt idx="74">
                  <c:v>6</c:v>
                </c:pt>
                <c:pt idx="75">
                  <c:v>6</c:v>
                </c:pt>
                <c:pt idx="76">
                  <c:v>6</c:v>
                </c:pt>
                <c:pt idx="77">
                  <c:v>6</c:v>
                </c:pt>
                <c:pt idx="78">
                  <c:v>6</c:v>
                </c:pt>
                <c:pt idx="79">
                  <c:v>6</c:v>
                </c:pt>
                <c:pt idx="80">
                  <c:v>6</c:v>
                </c:pt>
                <c:pt idx="81">
                  <c:v>6</c:v>
                </c:pt>
                <c:pt idx="82">
                  <c:v>6</c:v>
                </c:pt>
                <c:pt idx="83">
                  <c:v>6</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2</c:v>
                </c:pt>
                <c:pt idx="250">
                  <c:v>2</c:v>
                </c:pt>
                <c:pt idx="251">
                  <c:v>2</c:v>
                </c:pt>
                <c:pt idx="252">
                  <c:v>2</c:v>
                </c:pt>
                <c:pt idx="253">
                  <c:v>2</c:v>
                </c:pt>
                <c:pt idx="254">
                  <c:v>2</c:v>
                </c:pt>
                <c:pt idx="255">
                  <c:v>2</c:v>
                </c:pt>
                <c:pt idx="256">
                  <c:v>2</c:v>
                </c:pt>
                <c:pt idx="257">
                  <c:v>2</c:v>
                </c:pt>
                <c:pt idx="258">
                  <c:v>2</c:v>
                </c:pt>
                <c:pt idx="259">
                  <c:v>2</c:v>
                </c:pt>
                <c:pt idx="260">
                  <c:v>2</c:v>
                </c:pt>
                <c:pt idx="261">
                  <c:v>2</c:v>
                </c:pt>
                <c:pt idx="262">
                  <c:v>2</c:v>
                </c:pt>
                <c:pt idx="263">
                  <c:v>2</c:v>
                </c:pt>
                <c:pt idx="264">
                  <c:v>2</c:v>
                </c:pt>
                <c:pt idx="265">
                  <c:v>2</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0</c:v>
                </c:pt>
                <c:pt idx="722">
                  <c:v>0</c:v>
                </c:pt>
              </c:numCache>
            </c:numRef>
          </c:val>
          <c:extLst>
            <c:ext xmlns:c16="http://schemas.microsoft.com/office/drawing/2014/chart" uri="{C3380CC4-5D6E-409C-BE32-E72D297353CC}">
              <c16:uniqueId val="{00000000-D123-2249-BACD-06A3B24DC653}"/>
            </c:ext>
          </c:extLst>
        </c:ser>
        <c:dLbls>
          <c:showLegendKey val="0"/>
          <c:showVal val="0"/>
          <c:showCatName val="0"/>
          <c:showSerName val="0"/>
          <c:showPercent val="0"/>
          <c:showBubbleSize val="0"/>
        </c:dLbls>
        <c:gapWidth val="219"/>
        <c:overlap val="-27"/>
        <c:axId val="818350976"/>
        <c:axId val="818387424"/>
      </c:barChart>
      <c:catAx>
        <c:axId val="818350976"/>
        <c:scaling>
          <c:orientation val="minMax"/>
        </c:scaling>
        <c:delete val="1"/>
        <c:axPos val="b"/>
        <c:numFmt formatCode="General" sourceLinked="1"/>
        <c:majorTickMark val="none"/>
        <c:minorTickMark val="none"/>
        <c:tickLblPos val="nextTo"/>
        <c:crossAx val="818387424"/>
        <c:crosses val="autoZero"/>
        <c:auto val="1"/>
        <c:lblAlgn val="ctr"/>
        <c:lblOffset val="100"/>
        <c:noMultiLvlLbl val="0"/>
      </c:catAx>
      <c:valAx>
        <c:axId val="81838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350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Articles per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small_source!$A$2:$A$725</c:f>
              <c:strCache>
                <c:ptCount val="724"/>
                <c:pt idx="0">
                  <c:v>appleinsider.com</c:v>
                </c:pt>
                <c:pt idx="1">
                  <c:v>au.tv.yahoo.com</c:v>
                </c:pt>
                <c:pt idx="2">
                  <c:v>www.9news.com.au</c:v>
                </c:pt>
                <c:pt idx="3">
                  <c:v>www.dailymail.co.uk</c:v>
                </c:pt>
                <c:pt idx="4">
                  <c:v>www.examiner.com</c:v>
                </c:pt>
                <c:pt idx="5">
                  <c:v>www.irishmirror.ie</c:v>
                </c:pt>
                <c:pt idx="6">
                  <c:v>www.mirror.co.uk</c:v>
                </c:pt>
                <c:pt idx="7">
                  <c:v>www.newser.com</c:v>
                </c:pt>
                <c:pt idx="8">
                  <c:v>www.macrumors.com</c:v>
                </c:pt>
                <c:pt idx="9">
                  <c:v>metro.co.uk</c:v>
                </c:pt>
                <c:pt idx="10">
                  <c:v>www.ibtimes.co.in</c:v>
                </c:pt>
                <c:pt idx="11">
                  <c:v>www.huffingtonpost.in</c:v>
                </c:pt>
                <c:pt idx="12">
                  <c:v>www.ibtimes.co.uk</c:v>
                </c:pt>
                <c:pt idx="13">
                  <c:v>www.nydailynews.com</c:v>
                </c:pt>
                <c:pt idx="14">
                  <c:v>online.wsj.com</c:v>
                </c:pt>
                <c:pt idx="15">
                  <c:v>worldnewsdailyreport.com</c:v>
                </c:pt>
                <c:pt idx="16">
                  <c:v>time.com</c:v>
                </c:pt>
                <c:pt idx="17">
                  <c:v>timesofindia.indiatimes.com</c:v>
                </c:pt>
                <c:pt idx="18">
                  <c:v>www.bbc.com</c:v>
                </c:pt>
                <c:pt idx="19">
                  <c:v>www.aljazeera.com</c:v>
                </c:pt>
                <c:pt idx="20">
                  <c:v>www.asianage.com</c:v>
                </c:pt>
                <c:pt idx="21">
                  <c:v>www.buzzfeed.com</c:v>
                </c:pt>
                <c:pt idx="22">
                  <c:v>www.huffingtonpost.com</c:v>
                </c:pt>
                <c:pt idx="23">
                  <c:v>www.cnn.com</c:v>
                </c:pt>
                <c:pt idx="24">
                  <c:v>www.independent.co.uk</c:v>
                </c:pt>
                <c:pt idx="25">
                  <c:v>www.telegraph.co.uk</c:v>
                </c:pt>
                <c:pt idx="26">
                  <c:v>www.smh.com.au</c:v>
                </c:pt>
                <c:pt idx="27">
                  <c:v>www.theatlantic.com</c:v>
                </c:pt>
                <c:pt idx="28">
                  <c:v>www.theguardian.com</c:v>
                </c:pt>
                <c:pt idx="29">
                  <c:v>www.washingtonpost.com</c:v>
                </c:pt>
                <c:pt idx="30">
                  <c:v>www.dailystar.co.uk</c:v>
                </c:pt>
                <c:pt idx="31">
                  <c:v>www.theglobeandmail.com</c:v>
                </c:pt>
                <c:pt idx="32">
                  <c:v>news.sky.com</c:v>
                </c:pt>
                <c:pt idx="33">
                  <c:v>www.huffingtonpost.co.uk</c:v>
                </c:pt>
                <c:pt idx="34">
                  <c:v>www.express.co.uk</c:v>
                </c:pt>
                <c:pt idx="35">
                  <c:v>www.theargus.co.uk</c:v>
                </c:pt>
                <c:pt idx="36">
                  <c:v>www.businessinsider.com</c:v>
                </c:pt>
                <c:pt idx="37">
                  <c:v>gizmodo.com</c:v>
                </c:pt>
                <c:pt idx="38">
                  <c:v>www.cnbc.com</c:v>
                </c:pt>
                <c:pt idx="39">
                  <c:v>theweek.com</c:v>
                </c:pt>
                <c:pt idx="40">
                  <c:v>9to5mac.com</c:v>
                </c:pt>
                <c:pt idx="41">
                  <c:v>bgr.com</c:v>
                </c:pt>
                <c:pt idx="42">
                  <c:v>www.theverge.com</c:v>
                </c:pt>
                <c:pt idx="43">
                  <c:v>www.engadget.com</c:v>
                </c:pt>
                <c:pt idx="44">
                  <c:v>nationalreport.net</c:v>
                </c:pt>
                <c:pt idx="45">
                  <c:v>www.digitimes.com</c:v>
                </c:pt>
                <c:pt idx="46">
                  <c:v>www.ibtimes.com</c:v>
                </c:pt>
                <c:pt idx="47">
                  <c:v>techcrunch.com</c:v>
                </c:pt>
                <c:pt idx="48">
                  <c:v>www.forbes.com</c:v>
                </c:pt>
                <c:pt idx="49">
                  <c:v>www.geek.com</c:v>
                </c:pt>
                <c:pt idx="50">
                  <c:v>www.techtimes.com</c:v>
                </c:pt>
                <c:pt idx="51">
                  <c:v>www.slashgear.com</c:v>
                </c:pt>
                <c:pt idx="52">
                  <c:v>www.macworld.com</c:v>
                </c:pt>
                <c:pt idx="53">
                  <c:v>www.macworld.co.uk</c:v>
                </c:pt>
                <c:pt idx="54">
                  <c:v>www.usatoday.com</c:v>
                </c:pt>
                <c:pt idx="55">
                  <c:v>www.igen.fr</c:v>
                </c:pt>
                <c:pt idx="56">
                  <c:v>pando.com</c:v>
                </c:pt>
                <c:pt idx="57">
                  <c:v>grail-watch.com</c:v>
                </c:pt>
                <c:pt idx="58">
                  <c:v>www.cultofmac.com</c:v>
                </c:pt>
                <c:pt idx="59">
                  <c:v>www.ubergizmo.com</c:v>
                </c:pt>
                <c:pt idx="60">
                  <c:v>investorplace.com</c:v>
                </c:pt>
                <c:pt idx="61">
                  <c:v>www.apfelpage.de</c:v>
                </c:pt>
                <c:pt idx="62">
                  <c:v>www.bizjournals.com</c:v>
                </c:pt>
                <c:pt idx="63">
                  <c:v>valleywag.gawker.com</c:v>
                </c:pt>
                <c:pt idx="64">
                  <c:v>www.businessinsider.in</c:v>
                </c:pt>
                <c:pt idx="65">
                  <c:v>www.cnet.com</c:v>
                </c:pt>
                <c:pt idx="66">
                  <c:v>gigaom.com</c:v>
                </c:pt>
                <c:pt idx="67">
                  <c:v>www.bgr.in</c:v>
                </c:pt>
                <c:pt idx="68">
                  <c:v>gadgets.ndtv.com</c:v>
                </c:pt>
                <c:pt idx="69">
                  <c:v>recode.net</c:v>
                </c:pt>
                <c:pt idx="70">
                  <c:v>www.networkworld.com</c:v>
                </c:pt>
                <c:pt idx="71">
                  <c:v>www.iphoneincanada.ca</c:v>
                </c:pt>
                <c:pt idx="72">
                  <c:v>idevicedailys.com</c:v>
                </c:pt>
                <c:pt idx="73">
                  <c:v>wearabletechnologies.co.uk</c:v>
                </c:pt>
                <c:pt idx="74">
                  <c:v>uproxx.com</c:v>
                </c:pt>
                <c:pt idx="75">
                  <c:v>mic.com</c:v>
                </c:pt>
                <c:pt idx="76">
                  <c:v>macdailynews.com</c:v>
                </c:pt>
                <c:pt idx="77">
                  <c:v>www.macobserver.com</c:v>
                </c:pt>
                <c:pt idx="78">
                  <c:v>www.gsmarena.com</c:v>
                </c:pt>
                <c:pt idx="79">
                  <c:v>www.besttechie.com</c:v>
                </c:pt>
                <c:pt idx="80">
                  <c:v>blogs.barrons.com</c:v>
                </c:pt>
                <c:pt idx="81">
                  <c:v>mashable.com</c:v>
                </c:pt>
                <c:pt idx="82">
                  <c:v>jezebel.com</c:v>
                </c:pt>
                <c:pt idx="83">
                  <c:v>au.ibtimes.com</c:v>
                </c:pt>
                <c:pt idx="84">
                  <c:v>perezhilton.com</c:v>
                </c:pt>
                <c:pt idx="85">
                  <c:v>www.fastcompany.com</c:v>
                </c:pt>
                <c:pt idx="86">
                  <c:v>www.bustle.com</c:v>
                </c:pt>
                <c:pt idx="87">
                  <c:v>thenextweb.com</c:v>
                </c:pt>
                <c:pt idx="88">
                  <c:v>www.techradar.com</c:v>
                </c:pt>
                <c:pt idx="89">
                  <c:v>www.pcworld.com</c:v>
                </c:pt>
                <c:pt idx="90">
                  <c:v>factually.gizmodo.com</c:v>
                </c:pt>
                <c:pt idx="91">
                  <c:v>www.geekwire.com</c:v>
                </c:pt>
                <c:pt idx="92">
                  <c:v>mobilemarketingmagazine.com</c:v>
                </c:pt>
                <c:pt idx="93">
                  <c:v>mobilesyrup.com</c:v>
                </c:pt>
                <c:pt idx="94">
                  <c:v>www.digitaltrends.com</c:v>
                </c:pt>
                <c:pt idx="95">
                  <c:v>www.mactrast.com</c:v>
                </c:pt>
                <c:pt idx="96">
                  <c:v>www.redmondpie.com</c:v>
                </c:pt>
                <c:pt idx="97">
                  <c:v>www.designntrend.com</c:v>
                </c:pt>
                <c:pt idx="98">
                  <c:v>ca.ign.com</c:v>
                </c:pt>
                <c:pt idx="99">
                  <c:v>www.wsj.com</c:v>
                </c:pt>
                <c:pt idx="100">
                  <c:v>nation.foxnews.com</c:v>
                </c:pt>
                <c:pt idx="101">
                  <c:v>forward.com</c:v>
                </c:pt>
                <c:pt idx="102">
                  <c:v>www.mediaite.com</c:v>
                </c:pt>
                <c:pt idx="103">
                  <c:v>www.nbcnews.com</c:v>
                </c:pt>
                <c:pt idx="104">
                  <c:v>www.cbsnews.com</c:v>
                </c:pt>
                <c:pt idx="105">
                  <c:v>www.npr.org</c:v>
                </c:pt>
                <c:pt idx="106">
                  <c:v>www.snopes.com</c:v>
                </c:pt>
                <c:pt idx="107">
                  <c:v>www.upi.com</c:v>
                </c:pt>
                <c:pt idx="108">
                  <c:v>www.torontosun.com</c:v>
                </c:pt>
                <c:pt idx="109">
                  <c:v>www.haaretz.com</c:v>
                </c:pt>
                <c:pt idx="110">
                  <c:v>www.people.com</c:v>
                </c:pt>
                <c:pt idx="111">
                  <c:v>www.huffingtonpost.ca</c:v>
                </c:pt>
                <c:pt idx="112">
                  <c:v>www.cosmopolitan.com</c:v>
                </c:pt>
                <c:pt idx="113">
                  <c:v>i100.independent.co.uk</c:v>
                </c:pt>
                <c:pt idx="114">
                  <c:v>www.latintimes.com</c:v>
                </c:pt>
                <c:pt idx="115">
                  <c:v>www.jta.org</c:v>
                </c:pt>
                <c:pt idx="116">
                  <c:v>www.smithsonianmag.com</c:v>
                </c:pt>
                <c:pt idx="117">
                  <c:v>www.vice.com</c:v>
                </c:pt>
                <c:pt idx="118">
                  <c:v>www.artfido.com</c:v>
                </c:pt>
                <c:pt idx="119">
                  <c:v>www.digitallook.com</c:v>
                </c:pt>
                <c:pt idx="120">
                  <c:v>www.london24.com</c:v>
                </c:pt>
                <c:pt idx="121">
                  <c:v>www.inquisitr.com</c:v>
                </c:pt>
                <c:pt idx="122">
                  <c:v>nypost.com</c:v>
                </c:pt>
                <c:pt idx="123">
                  <c:v>www.news.com.au</c:v>
                </c:pt>
                <c:pt idx="124">
                  <c:v>gawker.com</c:v>
                </c:pt>
                <c:pt idx="125">
                  <c:v>www.foxnews.com</c:v>
                </c:pt>
                <c:pt idx="126">
                  <c:v>www.theepochtimes.com</c:v>
                </c:pt>
                <c:pt idx="127">
                  <c:v>nymag.com</c:v>
                </c:pt>
                <c:pt idx="128">
                  <c:v>abcnews.go.com</c:v>
                </c:pt>
                <c:pt idx="129">
                  <c:v>www.timesofisrael.com</c:v>
                </c:pt>
                <c:pt idx="130">
                  <c:v>dailycaller.com</c:v>
                </c:pt>
                <c:pt idx="131">
                  <c:v>www.mtv.com</c:v>
                </c:pt>
                <c:pt idx="132">
                  <c:v>www.newsmax.com</c:v>
                </c:pt>
                <c:pt idx="133">
                  <c:v>austriantimes.at</c:v>
                </c:pt>
                <c:pt idx="134">
                  <c:v>www.thewrap.com</c:v>
                </c:pt>
                <c:pt idx="135">
                  <c:v>variety.com</c:v>
                </c:pt>
                <c:pt idx="136">
                  <c:v>www.freep.com</c:v>
                </c:pt>
                <c:pt idx="137">
                  <c:v>www.yahoo.com</c:v>
                </c:pt>
                <c:pt idx="138">
                  <c:v>www.poynter.org</c:v>
                </c:pt>
                <c:pt idx="139">
                  <c:v>nukethefridge.com</c:v>
                </c:pt>
                <c:pt idx="140">
                  <c:v>www.theouthousers.com</c:v>
                </c:pt>
                <c:pt idx="141">
                  <c:v>www.theweathernetwork.com</c:v>
                </c:pt>
                <c:pt idx="142">
                  <c:v>www.billboard.com</c:v>
                </c:pt>
                <c:pt idx="143">
                  <c:v>capedcrusades.com</c:v>
                </c:pt>
                <c:pt idx="144">
                  <c:v>comicbook.com</c:v>
                </c:pt>
                <c:pt idx="145">
                  <c:v>detroit.cbslocal.com</c:v>
                </c:pt>
                <c:pt idx="146">
                  <c:v>jalopnik.com</c:v>
                </c:pt>
                <c:pt idx="147">
                  <c:v>movies.cosmicbooknews.com</c:v>
                </c:pt>
                <c:pt idx="148">
                  <c:v>screenrant.com</c:v>
                </c:pt>
                <c:pt idx="149">
                  <c:v>www.bleedingcool.com</c:v>
                </c:pt>
                <c:pt idx="150">
                  <c:v>www.comicbookmovie.com</c:v>
                </c:pt>
                <c:pt idx="151">
                  <c:v>www.deadlinedetroit.com</c:v>
                </c:pt>
                <c:pt idx="152">
                  <c:v>www.kpopstarz.com</c:v>
                </c:pt>
                <c:pt idx="153">
                  <c:v>www.movieviral.com</c:v>
                </c:pt>
                <c:pt idx="154">
                  <c:v>www.slashfilm.com</c:v>
                </c:pt>
                <c:pt idx="155">
                  <c:v>www.supermansupersite.com</c:v>
                </c:pt>
                <c:pt idx="156">
                  <c:v>www.worstpreviews.com</c:v>
                </c:pt>
                <c:pt idx="157">
                  <c:v>www.barstoolsports.com</c:v>
                </c:pt>
                <c:pt idx="158">
                  <c:v>www.bostonherald.com</c:v>
                </c:pt>
                <c:pt idx="159">
                  <c:v>www.abc15.com</c:v>
                </c:pt>
                <c:pt idx="160">
                  <c:v>www.azcentral.com</c:v>
                </c:pt>
                <c:pt idx="161">
                  <c:v>www.complexmag.ca</c:v>
                </c:pt>
                <c:pt idx="162">
                  <c:v>www.iphonote.com</c:v>
                </c:pt>
                <c:pt idx="163">
                  <c:v>thescoopblog.dallasnews.com</c:v>
                </c:pt>
                <c:pt idx="164">
                  <c:v>heavy.com</c:v>
                </c:pt>
                <c:pt idx="165">
                  <c:v>dankennedy.net</c:v>
                </c:pt>
                <c:pt idx="166">
                  <c:v>www.theblaze.com</c:v>
                </c:pt>
                <c:pt idx="167">
                  <c:v>www.latimes.com</c:v>
                </c:pt>
                <c:pt idx="168">
                  <c:v>english.alarabiya.net</c:v>
                </c:pt>
                <c:pt idx="169">
                  <c:v>news.nationalpost.com</c:v>
                </c:pt>
                <c:pt idx="170">
                  <c:v>www.thegatewaypundit.com</c:v>
                </c:pt>
                <c:pt idx="171">
                  <c:v>pagesix.com</c:v>
                </c:pt>
                <c:pt idx="172">
                  <c:v>www.itv.com</c:v>
                </c:pt>
                <c:pt idx="173">
                  <c:v>www.christianpost.com</c:v>
                </c:pt>
                <c:pt idx="174">
                  <c:v>www.thewire.com</c:v>
                </c:pt>
                <c:pt idx="175">
                  <c:v>www.hoax-slayer.com</c:v>
                </c:pt>
                <c:pt idx="176">
                  <c:v>www.aol.com</c:v>
                </c:pt>
                <c:pt idx="177">
                  <c:v>www.deathandtaxesmag.com</c:v>
                </c:pt>
                <c:pt idx="178">
                  <c:v>www.mediabistro.com</c:v>
                </c:pt>
                <c:pt idx="179">
                  <c:v>www.ctvnews.ca</c:v>
                </c:pt>
                <c:pt idx="180">
                  <c:v>www.stuff.co.nz</c:v>
                </c:pt>
                <c:pt idx="181">
                  <c:v>www.timeslive.co.za</c:v>
                </c:pt>
                <c:pt idx="182">
                  <c:v>www.tmz.com</c:v>
                </c:pt>
                <c:pt idx="183">
                  <c:v>www.wnd.com</c:v>
                </c:pt>
                <c:pt idx="184">
                  <c:v>empirenews.net</c:v>
                </c:pt>
                <c:pt idx="185">
                  <c:v>arstechnica.com</c:v>
                </c:pt>
                <c:pt idx="186">
                  <c:v>boingboing.net</c:v>
                </c:pt>
                <c:pt idx="187">
                  <c:v>www.kentonline.co.uk</c:v>
                </c:pt>
                <c:pt idx="188">
                  <c:v>www.usmagazine.com</c:v>
                </c:pt>
                <c:pt idx="189">
                  <c:v>venturebeat.com</c:v>
                </c:pt>
                <c:pt idx="190">
                  <c:v>dailybuzzlive.com</c:v>
                </c:pt>
                <c:pt idx="191">
                  <c:v>www.vox.com</c:v>
                </c:pt>
                <c:pt idx="192">
                  <c:v>pjmedia.com</c:v>
                </c:pt>
                <c:pt idx="193">
                  <c:v>www.cosmopolitan.co.uk</c:v>
                </c:pt>
                <c:pt idx="194">
                  <c:v>www.imediaethics.org</c:v>
                </c:pt>
                <c:pt idx="195">
                  <c:v>www.phillymag.com</c:v>
                </c:pt>
                <c:pt idx="196">
                  <c:v>plus.google.com</c:v>
                </c:pt>
                <c:pt idx="197">
                  <c:v>www.idownloadblog.com</c:v>
                </c:pt>
                <c:pt idx="198">
                  <c:v>www.thehollywoodgossip.com</c:v>
                </c:pt>
                <c:pt idx="199">
                  <c:v>edition.cnn.com</c:v>
                </c:pt>
                <c:pt idx="200">
                  <c:v>mysteriousuniverse.org</c:v>
                </c:pt>
                <c:pt idx="201">
                  <c:v>the-peoplesnews.com</c:v>
                </c:pt>
                <c:pt idx="202">
                  <c:v>www.bild.de</c:v>
                </c:pt>
                <c:pt idx="203">
                  <c:v>www.couriermail.com.au</c:v>
                </c:pt>
                <c:pt idx="204">
                  <c:v>www.hngn.com</c:v>
                </c:pt>
                <c:pt idx="205">
                  <c:v>www.cctvnews.cn</c:v>
                </c:pt>
                <c:pt idx="206">
                  <c:v>www.whatsonsanya.com</c:v>
                </c:pt>
                <c:pt idx="207">
                  <c:v>finance.yahoo.com</c:v>
                </c:pt>
                <c:pt idx="208">
                  <c:v>www.deepdotweb.com</c:v>
                </c:pt>
                <c:pt idx="209">
                  <c:v>www.businessinsider.com.au</c:v>
                </c:pt>
                <c:pt idx="210">
                  <c:v>www.ntd.tv</c:v>
                </c:pt>
                <c:pt idx="211">
                  <c:v>www.weirdwhitstable.co.uk</c:v>
                </c:pt>
                <c:pt idx="212">
                  <c:v>www.leaderpost.com</c:v>
                </c:pt>
                <c:pt idx="213">
                  <c:v>www.thereporter.com.au</c:v>
                </c:pt>
                <c:pt idx="214">
                  <c:v>theconcourse.deadspin.com</c:v>
                </c:pt>
                <c:pt idx="215">
                  <c:v>www.sbnation.com</c:v>
                </c:pt>
                <c:pt idx="216">
                  <c:v>www.gizmodo.co.uk</c:v>
                </c:pt>
                <c:pt idx="217">
                  <c:v>knowmore.washingtonpost.com</c:v>
                </c:pt>
                <c:pt idx="218">
                  <c:v>inserbia.info</c:v>
                </c:pt>
                <c:pt idx="219">
                  <c:v>jjxzdwy.ktimes.co.kr</c:v>
                </c:pt>
                <c:pt idx="220">
                  <c:v>corporate.comcast.com</c:v>
                </c:pt>
                <c:pt idx="221">
                  <c:v>canadajournal.net</c:v>
                </c:pt>
                <c:pt idx="222">
                  <c:v>kxan.com</c:v>
                </c:pt>
                <c:pt idx="223">
                  <c:v>deadline.com</c:v>
                </c:pt>
                <c:pt idx="224">
                  <c:v>nextshark.com</c:v>
                </c:pt>
                <c:pt idx="225">
                  <c:v>www.cbc.ca</c:v>
                </c:pt>
                <c:pt idx="226">
                  <c:v>www.reuters.com</c:v>
                </c:pt>
                <c:pt idx="227">
                  <c:v>www.breitbart.com</c:v>
                </c:pt>
                <c:pt idx="228">
                  <c:v>www.nytimes.com</c:v>
                </c:pt>
                <c:pt idx="229">
                  <c:v>www.thedailybeast.com</c:v>
                </c:pt>
                <c:pt idx="230">
                  <c:v>www.slate.com</c:v>
                </c:pt>
                <c:pt idx="231">
                  <c:v>www.washingtontimes.com</c:v>
                </c:pt>
                <c:pt idx="232">
                  <c:v>www.opposingviews.com</c:v>
                </c:pt>
                <c:pt idx="233">
                  <c:v>www.bloomberg.com</c:v>
                </c:pt>
                <c:pt idx="234">
                  <c:v>www.hollywoodreporter.com</c:v>
                </c:pt>
                <c:pt idx="235">
                  <c:v>rt.com</c:v>
                </c:pt>
                <c:pt idx="236">
                  <c:v>www.zerohedge.com</c:v>
                </c:pt>
                <c:pt idx="237">
                  <c:v>ca.eonline.com</c:v>
                </c:pt>
                <c:pt idx="238">
                  <c:v>www.politico.com</c:v>
                </c:pt>
                <c:pt idx="239">
                  <c:v>indiatoday.intoday.in</c:v>
                </c:pt>
                <c:pt idx="240">
                  <c:v>www.gossipcop.com</c:v>
                </c:pt>
                <c:pt idx="241">
                  <c:v>www.metro.se</c:v>
                </c:pt>
                <c:pt idx="242">
                  <c:v>www.usnews.com</c:v>
                </c:pt>
                <c:pt idx="243">
                  <c:v>www.jpost.com</c:v>
                </c:pt>
                <c:pt idx="244">
                  <c:v>hollywoodlife.com</c:v>
                </c:pt>
                <c:pt idx="245">
                  <c:v>www.theweek.co.uk</c:v>
                </c:pt>
                <c:pt idx="246">
                  <c:v>antiviral.gawker.com</c:v>
                </c:pt>
                <c:pt idx="247">
                  <c:v>twitter.com</c:v>
                </c:pt>
                <c:pt idx="248">
                  <c:v>twitchy.com</c:v>
                </c:pt>
                <c:pt idx="249">
                  <c:v>www.csmonitor.com</c:v>
                </c:pt>
                <c:pt idx="250">
                  <c:v>www.dailysabah.com</c:v>
                </c:pt>
                <c:pt idx="251">
                  <c:v>qz.com</c:v>
                </c:pt>
                <c:pt idx="252">
                  <c:v>www.msnbc.com</c:v>
                </c:pt>
                <c:pt idx="253">
                  <c:v>www.vocativ.com</c:v>
                </c:pt>
                <c:pt idx="254">
                  <c:v>yournewswire.com</c:v>
                </c:pt>
                <c:pt idx="255">
                  <c:v>bigstory.ap.org</c:v>
                </c:pt>
                <c:pt idx="256">
                  <c:v>www.thedailystar.net</c:v>
                </c:pt>
                <c:pt idx="257">
                  <c:v>www.ft.com</c:v>
                </c:pt>
                <c:pt idx="258">
                  <c:v>freebeacon.com</c:v>
                </c:pt>
                <c:pt idx="259">
                  <c:v>www.nationalreview.com</c:v>
                </c:pt>
                <c:pt idx="260">
                  <c:v>www.iraqinews.com</c:v>
                </c:pt>
                <c:pt idx="261">
                  <c:v>io9.com</c:v>
                </c:pt>
                <c:pt idx="262">
                  <c:v>ca.complex.com</c:v>
                </c:pt>
                <c:pt idx="263">
                  <c:v>deadspin.com</c:v>
                </c:pt>
                <c:pt idx="264">
                  <c:v>www.philly.com</c:v>
                </c:pt>
                <c:pt idx="265">
                  <c:v>www.tomsguide.com</c:v>
                </c:pt>
                <c:pt idx="266">
                  <c:v>www.mcclatchydc.com</c:v>
                </c:pt>
                <c:pt idx="267">
                  <c:v>www.theaustralian.com.au</c:v>
                </c:pt>
                <c:pt idx="268">
                  <c:v>www.israelnationalnews.com</c:v>
                </c:pt>
                <c:pt idx="269">
                  <c:v>www.vanityfair.com</c:v>
                </c:pt>
                <c:pt idx="270">
                  <c:v>www.today.com</c:v>
                </c:pt>
                <c:pt idx="271">
                  <c:v>www.deccanchronicle.com</c:v>
                </c:pt>
                <c:pt idx="272">
                  <c:v>www.indiatimes.com</c:v>
                </c:pt>
                <c:pt idx="273">
                  <c:v>www.salon.com</c:v>
                </c:pt>
                <c:pt idx="274">
                  <c:v>www.independent.ie</c:v>
                </c:pt>
                <c:pt idx="275">
                  <c:v>www.dnaindia.com</c:v>
                </c:pt>
                <c:pt idx="276">
                  <c:v>bleacherreport.com</c:v>
                </c:pt>
                <c:pt idx="277">
                  <c:v>espn.go.com</c:v>
                </c:pt>
                <c:pt idx="278">
                  <c:v>www.inside.com</c:v>
                </c:pt>
                <c:pt idx="279">
                  <c:v>en.mediamass.net</c:v>
                </c:pt>
                <c:pt idx="280">
                  <c:v>socialnewsdaily.com</c:v>
                </c:pt>
                <c:pt idx="281">
                  <c:v>www.nymeta.co</c:v>
                </c:pt>
                <c:pt idx="282">
                  <c:v>www.thesun.co.uk</c:v>
                </c:pt>
                <c:pt idx="283">
                  <c:v>www.corsicanadailysun.com</c:v>
                </c:pt>
                <c:pt idx="284">
                  <c:v>www.koco.com</c:v>
                </c:pt>
                <c:pt idx="285">
                  <c:v>www.kwtx.com</c:v>
                </c:pt>
                <c:pt idx="286">
                  <c:v>www.hockeybuzz.com</c:v>
                </c:pt>
                <c:pt idx="287">
                  <c:v>www.pressgazette.co.uk</c:v>
                </c:pt>
                <c:pt idx="288">
                  <c:v>fortressamerica.gawker.com</c:v>
                </c:pt>
                <c:pt idx="289">
                  <c:v>www.capitalfm.co.ke</c:v>
                </c:pt>
                <c:pt idx="290">
                  <c:v>blogs.wsj.com</c:v>
                </c:pt>
                <c:pt idx="291">
                  <c:v>hotair.com</c:v>
                </c:pt>
                <c:pt idx="292">
                  <c:v>www.presstv.ir</c:v>
                </c:pt>
                <c:pt idx="293">
                  <c:v>entertainment.ie</c:v>
                </c:pt>
                <c:pt idx="294">
                  <c:v>www.arabnews.com</c:v>
                </c:pt>
                <c:pt idx="295">
                  <c:v>www.emirates247.com</c:v>
                </c:pt>
                <c:pt idx="296">
                  <c:v>www.moroccoworldnews.com</c:v>
                </c:pt>
                <c:pt idx="297">
                  <c:v>www.palmbeachpost.com</c:v>
                </c:pt>
                <c:pt idx="298">
                  <c:v>www.jewishjournal.com</c:v>
                </c:pt>
                <c:pt idx="299">
                  <c:v>www.ynetnews.com</c:v>
                </c:pt>
                <c:pt idx="300">
                  <c:v>www.abc.net.au</c:v>
                </c:pt>
                <c:pt idx="301">
                  <c:v>money.cnn.com</c:v>
                </c:pt>
                <c:pt idx="302">
                  <c:v>www.gizmodo.in</c:v>
                </c:pt>
                <c:pt idx="303">
                  <c:v>www.viralnova.com</c:v>
                </c:pt>
                <c:pt idx="304">
                  <c:v>www.wareable.com</c:v>
                </c:pt>
                <c:pt idx="305">
                  <c:v>www.kaynaija.com</c:v>
                </c:pt>
                <c:pt idx="306">
                  <c:v>www.oneindia.com</c:v>
                </c:pt>
                <c:pt idx="307">
                  <c:v>ynaija.com</c:v>
                </c:pt>
                <c:pt idx="308">
                  <c:v>www.technobuffalo.com</c:v>
                </c:pt>
                <c:pt idx="309">
                  <c:v>www.appy-geek.com</c:v>
                </c:pt>
                <c:pt idx="310">
                  <c:v>beforeitsnews.com</c:v>
                </c:pt>
                <c:pt idx="311">
                  <c:v>www.globalresearch.ca</c:v>
                </c:pt>
                <c:pt idx="312">
                  <c:v>www.infowars.com</c:v>
                </c:pt>
                <c:pt idx="313">
                  <c:v>www.veteranstoday.com</c:v>
                </c:pt>
                <c:pt idx="314">
                  <c:v>news.vice.com</c:v>
                </c:pt>
                <c:pt idx="315">
                  <c:v>www.albawaba.com</c:v>
                </c:pt>
                <c:pt idx="316">
                  <c:v>www.kurdishquestion.com</c:v>
                </c:pt>
                <c:pt idx="317">
                  <c:v>www.france24.com</c:v>
                </c:pt>
                <c:pt idx="318">
                  <c:v>www.wjla.com</c:v>
                </c:pt>
                <c:pt idx="319">
                  <c:v>zeenews.india.com</c:v>
                </c:pt>
                <c:pt idx="320">
                  <c:v>washington.cbslocal.com</c:v>
                </c:pt>
                <c:pt idx="321">
                  <c:v>www.newrepublic.com</c:v>
                </c:pt>
                <c:pt idx="322">
                  <c:v>www.politifact.com</c:v>
                </c:pt>
                <c:pt idx="323">
                  <c:v>www.al-monitor.com</c:v>
                </c:pt>
                <c:pt idx="324">
                  <c:v>www.jewishpress.com</c:v>
                </c:pt>
                <c:pt idx="325">
                  <c:v>basnews.com</c:v>
                </c:pt>
                <c:pt idx="326">
                  <c:v>townhall.com</c:v>
                </c:pt>
                <c:pt idx="327">
                  <c:v>www.dailytimes.com.pk</c:v>
                </c:pt>
                <c:pt idx="328">
                  <c:v>cir.ca</c:v>
                </c:pt>
                <c:pt idx="329">
                  <c:v>www.facebook.com</c:v>
                </c:pt>
                <c:pt idx="330">
                  <c:v>www.commentarymagazine.com</c:v>
                </c:pt>
                <c:pt idx="331">
                  <c:v>www.maannews.com</c:v>
                </c:pt>
                <c:pt idx="332">
                  <c:v>ftw.usatoday.com</c:v>
                </c:pt>
                <c:pt idx="333">
                  <c:v>www.grindtv.com</c:v>
                </c:pt>
                <c:pt idx="334">
                  <c:v>www.unionesarda.it</c:v>
                </c:pt>
                <c:pt idx="335">
                  <c:v>www.dailystar.com.lb</c:v>
                </c:pt>
                <c:pt idx="336">
                  <c:v>web.orange.co.uk</c:v>
                </c:pt>
                <c:pt idx="337">
                  <c:v>www.thedrinksbusiness.com</c:v>
                </c:pt>
                <c:pt idx="338">
                  <c:v>thebiglead.com</c:v>
                </c:pt>
                <c:pt idx="339">
                  <c:v>www.8newsnow.com</c:v>
                </c:pt>
                <c:pt idx="340">
                  <c:v>www.yourdailyscoop.com</c:v>
                </c:pt>
                <c:pt idx="341">
                  <c:v>www.edmontonsun.com</c:v>
                </c:pt>
                <c:pt idx="342">
                  <c:v>www.thecannabist.co</c:v>
                </c:pt>
                <c:pt idx="343">
                  <c:v>www.shanghaidaily.com</c:v>
                </c:pt>
                <c:pt idx="344">
                  <c:v>www.theregister.co.uk</c:v>
                </c:pt>
                <c:pt idx="345">
                  <c:v>www.benzinga.com</c:v>
                </c:pt>
                <c:pt idx="346">
                  <c:v>www.geeky-gadgets.com</c:v>
                </c:pt>
                <c:pt idx="347">
                  <c:v>www.techvibes.com</c:v>
                </c:pt>
                <c:pt idx="348">
                  <c:v>www.telecompaper.com</c:v>
                </c:pt>
                <c:pt idx="349">
                  <c:v>www.valuewalk.com</c:v>
                </c:pt>
                <c:pt idx="350">
                  <c:v>www.phonearena.com</c:v>
                </c:pt>
                <c:pt idx="351">
                  <c:v>msnbc.website</c:v>
                </c:pt>
                <c:pt idx="352">
                  <c:v>www.intouchweekly.com</c:v>
                </c:pt>
                <c:pt idx="353">
                  <c:v>awfulannouncing.com</c:v>
                </c:pt>
                <c:pt idx="354">
                  <c:v>blogs.riverfronttimes.com</c:v>
                </c:pt>
                <c:pt idx="355">
                  <c:v>blogs.miaminewtimes.com</c:v>
                </c:pt>
                <c:pt idx="356">
                  <c:v>billingsgazette.com</c:v>
                </c:pt>
                <c:pt idx="357">
                  <c:v>gazette.com</c:v>
                </c:pt>
                <c:pt idx="358">
                  <c:v>radio.foxnews.com</c:v>
                </c:pt>
                <c:pt idx="359">
                  <c:v>hundrednews.com</c:v>
                </c:pt>
                <c:pt idx="360">
                  <c:v>af.reuters.com</c:v>
                </c:pt>
                <c:pt idx="361">
                  <c:v>articles.economictimes.indiatimes.com</c:v>
                </c:pt>
                <c:pt idx="362">
                  <c:v>colorlines.com</c:v>
                </c:pt>
                <c:pt idx="363">
                  <c:v>dcist.com</c:v>
                </c:pt>
                <c:pt idx="364">
                  <c:v>observer.com</c:v>
                </c:pt>
                <c:pt idx="365">
                  <c:v>losangeles.cbslocal.com</c:v>
                </c:pt>
                <c:pt idx="366">
                  <c:v>news.distractify.com</c:v>
                </c:pt>
                <c:pt idx="367">
                  <c:v>nbctoday.co</c:v>
                </c:pt>
                <c:pt idx="368">
                  <c:v>rumorfix.com</c:v>
                </c:pt>
                <c:pt idx="369">
                  <c:v>money.udn.com</c:v>
                </c:pt>
                <c:pt idx="370">
                  <c:v>guardianlv.com</c:v>
                </c:pt>
                <c:pt idx="371">
                  <c:v>axisoflogic.com</c:v>
                </c:pt>
                <c:pt idx="372">
                  <c:v>english.farsnews.com</c:v>
                </c:pt>
                <c:pt idx="373">
                  <c:v>abc7news.com</c:v>
                </c:pt>
                <c:pt idx="374">
                  <c:v>dailystar.com.lb</c:v>
                </c:pt>
                <c:pt idx="375">
                  <c:v>ent.siteintelgroup.com</c:v>
                </c:pt>
                <c:pt idx="376">
                  <c:v>news.msn.co.nz</c:v>
                </c:pt>
                <c:pt idx="377">
                  <c:v>insider.foxnews.com</c:v>
                </c:pt>
                <c:pt idx="378">
                  <c:v>mediamatters.org</c:v>
                </c:pt>
                <c:pt idx="379">
                  <c:v>blogs.montrealgazette.com</c:v>
                </c:pt>
                <c:pt idx="380">
                  <c:v>jpupdates.com</c:v>
                </c:pt>
                <c:pt idx="381">
                  <c:v>mawtani.al-shorfa.com</c:v>
                </c:pt>
                <c:pt idx="382">
                  <c:v>washingtonexaminer.com</c:v>
                </c:pt>
                <c:pt idx="383">
                  <c:v>www.abna.ir</c:v>
                </c:pt>
                <c:pt idx="384">
                  <c:v>globalvoicesonline.org</c:v>
                </c:pt>
                <c:pt idx="385">
                  <c:v>www.business-standard.com</c:v>
                </c:pt>
                <c:pt idx="386">
                  <c:v>www.almasryalyoum.com</c:v>
                </c:pt>
                <c:pt idx="387">
                  <c:v>news.xinhuanet.com</c:v>
                </c:pt>
                <c:pt idx="388">
                  <c:v>milano.corriere.it</c:v>
                </c:pt>
                <c:pt idx="389">
                  <c:v>www.ansa.it</c:v>
                </c:pt>
                <c:pt idx="390">
                  <c:v>www.christiantoday.com</c:v>
                </c:pt>
                <c:pt idx="391">
                  <c:v>www.corriereadriatico.it</c:v>
                </c:pt>
                <c:pt idx="392">
                  <c:v>www.channel4.com</c:v>
                </c:pt>
                <c:pt idx="393">
                  <c:v>english.chosun.com</c:v>
                </c:pt>
                <c:pt idx="394">
                  <c:v>koreajoongangdaily.joins.com</c:v>
                </c:pt>
                <c:pt idx="395">
                  <c:v>us.india.com</c:v>
                </c:pt>
                <c:pt idx="396">
                  <c:v>chicago.barstoolsports.com</c:v>
                </c:pt>
                <c:pt idx="397">
                  <c:v>hardballtalk.nbcsports.com</c:v>
                </c:pt>
                <c:pt idx="398">
                  <c:v>www.csnwashington.com</c:v>
                </c:pt>
                <c:pt idx="399">
                  <c:v>foxnews.es</c:v>
                </c:pt>
                <c:pt idx="400">
                  <c:v>laist.com</c:v>
                </c:pt>
                <c:pt idx="401">
                  <c:v>adobochronicles.com</c:v>
                </c:pt>
                <c:pt idx="402">
                  <c:v>didsburyreview.ca</c:v>
                </c:pt>
                <c:pt idx="403">
                  <c:v>www.680news.com</c:v>
                </c:pt>
                <c:pt idx="404">
                  <c:v>marijuanastocks.com</c:v>
                </c:pt>
                <c:pt idx="405">
                  <c:v>theantimedia.org</c:v>
                </c:pt>
                <c:pt idx="406">
                  <c:v>theracketreport.com</c:v>
                </c:pt>
                <c:pt idx="407">
                  <c:v>koreabizwire.com</c:v>
                </c:pt>
                <c:pt idx="408">
                  <c:v>news.khan.co.kr</c:v>
                </c:pt>
                <c:pt idx="409">
                  <c:v>ca.reuters.com</c:v>
                </c:pt>
                <c:pt idx="410">
                  <c:v>wallstreetpit.com</c:v>
                </c:pt>
                <c:pt idx="411">
                  <c:v>www.digitalspy.ca</c:v>
                </c:pt>
                <c:pt idx="412">
                  <c:v>androidheadlines.com</c:v>
                </c:pt>
                <c:pt idx="413">
                  <c:v>tech.firstpost.com</c:v>
                </c:pt>
                <c:pt idx="414">
                  <c:v>www.fashionnstyle.com</c:v>
                </c:pt>
                <c:pt idx="415">
                  <c:v>english.pravda.ru</c:v>
                </c:pt>
                <c:pt idx="416">
                  <c:v>gtrk-omsk.ru</c:v>
                </c:pt>
                <c:pt idx="417">
                  <c:v>omskgazzeta.ru</c:v>
                </c:pt>
                <c:pt idx="418">
                  <c:v>uk.news.yahoo.com</c:v>
                </c:pt>
                <c:pt idx="419">
                  <c:v>news.yahoo.com</c:v>
                </c:pt>
                <c:pt idx="420">
                  <c:v>radaronline.com</c:v>
                </c:pt>
                <c:pt idx="421">
                  <c:v>www.standard.co.uk</c:v>
                </c:pt>
                <c:pt idx="422">
                  <c:v>o.canada.com</c:v>
                </c:pt>
                <c:pt idx="423">
                  <c:v>globalnews.ca</c:v>
                </c:pt>
                <c:pt idx="424">
                  <c:v>www.pcmag.com</c:v>
                </c:pt>
                <c:pt idx="425">
                  <c:v>www.wtsp.com</c:v>
                </c:pt>
                <c:pt idx="426">
                  <c:v>www.myfoxdfw.com</c:v>
                </c:pt>
                <c:pt idx="427">
                  <c:v>www.wesh.com</c:v>
                </c:pt>
                <c:pt idx="428">
                  <c:v>www.liveleak.com</c:v>
                </c:pt>
                <c:pt idx="429">
                  <c:v>www.sunnewsnetwork.ca</c:v>
                </c:pt>
                <c:pt idx="430">
                  <c:v>www.justjared.com</c:v>
                </c:pt>
                <c:pt idx="431">
                  <c:v>www.globalpost.com</c:v>
                </c:pt>
                <c:pt idx="432">
                  <c:v>www.thetimes.co.uk</c:v>
                </c:pt>
                <c:pt idx="433">
                  <c:v>www.motherjones.com</c:v>
                </c:pt>
                <c:pt idx="434">
                  <c:v>www.croatiantimes.com</c:v>
                </c:pt>
                <c:pt idx="435">
                  <c:v>www.styleite.com</c:v>
                </c:pt>
                <c:pt idx="436">
                  <c:v>www.todayonline.com</c:v>
                </c:pt>
                <c:pt idx="437">
                  <c:v>www.vulture.com</c:v>
                </c:pt>
                <c:pt idx="438">
                  <c:v>www.dw.de</c:v>
                </c:pt>
                <c:pt idx="439">
                  <c:v>www.thefourthperiod.com</c:v>
                </c:pt>
                <c:pt idx="440">
                  <c:v>www.telesurtv.net</c:v>
                </c:pt>
                <c:pt idx="441">
                  <c:v>www.whatdoesitmean.com</c:v>
                </c:pt>
                <c:pt idx="442">
                  <c:v>www.washingtonexaminer.com</c:v>
                </c:pt>
                <c:pt idx="443">
                  <c:v>www.middleeasteye.net</c:v>
                </c:pt>
                <c:pt idx="444">
                  <c:v>www.truthrevolt.org</c:v>
                </c:pt>
                <c:pt idx="445">
                  <c:v>www.newsandstar.co.uk</c:v>
                </c:pt>
                <c:pt idx="446">
                  <c:v>journalmetro.com</c:v>
                </c:pt>
                <c:pt idx="447">
                  <c:v>www.thrillist.com</c:v>
                </c:pt>
                <c:pt idx="448">
                  <c:v>www.newsweek.com</c:v>
                </c:pt>
                <c:pt idx="449">
                  <c:v>www.space.com</c:v>
                </c:pt>
                <c:pt idx="450">
                  <c:v>www.spacedaily.com</c:v>
                </c:pt>
                <c:pt idx="451">
                  <c:v>www.weather.com</c:v>
                </c:pt>
                <c:pt idx="452">
                  <c:v>www.myfoxtampabay.com</c:v>
                </c:pt>
                <c:pt idx="453">
                  <c:v>www.lowellsun.com</c:v>
                </c:pt>
                <c:pt idx="454">
                  <c:v>www.wcvb.com</c:v>
                </c:pt>
                <c:pt idx="455">
                  <c:v>www.wyff4.com</c:v>
                </c:pt>
                <c:pt idx="456">
                  <c:v>wafflesatnoon.com</c:v>
                </c:pt>
                <c:pt idx="457">
                  <c:v>www.si.com</c:v>
                </c:pt>
                <c:pt idx="458">
                  <c:v>www.sportingnews.com</c:v>
                </c:pt>
                <c:pt idx="459">
                  <c:v>www.sportsnet.ca</c:v>
                </c:pt>
                <c:pt idx="460">
                  <c:v>www.theprovince.com</c:v>
                </c:pt>
                <c:pt idx="461">
                  <c:v>www.thescore.com</c:v>
                </c:pt>
                <c:pt idx="462">
                  <c:v>www.premiumtimesng.com</c:v>
                </c:pt>
                <c:pt idx="463">
                  <c:v>www.pinknews.co.uk</c:v>
                </c:pt>
                <c:pt idx="464">
                  <c:v>www.dailyrecord.co.uk</c:v>
                </c:pt>
                <c:pt idx="465">
                  <c:v>www.scotsman.com</c:v>
                </c:pt>
                <c:pt idx="466">
                  <c:v>www.forexlive.com</c:v>
                </c:pt>
                <c:pt idx="467">
                  <c:v>www.streetinsider.com</c:v>
                </c:pt>
                <c:pt idx="468">
                  <c:v>www.trust.org</c:v>
                </c:pt>
                <c:pt idx="469">
                  <c:v>pulse.ng</c:v>
                </c:pt>
                <c:pt idx="470">
                  <c:v>usvsth3m.com</c:v>
                </c:pt>
                <c:pt idx="471">
                  <c:v>www.metaspoon.com</c:v>
                </c:pt>
                <c:pt idx="472">
                  <c:v>www.wzzm13.com</c:v>
                </c:pt>
                <c:pt idx="473">
                  <c:v>www.chicagotribune.com</c:v>
                </c:pt>
                <c:pt idx="474">
                  <c:v>www.omaha.com</c:v>
                </c:pt>
                <c:pt idx="475">
                  <c:v>www.religionnews.com</c:v>
                </c:pt>
                <c:pt idx="476">
                  <c:v>www.nzherald.co.nz</c:v>
                </c:pt>
                <c:pt idx="477">
                  <c:v>www.thebureauinvestigates.com</c:v>
                </c:pt>
                <c:pt idx="478">
                  <c:v>www.digitaljournal.com</c:v>
                </c:pt>
                <c:pt idx="479">
                  <c:v>www.patheos.com</c:v>
                </c:pt>
                <c:pt idx="480">
                  <c:v>www.spyghana.com</c:v>
                </c:pt>
                <c:pt idx="481">
                  <c:v>www.starrfmonline.com</c:v>
                </c:pt>
                <c:pt idx="482">
                  <c:v>www.wptz.com</c:v>
                </c:pt>
                <c:pt idx="483">
                  <c:v>stlouis.cbslocal.com</c:v>
                </c:pt>
                <c:pt idx="484">
                  <c:v>talkingpointsmemo.com</c:v>
                </c:pt>
                <c:pt idx="485">
                  <c:v>www.theroot.com</c:v>
                </c:pt>
                <c:pt idx="486">
                  <c:v>www.sciencealert.com.au</c:v>
                </c:pt>
                <c:pt idx="487">
                  <c:v>www.theage.com.au</c:v>
                </c:pt>
                <c:pt idx="488">
                  <c:v>www.thedenverchannel.com</c:v>
                </c:pt>
                <c:pt idx="489">
                  <c:v>www.watoday.com.au</c:v>
                </c:pt>
                <c:pt idx="490">
                  <c:v>www.vcpost.com</c:v>
                </c:pt>
                <c:pt idx="491">
                  <c:v>www.thesudburystar.com</c:v>
                </c:pt>
                <c:pt idx="492">
                  <c:v>www.stripes.com</c:v>
                </c:pt>
                <c:pt idx="493">
                  <c:v>www.straitstimes.com</c:v>
                </c:pt>
                <c:pt idx="494">
                  <c:v>www.thestranger.com</c:v>
                </c:pt>
                <c:pt idx="495">
                  <c:v>www.mercurynews.com</c:v>
                </c:pt>
                <c:pt idx="496">
                  <c:v>www.westernjournalism.com</c:v>
                </c:pt>
                <c:pt idx="497">
                  <c:v>tampa.cbslocal.com</c:v>
                </c:pt>
                <c:pt idx="498">
                  <c:v>www.dailydot.com</c:v>
                </c:pt>
                <c:pt idx="499">
                  <c:v>www.brobible.com</c:v>
                </c:pt>
                <c:pt idx="500">
                  <c:v>www.techinasia.com</c:v>
                </c:pt>
                <c:pt idx="501">
                  <c:v>www.wantchinatimes.com</c:v>
                </c:pt>
                <c:pt idx="502">
                  <c:v>www.thegloss.com</c:v>
                </c:pt>
                <c:pt idx="503">
                  <c:v>www.newseveryday.com</c:v>
                </c:pt>
                <c:pt idx="504">
                  <c:v>www.middleeastmonitor.com</c:v>
                </c:pt>
                <c:pt idx="505">
                  <c:v>in.reuters.com</c:v>
                </c:pt>
                <c:pt idx="506">
                  <c:v>consumerist.com</c:v>
                </c:pt>
                <c:pt idx="507">
                  <c:v>www.wibw.com</c:v>
                </c:pt>
                <c:pt idx="508">
                  <c:v>www.businessweek.com</c:v>
                </c:pt>
                <c:pt idx="509">
                  <c:v>www.voanews.com</c:v>
                </c:pt>
                <c:pt idx="510">
                  <c:v>www.weeklystandard.com</c:v>
                </c:pt>
                <c:pt idx="511">
                  <c:v>www.zdnet.com</c:v>
                </c:pt>
                <c:pt idx="512">
                  <c:v>bbc-news.co.uk</c:v>
                </c:pt>
                <c:pt idx="513">
                  <c:v>injusticestories.com</c:v>
                </c:pt>
                <c:pt idx="514">
                  <c:v>fusion.net</c:v>
                </c:pt>
                <c:pt idx="515">
                  <c:v>nytimes.com</c:v>
                </c:pt>
                <c:pt idx="516">
                  <c:v>ca.shine.yahoo.com</c:v>
                </c:pt>
                <c:pt idx="517">
                  <c:v>reason.com</c:v>
                </c:pt>
                <c:pt idx="518">
                  <c:v>gothamist.com</c:v>
                </c:pt>
                <c:pt idx="519">
                  <c:v>whateverblog.dallasnews.com</c:v>
                </c:pt>
                <c:pt idx="520">
                  <c:v>www.ajc.com</c:v>
                </c:pt>
                <c:pt idx="521">
                  <c:v>ksfm.cbslocal.com</c:v>
                </c:pt>
                <c:pt idx="522">
                  <c:v>www.alternet.org</c:v>
                </c:pt>
                <c:pt idx="523">
                  <c:v>blog.chron.com</c:v>
                </c:pt>
                <c:pt idx="524">
                  <c:v>blog.sfgate.com</c:v>
                </c:pt>
                <c:pt idx="525">
                  <c:v>www.calgarysun.com</c:v>
                </c:pt>
                <c:pt idx="526">
                  <c:v>sploid.gizmodo.com</c:v>
                </c:pt>
                <c:pt idx="527">
                  <c:v>notallowedto.com</c:v>
                </c:pt>
                <c:pt idx="528">
                  <c:v>www.grubstreet.com</c:v>
                </c:pt>
                <c:pt idx="529">
                  <c:v>news.nationalgeographic.com</c:v>
                </c:pt>
                <c:pt idx="530">
                  <c:v>tucson.com</c:v>
                </c:pt>
                <c:pt idx="531">
                  <c:v>twitter</c:v>
                </c:pt>
                <c:pt idx="532">
                  <c:v>www.bloombergview.com</c:v>
                </c:pt>
                <c:pt idx="533">
                  <c:v>www.freerepublic.com</c:v>
                </c:pt>
                <c:pt idx="534">
                  <c:v>abc7.com</c:v>
                </c:pt>
                <c:pt idx="535">
                  <c:v>newsfeed.gawker.com</c:v>
                </c:pt>
                <c:pt idx="536">
                  <c:v>www.chron.com</c:v>
                </c:pt>
                <c:pt idx="537">
                  <c:v>www.ack.net</c:v>
                </c:pt>
                <c:pt idx="538">
                  <c:v>www.boston.com</c:v>
                </c:pt>
                <c:pt idx="539">
                  <c:v>www.capecodonline.com</c:v>
                </c:pt>
                <c:pt idx="540">
                  <c:v>viral4real.com</c:v>
                </c:pt>
                <c:pt idx="541">
                  <c:v>www.carbonated.tv</c:v>
                </c:pt>
                <c:pt idx="542">
                  <c:v>dealbook.nytimes.com</c:v>
                </c:pt>
                <c:pt idx="543">
                  <c:v>kotaku.com</c:v>
                </c:pt>
                <c:pt idx="544">
                  <c:v>mojang.com</c:v>
                </c:pt>
                <c:pt idx="545">
                  <c:v>www.joystiq.com</c:v>
                </c:pt>
                <c:pt idx="546">
                  <c:v>travel.aol.co.uk</c:v>
                </c:pt>
                <c:pt idx="547">
                  <c:v>slam.canoe.ca</c:v>
                </c:pt>
                <c:pt idx="548">
                  <c:v>sports.yahoo.com</c:v>
                </c:pt>
                <c:pt idx="549">
                  <c:v>www.cbssports.com</c:v>
                </c:pt>
                <c:pt idx="550">
                  <c:v>www.foxsports.com</c:v>
                </c:pt>
                <c:pt idx="551">
                  <c:v>africacheck.org</c:v>
                </c:pt>
                <c:pt idx="552">
                  <c:v>countercurrentnews.com</c:v>
                </c:pt>
                <c:pt idx="553">
                  <c:v>munchies.vice.com</c:v>
                </c:pt>
                <c:pt idx="554">
                  <c:v>www.heraldscotland.com</c:v>
                </c:pt>
                <c:pt idx="555">
                  <c:v>www.duffelblog.com</c:v>
                </c:pt>
                <c:pt idx="556">
                  <c:v>oilpro.com</c:v>
                </c:pt>
                <c:pt idx="557">
                  <c:v>uk.reuters.com</c:v>
                </c:pt>
                <c:pt idx="558">
                  <c:v>frontburner.dmagazine.com</c:v>
                </c:pt>
                <c:pt idx="559">
                  <c:v>wonkette.com</c:v>
                </c:pt>
                <c:pt idx="560">
                  <c:v>m.fastcocreate.com</c:v>
                </c:pt>
                <c:pt idx="561">
                  <c:v>verne.elpais.com</c:v>
                </c:pt>
                <c:pt idx="562">
                  <c:v>www.addictinginfo.org</c:v>
                </c:pt>
                <c:pt idx="563">
                  <c:v>www.elwatannews.com</c:v>
                </c:pt>
                <c:pt idx="564">
                  <c:v>wgntv.com</c:v>
                </c:pt>
                <c:pt idx="565">
                  <c:v>www.firstpost.com</c:v>
                </c:pt>
                <c:pt idx="566">
                  <c:v>www.bedfordshire-news.co.uk</c:v>
                </c:pt>
                <c:pt idx="567">
                  <c:v>www.communicationsjournal.co.uk</c:v>
                </c:pt>
                <c:pt idx="568">
                  <c:v>latino.foxnews.com</c:v>
                </c:pt>
                <c:pt idx="569">
                  <c:v>bellingcat.com</c:v>
                </c:pt>
                <c:pt idx="570">
                  <c:v>medium.com</c:v>
                </c:pt>
                <c:pt idx="571">
                  <c:v>www.catholic.org</c:v>
                </c:pt>
                <c:pt idx="572">
                  <c:v>kvil.cbslocal.com</c:v>
                </c:pt>
                <c:pt idx="573">
                  <c:v>netloid.com</c:v>
                </c:pt>
                <c:pt idx="574">
                  <c:v>newsafricanow.com</c:v>
                </c:pt>
                <c:pt idx="575">
                  <c:v>thenet.ng</c:v>
                </c:pt>
                <c:pt idx="576">
                  <c:v>urbanlegends.about.com</c:v>
                </c:pt>
                <c:pt idx="577">
                  <c:v>www.20minutes.fr</c:v>
                </c:pt>
                <c:pt idx="578">
                  <c:v>www.monitor.co.ug</c:v>
                </c:pt>
                <c:pt idx="579">
                  <c:v>jacksonville.com</c:v>
                </c:pt>
                <c:pt idx="580">
                  <c:v>www.dispatch.com</c:v>
                </c:pt>
                <c:pt idx="581">
                  <c:v>www.hindustantimes.com</c:v>
                </c:pt>
                <c:pt idx="582">
                  <c:v>www.kcra.com</c:v>
                </c:pt>
                <c:pt idx="583">
                  <c:v>www.gforgames.com</c:v>
                </c:pt>
                <c:pt idx="584">
                  <c:v>www.collegehumor.com</c:v>
                </c:pt>
                <c:pt idx="585">
                  <c:v>www.myfoxchicago.com</c:v>
                </c:pt>
                <c:pt idx="586">
                  <c:v>gulfnews.com</c:v>
                </c:pt>
                <c:pt idx="587">
                  <c:v>www.chathamdailynews.ca</c:v>
                </c:pt>
                <c:pt idx="588">
                  <c:v>www.ndtv.com</c:v>
                </c:pt>
                <c:pt idx="589">
                  <c:v>seattle.cbslocal.com</c:v>
                </c:pt>
                <c:pt idx="590">
                  <c:v>fox2now.com</c:v>
                </c:pt>
                <c:pt idx="591">
                  <c:v>ktla.com</c:v>
                </c:pt>
                <c:pt idx="592">
                  <c:v>q13fox.com</c:v>
                </c:pt>
                <c:pt idx="593">
                  <c:v>www.dailykos.com</c:v>
                </c:pt>
                <c:pt idx="594">
                  <c:v>huzlers.com</c:v>
                </c:pt>
                <c:pt idx="595">
                  <c:v>ottawacitizen.com</c:v>
                </c:pt>
                <c:pt idx="596">
                  <c:v>www.570news.com</c:v>
                </c:pt>
                <c:pt idx="597">
                  <c:v>kdvr.com</c:v>
                </c:pt>
                <c:pt idx="598">
                  <c:v>wtvr.com</c:v>
                </c:pt>
                <c:pt idx="599">
                  <c:v>www.newsday.com</c:v>
                </c:pt>
                <c:pt idx="600">
                  <c:v>www.ntnews.com.au</c:v>
                </c:pt>
                <c:pt idx="601">
                  <c:v>www.perthnow.com.au</c:v>
                </c:pt>
                <c:pt idx="602">
                  <c:v>ikwiz.com</c:v>
                </c:pt>
                <c:pt idx="603">
                  <c:v>moviepilot.com</c:v>
                </c:pt>
                <c:pt idx="604">
                  <c:v>www.oaoa.com</c:v>
                </c:pt>
                <c:pt idx="605">
                  <c:v>2paragraphs.com</c:v>
                </c:pt>
                <c:pt idx="606">
                  <c:v>collider.com</c:v>
                </c:pt>
                <c:pt idx="607">
                  <c:v>www.avsforum.com</c:v>
                </c:pt>
                <c:pt idx="608">
                  <c:v>www.reddit.com</c:v>
                </c:pt>
                <c:pt idx="609">
                  <c:v>popwatch.ew.com</c:v>
                </c:pt>
                <c:pt idx="610">
                  <c:v>bizbeatblog.dallasnews.com</c:v>
                </c:pt>
                <c:pt idx="611">
                  <c:v>www.mynews3.com</c:v>
                </c:pt>
                <c:pt idx="612">
                  <c:v>houston.cbslocal.com</c:v>
                </c:pt>
                <c:pt idx="613">
                  <c:v>www.galvestondailynews.com</c:v>
                </c:pt>
                <c:pt idx="614">
                  <c:v>fox59.com</c:v>
                </c:pt>
                <c:pt idx="615">
                  <c:v>homes.yahoo.com</c:v>
                </c:pt>
                <c:pt idx="616">
                  <c:v>www.golfchannel.com</c:v>
                </c:pt>
                <c:pt idx="617">
                  <c:v>news.discovery.com</c:v>
                </c:pt>
                <c:pt idx="618">
                  <c:v>www.bostonglobe.com</c:v>
                </c:pt>
                <c:pt idx="619">
                  <c:v>www.lgbtqnation.com</c:v>
                </c:pt>
                <c:pt idx="620">
                  <c:v>www.newnownext.com</c:v>
                </c:pt>
                <c:pt idx="621">
                  <c:v>www.edp24.co.uk</c:v>
                </c:pt>
                <c:pt idx="622">
                  <c:v>uniladmag.com</c:v>
                </c:pt>
                <c:pt idx="623">
                  <c:v>en.huxiu.com</c:v>
                </c:pt>
                <c:pt idx="624">
                  <c:v>news.mydrivers.com</c:v>
                </c:pt>
                <c:pt idx="625">
                  <c:v>www.iclarified.com</c:v>
                </c:pt>
                <c:pt idx="626">
                  <c:v>racked.com</c:v>
                </c:pt>
                <c:pt idx="627">
                  <c:v>blogs.strategyanalytics.com</c:v>
                </c:pt>
                <c:pt idx="628">
                  <c:v>siliconangle.com</c:v>
                </c:pt>
                <c:pt idx="629">
                  <c:v>msmbc.co</c:v>
                </c:pt>
                <c:pt idx="630">
                  <c:v>firsttoknow.com</c:v>
                </c:pt>
                <c:pt idx="631">
                  <c:v>video.roanoke.com</c:v>
                </c:pt>
                <c:pt idx="632">
                  <c:v>mediablackoutusa.com</c:v>
                </c:pt>
                <c:pt idx="633">
                  <c:v>thesource.com</c:v>
                </c:pt>
                <c:pt idx="634">
                  <c:v>www.kmov.com</c:v>
                </c:pt>
                <c:pt idx="635">
                  <c:v>www.saycheesetv.com</c:v>
                </c:pt>
                <c:pt idx="636">
                  <c:v>www.business2community.com</c:v>
                </c:pt>
                <c:pt idx="637">
                  <c:v>www.mumbaimirror.com</c:v>
                </c:pt>
                <c:pt idx="638">
                  <c:v>www.newsmaxhealth.com</c:v>
                </c:pt>
                <c:pt idx="639">
                  <c:v>allafrica.com</c:v>
                </c:pt>
                <c:pt idx="640">
                  <c:v>egyptianstreets.com</c:v>
                </c:pt>
                <c:pt idx="641">
                  <c:v>english.ahram.org.eg</c:v>
                </c:pt>
                <c:pt idx="642">
                  <c:v>mondoweiss.net</c:v>
                </c:pt>
                <c:pt idx="643">
                  <c:v>www.breakingisraelnews.com</c:v>
                </c:pt>
                <c:pt idx="644">
                  <c:v>www.egyptindependent.com</c:v>
                </c:pt>
                <c:pt idx="645">
                  <c:v>www.imra.org.il</c:v>
                </c:pt>
                <c:pt idx="646">
                  <c:v>www.indybay.org</c:v>
                </c:pt>
                <c:pt idx="647">
                  <c:v>themichaelreport.com</c:v>
                </c:pt>
                <c:pt idx="648">
                  <c:v>americasmarkets.usatoday.com</c:v>
                </c:pt>
                <c:pt idx="649">
                  <c:v>bostinno.streetwise.co</c:v>
                </c:pt>
                <c:pt idx="650">
                  <c:v>crimefeed.com</c:v>
                </c:pt>
                <c:pt idx="651">
                  <c:v>www.dailytelegraph.com.au</c:v>
                </c:pt>
                <c:pt idx="652">
                  <c:v>fox8.com</c:v>
                </c:pt>
                <c:pt idx="653">
                  <c:v>kfor.com</c:v>
                </c:pt>
                <c:pt idx="654">
                  <c:v>www.plymouthherald.co.uk</c:v>
                </c:pt>
                <c:pt idx="655">
                  <c:v>www.monitornacional.com</c:v>
                </c:pt>
                <c:pt idx="656">
                  <c:v>www.noticiasunam.com</c:v>
                </c:pt>
                <c:pt idx="657">
                  <c:v>springsadvertiser.co.za</c:v>
                </c:pt>
                <c:pt idx="658">
                  <c:v>www.iol.co.za</c:v>
                </c:pt>
                <c:pt idx="659">
                  <c:v>www.news24.com</c:v>
                </c:pt>
                <c:pt idx="660">
                  <c:v>www.epictimes.com</c:v>
                </c:pt>
                <c:pt idx="661">
                  <c:v>fox4kc.com</c:v>
                </c:pt>
                <c:pt idx="662">
                  <c:v>www.kansascity.com</c:v>
                </c:pt>
                <c:pt idx="663">
                  <c:v>www.kctv5.com</c:v>
                </c:pt>
                <c:pt idx="664">
                  <c:v>www.kmbc.com</c:v>
                </c:pt>
                <c:pt idx="665">
                  <c:v>www.kshb.com</c:v>
                </c:pt>
                <c:pt idx="666">
                  <c:v>www.kwch.com</c:v>
                </c:pt>
                <c:pt idx="667">
                  <c:v>myfox8.com</c:v>
                </c:pt>
                <c:pt idx="668">
                  <c:v>www.elonpendulum.com</c:v>
                </c:pt>
                <c:pt idx="669">
                  <c:v>www.thecollegefix.com</c:v>
                </c:pt>
                <c:pt idx="670">
                  <c:v>www.livemint.com</c:v>
                </c:pt>
                <c:pt idx="671">
                  <c:v>www.nbcbayarea.com</c:v>
                </c:pt>
                <c:pt idx="672">
                  <c:v>www.newsshopper.co.uk</c:v>
                </c:pt>
                <c:pt idx="673">
                  <c:v>21stcenturywire.com</c:v>
                </c:pt>
                <c:pt idx="674">
                  <c:v>uprootedpalestinians.wordpress.com</c:v>
                </c:pt>
                <c:pt idx="675">
                  <c:v>disinfo.com</c:v>
                </c:pt>
                <c:pt idx="676">
                  <c:v>reseauinternational.net</c:v>
                </c:pt>
                <c:pt idx="677">
                  <c:v>www.examiner.co.uk</c:v>
                </c:pt>
                <c:pt idx="678">
                  <c:v>business.financialpost.com</c:v>
                </c:pt>
                <c:pt idx="679">
                  <c:v>www.itworld.com</c:v>
                </c:pt>
                <c:pt idx="680">
                  <c:v>www.thestandard.com.hk</c:v>
                </c:pt>
                <c:pt idx="681">
                  <c:v>conservativetribune.com</c:v>
                </c:pt>
                <c:pt idx="682">
                  <c:v>en.ria.ru</c:v>
                </c:pt>
                <c:pt idx="683">
                  <c:v>syriahr.com</c:v>
                </c:pt>
                <c:pt idx="684">
                  <c:v>www.cbn.com</c:v>
                </c:pt>
                <c:pt idx="685">
                  <c:v>rudaw.net</c:v>
                </c:pt>
                <c:pt idx="686">
                  <c:v>www.alsabaah.iq</c:v>
                </c:pt>
                <c:pt idx="687">
                  <c:v>www.latinpost.com</c:v>
                </c:pt>
                <c:pt idx="688">
                  <c:v>www.sciencetimes.com</c:v>
                </c:pt>
                <c:pt idx="689">
                  <c:v>www.i24news.tv</c:v>
                </c:pt>
                <c:pt idx="690">
                  <c:v>www.mintpressnews.com</c:v>
                </c:pt>
                <c:pt idx="691">
                  <c:v>www.ninanews.com</c:v>
                </c:pt>
                <c:pt idx="692">
                  <c:v>thediplomat.com</c:v>
                </c:pt>
                <c:pt idx="693">
                  <c:v>www.marketwatch.com</c:v>
                </c:pt>
                <c:pt idx="694">
                  <c:v>cnews.canoe.ca</c:v>
                </c:pt>
                <c:pt idx="695">
                  <c:v>ibnlive.in.com</c:v>
                </c:pt>
                <c:pt idx="696">
                  <c:v>indianexpress.com</c:v>
                </c:pt>
                <c:pt idx="697">
                  <c:v>www.thehindu.com</c:v>
                </c:pt>
                <c:pt idx="698">
                  <c:v>www.ksl.com</c:v>
                </c:pt>
                <c:pt idx="699">
                  <c:v>www.relevantmagazine.com</c:v>
                </c:pt>
                <c:pt idx="700">
                  <c:v>national.suntimes.com</c:v>
                </c:pt>
                <c:pt idx="701">
                  <c:v>centralasiaonline.com</c:v>
                </c:pt>
                <c:pt idx="702">
                  <c:v>www.khaama.com</c:v>
                </c:pt>
                <c:pt idx="703">
                  <c:v>www.tolonews.com</c:v>
                </c:pt>
                <c:pt idx="704">
                  <c:v>dailycurrant.com</c:v>
                </c:pt>
                <c:pt idx="705">
                  <c:v>www.thefederalistpapers.org</c:v>
                </c:pt>
                <c:pt idx="706">
                  <c:v>www.montrealgazette.com</c:v>
                </c:pt>
                <c:pt idx="707">
                  <c:v>www.anorak.co.uk</c:v>
                </c:pt>
                <c:pt idx="708">
                  <c:v>www.hiphophangover.com</c:v>
                </c:pt>
                <c:pt idx="709">
                  <c:v>aina.org</c:v>
                </c:pt>
                <c:pt idx="710">
                  <c:v>www.pakistantoday.com.pk</c:v>
                </c:pt>
                <c:pt idx="711">
                  <c:v>www.the-star.co.ke</c:v>
                </c:pt>
                <c:pt idx="712">
                  <c:v>mobile.nytimes.com</c:v>
                </c:pt>
                <c:pt idx="713">
                  <c:v>moneyweek.com</c:v>
                </c:pt>
                <c:pt idx="714">
                  <c:v>sputniknews.com</c:v>
                </c:pt>
                <c:pt idx="715">
                  <c:v>www.casinocitytimes.com</c:v>
                </c:pt>
                <c:pt idx="716">
                  <c:v>www.marketplace.org</c:v>
                </c:pt>
                <c:pt idx="717">
                  <c:v>www.standardmedia.co.ke</c:v>
                </c:pt>
                <c:pt idx="718">
                  <c:v>lifenews.ru</c:v>
                </c:pt>
                <c:pt idx="719">
                  <c:v>www.pressandjournal.co.uk</c:v>
                </c:pt>
                <c:pt idx="720">
                  <c:v>fansided.com</c:v>
                </c:pt>
                <c:pt idx="721">
                  <c:v>thegolfnewsnet.com</c:v>
                </c:pt>
                <c:pt idx="722">
                  <c:v>digg.com</c:v>
                </c:pt>
                <c:pt idx="723">
                  <c:v>shanghaiist.com</c:v>
                </c:pt>
              </c:strCache>
            </c:strRef>
          </c:cat>
          <c:val>
            <c:numRef>
              <c:f>small_source!$B$2:$B$725</c:f>
              <c:numCache>
                <c:formatCode>General</c:formatCode>
                <c:ptCount val="724"/>
                <c:pt idx="0">
                  <c:v>134</c:v>
                </c:pt>
                <c:pt idx="1">
                  <c:v>63</c:v>
                </c:pt>
                <c:pt idx="2">
                  <c:v>52</c:v>
                </c:pt>
                <c:pt idx="3">
                  <c:v>50</c:v>
                </c:pt>
                <c:pt idx="4">
                  <c:v>46</c:v>
                </c:pt>
                <c:pt idx="5">
                  <c:v>46</c:v>
                </c:pt>
                <c:pt idx="6">
                  <c:v>45</c:v>
                </c:pt>
                <c:pt idx="7">
                  <c:v>41</c:v>
                </c:pt>
                <c:pt idx="8">
                  <c:v>37</c:v>
                </c:pt>
                <c:pt idx="9">
                  <c:v>36</c:v>
                </c:pt>
                <c:pt idx="10">
                  <c:v>35</c:v>
                </c:pt>
                <c:pt idx="11">
                  <c:v>35</c:v>
                </c:pt>
                <c:pt idx="12">
                  <c:v>30</c:v>
                </c:pt>
                <c:pt idx="13">
                  <c:v>29</c:v>
                </c:pt>
                <c:pt idx="14">
                  <c:v>29</c:v>
                </c:pt>
                <c:pt idx="15">
                  <c:v>29</c:v>
                </c:pt>
                <c:pt idx="16">
                  <c:v>28</c:v>
                </c:pt>
                <c:pt idx="17">
                  <c:v>28</c:v>
                </c:pt>
                <c:pt idx="18">
                  <c:v>27</c:v>
                </c:pt>
                <c:pt idx="19">
                  <c:v>27</c:v>
                </c:pt>
                <c:pt idx="20">
                  <c:v>26</c:v>
                </c:pt>
                <c:pt idx="21">
                  <c:v>23</c:v>
                </c:pt>
                <c:pt idx="22">
                  <c:v>22</c:v>
                </c:pt>
                <c:pt idx="23">
                  <c:v>22</c:v>
                </c:pt>
                <c:pt idx="24">
                  <c:v>20</c:v>
                </c:pt>
                <c:pt idx="25">
                  <c:v>20</c:v>
                </c:pt>
                <c:pt idx="26">
                  <c:v>20</c:v>
                </c:pt>
                <c:pt idx="27">
                  <c:v>20</c:v>
                </c:pt>
                <c:pt idx="28">
                  <c:v>17</c:v>
                </c:pt>
                <c:pt idx="29">
                  <c:v>17</c:v>
                </c:pt>
                <c:pt idx="30">
                  <c:v>17</c:v>
                </c:pt>
                <c:pt idx="31">
                  <c:v>17</c:v>
                </c:pt>
                <c:pt idx="32">
                  <c:v>17</c:v>
                </c:pt>
                <c:pt idx="33">
                  <c:v>17</c:v>
                </c:pt>
                <c:pt idx="34">
                  <c:v>16</c:v>
                </c:pt>
                <c:pt idx="35">
                  <c:v>15</c:v>
                </c:pt>
                <c:pt idx="36">
                  <c:v>14</c:v>
                </c:pt>
                <c:pt idx="37">
                  <c:v>14</c:v>
                </c:pt>
                <c:pt idx="38">
                  <c:v>14</c:v>
                </c:pt>
                <c:pt idx="39">
                  <c:v>14</c:v>
                </c:pt>
                <c:pt idx="40">
                  <c:v>13</c:v>
                </c:pt>
                <c:pt idx="41">
                  <c:v>13</c:v>
                </c:pt>
                <c:pt idx="42">
                  <c:v>13</c:v>
                </c:pt>
                <c:pt idx="43">
                  <c:v>13</c:v>
                </c:pt>
                <c:pt idx="44">
                  <c:v>13</c:v>
                </c:pt>
                <c:pt idx="45">
                  <c:v>13</c:v>
                </c:pt>
                <c:pt idx="46">
                  <c:v>12</c:v>
                </c:pt>
                <c:pt idx="47">
                  <c:v>12</c:v>
                </c:pt>
                <c:pt idx="48">
                  <c:v>12</c:v>
                </c:pt>
                <c:pt idx="49">
                  <c:v>12</c:v>
                </c:pt>
                <c:pt idx="50">
                  <c:v>11</c:v>
                </c:pt>
                <c:pt idx="51">
                  <c:v>11</c:v>
                </c:pt>
                <c:pt idx="52">
                  <c:v>11</c:v>
                </c:pt>
                <c:pt idx="53">
                  <c:v>11</c:v>
                </c:pt>
                <c:pt idx="54">
                  <c:v>10</c:v>
                </c:pt>
                <c:pt idx="55">
                  <c:v>10</c:v>
                </c:pt>
                <c:pt idx="56">
                  <c:v>10</c:v>
                </c:pt>
                <c:pt idx="57">
                  <c:v>10</c:v>
                </c:pt>
                <c:pt idx="58">
                  <c:v>10</c:v>
                </c:pt>
                <c:pt idx="59">
                  <c:v>9</c:v>
                </c:pt>
                <c:pt idx="60">
                  <c:v>9</c:v>
                </c:pt>
                <c:pt idx="61">
                  <c:v>9</c:v>
                </c:pt>
                <c:pt idx="62">
                  <c:v>8</c:v>
                </c:pt>
                <c:pt idx="63">
                  <c:v>8</c:v>
                </c:pt>
                <c:pt idx="64">
                  <c:v>8</c:v>
                </c:pt>
                <c:pt idx="65">
                  <c:v>8</c:v>
                </c:pt>
                <c:pt idx="66">
                  <c:v>7</c:v>
                </c:pt>
                <c:pt idx="67">
                  <c:v>7</c:v>
                </c:pt>
                <c:pt idx="68">
                  <c:v>7</c:v>
                </c:pt>
                <c:pt idx="69">
                  <c:v>7</c:v>
                </c:pt>
                <c:pt idx="70">
                  <c:v>7</c:v>
                </c:pt>
                <c:pt idx="71">
                  <c:v>7</c:v>
                </c:pt>
                <c:pt idx="72">
                  <c:v>7</c:v>
                </c:pt>
                <c:pt idx="73">
                  <c:v>7</c:v>
                </c:pt>
                <c:pt idx="74">
                  <c:v>6</c:v>
                </c:pt>
                <c:pt idx="75">
                  <c:v>6</c:v>
                </c:pt>
                <c:pt idx="76">
                  <c:v>6</c:v>
                </c:pt>
                <c:pt idx="77">
                  <c:v>6</c:v>
                </c:pt>
                <c:pt idx="78">
                  <c:v>6</c:v>
                </c:pt>
                <c:pt idx="79">
                  <c:v>6</c:v>
                </c:pt>
                <c:pt idx="80">
                  <c:v>6</c:v>
                </c:pt>
                <c:pt idx="81">
                  <c:v>6</c:v>
                </c:pt>
                <c:pt idx="82">
                  <c:v>6</c:v>
                </c:pt>
                <c:pt idx="83">
                  <c:v>6</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2</c:v>
                </c:pt>
                <c:pt idx="250">
                  <c:v>2</c:v>
                </c:pt>
                <c:pt idx="251">
                  <c:v>2</c:v>
                </c:pt>
                <c:pt idx="252">
                  <c:v>2</c:v>
                </c:pt>
                <c:pt idx="253">
                  <c:v>2</c:v>
                </c:pt>
                <c:pt idx="254">
                  <c:v>2</c:v>
                </c:pt>
                <c:pt idx="255">
                  <c:v>2</c:v>
                </c:pt>
                <c:pt idx="256">
                  <c:v>2</c:v>
                </c:pt>
                <c:pt idx="257">
                  <c:v>2</c:v>
                </c:pt>
                <c:pt idx="258">
                  <c:v>2</c:v>
                </c:pt>
                <c:pt idx="259">
                  <c:v>2</c:v>
                </c:pt>
                <c:pt idx="260">
                  <c:v>2</c:v>
                </c:pt>
                <c:pt idx="261">
                  <c:v>2</c:v>
                </c:pt>
                <c:pt idx="262">
                  <c:v>2</c:v>
                </c:pt>
                <c:pt idx="263">
                  <c:v>2</c:v>
                </c:pt>
                <c:pt idx="264">
                  <c:v>2</c:v>
                </c:pt>
                <c:pt idx="265">
                  <c:v>2</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0</c:v>
                </c:pt>
                <c:pt idx="722">
                  <c:v>0</c:v>
                </c:pt>
              </c:numCache>
            </c:numRef>
          </c:val>
          <c:extLst>
            <c:ext xmlns:c16="http://schemas.microsoft.com/office/drawing/2014/chart" uri="{C3380CC4-5D6E-409C-BE32-E72D297353CC}">
              <c16:uniqueId val="{00000000-7426-1244-A1A6-1037FA4EAA6B}"/>
            </c:ext>
          </c:extLst>
        </c:ser>
        <c:dLbls>
          <c:showLegendKey val="0"/>
          <c:showVal val="0"/>
          <c:showCatName val="0"/>
          <c:showSerName val="0"/>
          <c:showPercent val="0"/>
          <c:showBubbleSize val="0"/>
        </c:dLbls>
        <c:gapWidth val="219"/>
        <c:overlap val="-27"/>
        <c:axId val="790274464"/>
        <c:axId val="790576192"/>
      </c:barChart>
      <c:catAx>
        <c:axId val="7902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576192"/>
        <c:crosses val="autoZero"/>
        <c:auto val="1"/>
        <c:lblAlgn val="ctr"/>
        <c:lblOffset val="100"/>
        <c:noMultiLvlLbl val="0"/>
      </c:catAx>
      <c:valAx>
        <c:axId val="79057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74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323850</xdr:colOff>
      <xdr:row>667</xdr:row>
      <xdr:rowOff>82550</xdr:rowOff>
    </xdr:from>
    <xdr:to>
      <xdr:col>9</xdr:col>
      <xdr:colOff>628650</xdr:colOff>
      <xdr:row>680</xdr:row>
      <xdr:rowOff>184150</xdr:rowOff>
    </xdr:to>
    <xdr:graphicFrame macro="">
      <xdr:nvGraphicFramePr>
        <xdr:cNvPr id="3" name="Chart 2">
          <a:extLst>
            <a:ext uri="{FF2B5EF4-FFF2-40B4-BE49-F238E27FC236}">
              <a16:creationId xmlns:a16="http://schemas.microsoft.com/office/drawing/2014/main" id="{6BB7E259-E2D7-7B46-B4E3-322733D318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xdr:colOff>
      <xdr:row>649</xdr:row>
      <xdr:rowOff>171450</xdr:rowOff>
    </xdr:from>
    <xdr:to>
      <xdr:col>12</xdr:col>
      <xdr:colOff>317500</xdr:colOff>
      <xdr:row>668</xdr:row>
      <xdr:rowOff>139700</xdr:rowOff>
    </xdr:to>
    <xdr:graphicFrame macro="">
      <xdr:nvGraphicFramePr>
        <xdr:cNvPr id="5" name="Chart 4">
          <a:extLst>
            <a:ext uri="{FF2B5EF4-FFF2-40B4-BE49-F238E27FC236}">
              <a16:creationId xmlns:a16="http://schemas.microsoft.com/office/drawing/2014/main" id="{830F1D6E-6C96-B142-BDD9-B229AFA8A3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768350</xdr:colOff>
      <xdr:row>2</xdr:row>
      <xdr:rowOff>82550</xdr:rowOff>
    </xdr:from>
    <xdr:to>
      <xdr:col>15</xdr:col>
      <xdr:colOff>139700</xdr:colOff>
      <xdr:row>20</xdr:row>
      <xdr:rowOff>25400</xdr:rowOff>
    </xdr:to>
    <xdr:graphicFrame macro="">
      <xdr:nvGraphicFramePr>
        <xdr:cNvPr id="6" name="Chart 5">
          <a:extLst>
            <a:ext uri="{FF2B5EF4-FFF2-40B4-BE49-F238E27FC236}">
              <a16:creationId xmlns:a16="http://schemas.microsoft.com/office/drawing/2014/main" id="{11FACAB6-61AD-F344-B95D-9AF4E688E2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www.huffingtonpost.com/"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huffingtonpost.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irishmirror.ie/" TargetMode="External"/><Relationship Id="rId1" Type="http://schemas.openxmlformats.org/officeDocument/2006/relationships/hyperlink" Target="http://www.dailymail.co.u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2699"/>
  <sheetViews>
    <sheetView topLeftCell="A2582" workbookViewId="0">
      <selection activeCell="H1" sqref="H1"/>
    </sheetView>
  </sheetViews>
  <sheetFormatPr baseColWidth="10" defaultRowHeight="16" x14ac:dyDescent="0.2"/>
  <cols>
    <col min="1" max="1" width="5.1640625" bestFit="1" customWidth="1"/>
    <col min="2" max="2" width="109.5" hidden="1" customWidth="1"/>
    <col min="3" max="3" width="95.1640625" customWidth="1"/>
    <col min="4" max="4" width="19.1640625" bestFit="1" customWidth="1"/>
    <col min="5" max="6" width="36.5" hidden="1" customWidth="1"/>
    <col min="7" max="7" width="83.33203125" customWidth="1"/>
    <col min="8" max="8" width="34" bestFit="1" customWidth="1"/>
    <col min="9" max="9" width="10" bestFit="1" customWidth="1"/>
    <col min="10" max="10" width="10.33203125" bestFit="1" customWidth="1"/>
    <col min="11" max="11" width="11" bestFit="1" customWidth="1"/>
    <col min="12" max="12" width="11.1640625" bestFit="1" customWidth="1"/>
    <col min="13" max="13" width="16.5" customWidth="1"/>
  </cols>
  <sheetData>
    <row r="1" spans="1:13" x14ac:dyDescent="0.2">
      <c r="B1" t="s">
        <v>0</v>
      </c>
      <c r="C1" t="s">
        <v>1</v>
      </c>
      <c r="D1" t="s">
        <v>2</v>
      </c>
      <c r="E1" t="s">
        <v>3</v>
      </c>
      <c r="F1" t="s">
        <v>4</v>
      </c>
      <c r="G1" t="s">
        <v>5</v>
      </c>
      <c r="H1" t="s">
        <v>17</v>
      </c>
      <c r="I1" t="s">
        <v>7</v>
      </c>
      <c r="J1" t="s">
        <v>8</v>
      </c>
      <c r="K1" t="s">
        <v>9</v>
      </c>
      <c r="L1" t="s">
        <v>10</v>
      </c>
      <c r="M1" t="s">
        <v>8997</v>
      </c>
    </row>
    <row r="2" spans="1:13" x14ac:dyDescent="0.2">
      <c r="A2">
        <v>3</v>
      </c>
      <c r="B2" t="s">
        <v>449</v>
      </c>
      <c r="C2" t="s">
        <v>4231</v>
      </c>
      <c r="D2" t="s">
        <v>13</v>
      </c>
      <c r="E2" t="s">
        <v>4232</v>
      </c>
      <c r="F2" t="s">
        <v>452</v>
      </c>
      <c r="G2" t="s">
        <v>4233</v>
      </c>
      <c r="H2" t="s">
        <v>23</v>
      </c>
      <c r="I2" t="s">
        <v>24</v>
      </c>
      <c r="J2">
        <v>2</v>
      </c>
      <c r="K2">
        <v>4</v>
      </c>
      <c r="L2">
        <v>4</v>
      </c>
      <c r="M2">
        <f>COUNTIF(H2:$H$2581,H2)</f>
        <v>1</v>
      </c>
    </row>
    <row r="3" spans="1:13" x14ac:dyDescent="0.2">
      <c r="A3">
        <v>12</v>
      </c>
      <c r="B3" t="s">
        <v>1840</v>
      </c>
      <c r="C3" t="s">
        <v>4235</v>
      </c>
      <c r="D3" t="s">
        <v>54</v>
      </c>
      <c r="E3" t="s">
        <v>4236</v>
      </c>
      <c r="F3" t="s">
        <v>1843</v>
      </c>
      <c r="G3" t="s">
        <v>4237</v>
      </c>
      <c r="H3" t="s">
        <v>30</v>
      </c>
      <c r="I3" t="s">
        <v>24</v>
      </c>
      <c r="J3">
        <v>4</v>
      </c>
      <c r="K3">
        <v>13</v>
      </c>
      <c r="L3">
        <v>4</v>
      </c>
      <c r="M3">
        <f>COUNTIF(H3:$H$2581,H3)</f>
        <v>30</v>
      </c>
    </row>
    <row r="4" spans="1:13" x14ac:dyDescent="0.2">
      <c r="A4">
        <v>13</v>
      </c>
      <c r="B4" t="s">
        <v>1840</v>
      </c>
      <c r="C4" t="s">
        <v>4238</v>
      </c>
      <c r="D4" t="s">
        <v>13</v>
      </c>
      <c r="E4" t="s">
        <v>4239</v>
      </c>
      <c r="F4" t="s">
        <v>1843</v>
      </c>
      <c r="G4" t="s">
        <v>4240</v>
      </c>
      <c r="H4" t="s">
        <v>175</v>
      </c>
      <c r="I4" t="s">
        <v>24</v>
      </c>
      <c r="J4">
        <v>4</v>
      </c>
      <c r="K4">
        <v>14</v>
      </c>
      <c r="L4">
        <v>4</v>
      </c>
      <c r="M4">
        <f>COUNTIF(H4:$H$2581,H4)</f>
        <v>1</v>
      </c>
    </row>
    <row r="5" spans="1:13" x14ac:dyDescent="0.2">
      <c r="A5">
        <v>27</v>
      </c>
      <c r="B5" t="s">
        <v>2448</v>
      </c>
      <c r="C5" t="s">
        <v>4241</v>
      </c>
      <c r="D5" t="s">
        <v>33</v>
      </c>
      <c r="E5" t="s">
        <v>4242</v>
      </c>
      <c r="F5" t="s">
        <v>2451</v>
      </c>
      <c r="G5" t="s">
        <v>4243</v>
      </c>
      <c r="H5" t="s">
        <v>181</v>
      </c>
      <c r="I5" t="s">
        <v>24</v>
      </c>
      <c r="J5">
        <v>6</v>
      </c>
      <c r="K5">
        <v>28</v>
      </c>
      <c r="L5">
        <v>4</v>
      </c>
      <c r="M5">
        <f>COUNTIF(H5:$H$2581,H5)</f>
        <v>1</v>
      </c>
    </row>
    <row r="6" spans="1:13" x14ac:dyDescent="0.2">
      <c r="A6">
        <v>28</v>
      </c>
      <c r="B6" t="s">
        <v>2448</v>
      </c>
      <c r="C6" t="s">
        <v>4244</v>
      </c>
      <c r="D6" t="s">
        <v>13</v>
      </c>
      <c r="E6" t="s">
        <v>4245</v>
      </c>
      <c r="F6" t="s">
        <v>2451</v>
      </c>
      <c r="G6" t="s">
        <v>4246</v>
      </c>
      <c r="H6" t="s">
        <v>187</v>
      </c>
      <c r="I6" t="s">
        <v>24</v>
      </c>
      <c r="J6">
        <v>6</v>
      </c>
      <c r="K6">
        <v>29</v>
      </c>
      <c r="L6">
        <v>4</v>
      </c>
      <c r="M6">
        <f>COUNTIF(H6:$H$2581,H6)</f>
        <v>10</v>
      </c>
    </row>
    <row r="7" spans="1:13" x14ac:dyDescent="0.2">
      <c r="A7">
        <v>40</v>
      </c>
      <c r="B7" t="s">
        <v>2199</v>
      </c>
      <c r="C7" t="s">
        <v>4247</v>
      </c>
      <c r="D7" t="s">
        <v>54</v>
      </c>
      <c r="E7" t="s">
        <v>4248</v>
      </c>
      <c r="F7" t="s">
        <v>2202</v>
      </c>
      <c r="G7" t="s">
        <v>4249</v>
      </c>
      <c r="H7" t="s">
        <v>236</v>
      </c>
      <c r="I7" t="s">
        <v>24</v>
      </c>
      <c r="J7">
        <v>7</v>
      </c>
      <c r="K7">
        <v>41</v>
      </c>
      <c r="L7">
        <v>4</v>
      </c>
      <c r="M7">
        <f>COUNTIF(H7:$H$2581,H7)</f>
        <v>1</v>
      </c>
    </row>
    <row r="8" spans="1:13" x14ac:dyDescent="0.2">
      <c r="A8">
        <v>247</v>
      </c>
      <c r="B8" t="s">
        <v>1849</v>
      </c>
      <c r="C8" t="s">
        <v>4250</v>
      </c>
      <c r="D8" t="s">
        <v>54</v>
      </c>
      <c r="E8" s="1" t="s">
        <v>4251</v>
      </c>
      <c r="F8" t="s">
        <v>1852</v>
      </c>
      <c r="G8" t="s">
        <v>4252</v>
      </c>
      <c r="H8" t="s">
        <v>242</v>
      </c>
      <c r="I8" t="b">
        <v>0</v>
      </c>
      <c r="J8">
        <v>41</v>
      </c>
      <c r="K8">
        <v>248</v>
      </c>
      <c r="L8">
        <v>4</v>
      </c>
      <c r="M8">
        <f>COUNTIF(H8:$H$2581,H8)</f>
        <v>1</v>
      </c>
    </row>
    <row r="9" spans="1:13" x14ac:dyDescent="0.2">
      <c r="A9">
        <v>279</v>
      </c>
      <c r="B9" t="s">
        <v>2105</v>
      </c>
      <c r="C9" t="s">
        <v>4253</v>
      </c>
      <c r="D9" t="s">
        <v>54</v>
      </c>
      <c r="E9" t="s">
        <v>4254</v>
      </c>
      <c r="F9" t="s">
        <v>2108</v>
      </c>
      <c r="G9" t="s">
        <v>4255</v>
      </c>
      <c r="H9" t="s">
        <v>248</v>
      </c>
      <c r="I9" t="s">
        <v>24</v>
      </c>
      <c r="J9">
        <v>44</v>
      </c>
      <c r="K9">
        <v>280</v>
      </c>
      <c r="L9">
        <v>4</v>
      </c>
      <c r="M9">
        <f>COUNTIF(H9:$H$2581,H9)</f>
        <v>1</v>
      </c>
    </row>
    <row r="10" spans="1:13" x14ac:dyDescent="0.2">
      <c r="A10">
        <v>304</v>
      </c>
      <c r="B10" t="s">
        <v>784</v>
      </c>
      <c r="C10" t="s">
        <v>4256</v>
      </c>
      <c r="D10" t="s">
        <v>54</v>
      </c>
      <c r="E10" t="s">
        <v>4257</v>
      </c>
      <c r="F10" t="s">
        <v>787</v>
      </c>
      <c r="G10" t="s">
        <v>4258</v>
      </c>
      <c r="H10" t="s">
        <v>254</v>
      </c>
      <c r="I10" t="b">
        <v>0</v>
      </c>
      <c r="J10">
        <v>45</v>
      </c>
      <c r="K10">
        <v>305</v>
      </c>
      <c r="L10">
        <v>4</v>
      </c>
      <c r="M10">
        <f>COUNTIF(H10:$H$2581,H10)</f>
        <v>1</v>
      </c>
    </row>
    <row r="11" spans="1:13" x14ac:dyDescent="0.2">
      <c r="A11">
        <v>344</v>
      </c>
      <c r="B11" t="s">
        <v>455</v>
      </c>
      <c r="C11" t="s">
        <v>4259</v>
      </c>
      <c r="D11" t="s">
        <v>13</v>
      </c>
      <c r="E11" t="s">
        <v>4260</v>
      </c>
      <c r="F11" t="s">
        <v>458</v>
      </c>
      <c r="G11" t="s">
        <v>4261</v>
      </c>
      <c r="H11" t="s">
        <v>260</v>
      </c>
      <c r="I11" t="b">
        <v>0</v>
      </c>
      <c r="J11">
        <v>49</v>
      </c>
      <c r="K11">
        <v>345</v>
      </c>
      <c r="L11">
        <v>4</v>
      </c>
      <c r="M11">
        <f>COUNTIF(H11:$H$2581,H11)</f>
        <v>1</v>
      </c>
    </row>
    <row r="12" spans="1:13" x14ac:dyDescent="0.2">
      <c r="A12">
        <v>359</v>
      </c>
      <c r="B12" t="s">
        <v>975</v>
      </c>
      <c r="C12" t="s">
        <v>4262</v>
      </c>
      <c r="D12" t="s">
        <v>13</v>
      </c>
      <c r="E12" t="s">
        <v>4263</v>
      </c>
      <c r="F12" s="1" t="s">
        <v>978</v>
      </c>
      <c r="G12" t="s">
        <v>4264</v>
      </c>
      <c r="H12" t="s">
        <v>264</v>
      </c>
      <c r="I12" t="b">
        <v>1</v>
      </c>
      <c r="J12">
        <v>50</v>
      </c>
      <c r="K12">
        <v>360</v>
      </c>
      <c r="L12">
        <v>4</v>
      </c>
      <c r="M12">
        <f>COUNTIF(H12:$H$2581,H12)</f>
        <v>1</v>
      </c>
    </row>
    <row r="13" spans="1:13" x14ac:dyDescent="0.2">
      <c r="A13">
        <v>371</v>
      </c>
      <c r="B13" t="s">
        <v>2099</v>
      </c>
      <c r="C13" t="s">
        <v>4265</v>
      </c>
      <c r="D13" t="s">
        <v>54</v>
      </c>
      <c r="E13" t="s">
        <v>4266</v>
      </c>
      <c r="F13" t="s">
        <v>2102</v>
      </c>
      <c r="G13" t="s">
        <v>4267</v>
      </c>
      <c r="H13" t="s">
        <v>270</v>
      </c>
      <c r="I13" t="b">
        <v>0</v>
      </c>
      <c r="J13">
        <v>51</v>
      </c>
      <c r="K13">
        <v>372</v>
      </c>
      <c r="L13">
        <v>4</v>
      </c>
      <c r="M13">
        <f>COUNTIF(H13:$H$2581,H13)</f>
        <v>1</v>
      </c>
    </row>
    <row r="14" spans="1:13" x14ac:dyDescent="0.2">
      <c r="A14">
        <v>393</v>
      </c>
      <c r="B14" t="s">
        <v>1568</v>
      </c>
      <c r="C14" t="s">
        <v>4268</v>
      </c>
      <c r="D14" t="s">
        <v>13</v>
      </c>
      <c r="E14" t="s">
        <v>4269</v>
      </c>
      <c r="F14" t="s">
        <v>1571</v>
      </c>
      <c r="G14" t="s">
        <v>4270</v>
      </c>
      <c r="H14" t="s">
        <v>276</v>
      </c>
      <c r="I14" t="s">
        <v>24</v>
      </c>
      <c r="J14">
        <v>55</v>
      </c>
      <c r="K14">
        <v>394</v>
      </c>
      <c r="L14">
        <v>4</v>
      </c>
      <c r="M14">
        <f>COUNTIF(H14:$H$2581,H14)</f>
        <v>5</v>
      </c>
    </row>
    <row r="15" spans="1:13" x14ac:dyDescent="0.2">
      <c r="A15">
        <v>404</v>
      </c>
      <c r="B15" t="s">
        <v>1244</v>
      </c>
      <c r="C15" t="s">
        <v>4271</v>
      </c>
      <c r="D15" t="s">
        <v>54</v>
      </c>
      <c r="E15" t="s">
        <v>4272</v>
      </c>
      <c r="F15" t="s">
        <v>1247</v>
      </c>
      <c r="G15" t="s">
        <v>4273</v>
      </c>
      <c r="H15" t="s">
        <v>302</v>
      </c>
      <c r="I15" t="b">
        <v>0</v>
      </c>
      <c r="J15">
        <v>57</v>
      </c>
      <c r="K15">
        <v>405</v>
      </c>
      <c r="L15">
        <v>4</v>
      </c>
      <c r="M15">
        <f>COUNTIF(H15:$H$2581,H15)</f>
        <v>27</v>
      </c>
    </row>
    <row r="16" spans="1:13" x14ac:dyDescent="0.2">
      <c r="A16">
        <v>439</v>
      </c>
      <c r="B16" t="s">
        <v>778</v>
      </c>
      <c r="C16" t="s">
        <v>4274</v>
      </c>
      <c r="D16" t="s">
        <v>54</v>
      </c>
      <c r="E16" t="s">
        <v>4275</v>
      </c>
      <c r="F16" t="s">
        <v>781</v>
      </c>
      <c r="G16" t="s">
        <v>4276</v>
      </c>
      <c r="H16" t="s">
        <v>404</v>
      </c>
      <c r="I16" t="b">
        <v>0</v>
      </c>
      <c r="J16">
        <v>64</v>
      </c>
      <c r="K16">
        <v>440</v>
      </c>
      <c r="L16">
        <v>4</v>
      </c>
      <c r="M16">
        <f>COUNTIF(H16:$H$2581,H16)</f>
        <v>4</v>
      </c>
    </row>
    <row r="17" spans="1:13" x14ac:dyDescent="0.2">
      <c r="A17">
        <v>440</v>
      </c>
      <c r="B17" t="s">
        <v>778</v>
      </c>
      <c r="C17" t="s">
        <v>4277</v>
      </c>
      <c r="D17" t="s">
        <v>33</v>
      </c>
      <c r="E17" t="s">
        <v>4278</v>
      </c>
      <c r="F17" t="s">
        <v>781</v>
      </c>
      <c r="G17" t="s">
        <v>4279</v>
      </c>
      <c r="H17" t="s">
        <v>419</v>
      </c>
      <c r="I17" t="b">
        <v>0</v>
      </c>
      <c r="J17">
        <v>64</v>
      </c>
      <c r="K17">
        <v>441</v>
      </c>
      <c r="L17">
        <v>4</v>
      </c>
      <c r="M17">
        <f>COUNTIF(H17:$H$2581,H17)</f>
        <v>1</v>
      </c>
    </row>
    <row r="18" spans="1:13" x14ac:dyDescent="0.2">
      <c r="A18">
        <v>459</v>
      </c>
      <c r="B18" t="s">
        <v>1039</v>
      </c>
      <c r="C18" t="s">
        <v>4280</v>
      </c>
      <c r="D18" t="s">
        <v>54</v>
      </c>
      <c r="E18" t="s">
        <v>4281</v>
      </c>
      <c r="F18" t="s">
        <v>1042</v>
      </c>
      <c r="G18" t="s">
        <v>4282</v>
      </c>
      <c r="H18" t="s">
        <v>423</v>
      </c>
      <c r="I18" t="s">
        <v>24</v>
      </c>
      <c r="J18">
        <v>65</v>
      </c>
      <c r="K18">
        <v>460</v>
      </c>
      <c r="L18">
        <v>4</v>
      </c>
      <c r="M18">
        <f>COUNTIF(H18:$H$2581,H18)</f>
        <v>6</v>
      </c>
    </row>
    <row r="19" spans="1:13" x14ac:dyDescent="0.2">
      <c r="A19">
        <v>481</v>
      </c>
      <c r="B19" t="s">
        <v>2266</v>
      </c>
      <c r="C19" t="s">
        <v>4283</v>
      </c>
      <c r="D19" t="s">
        <v>13</v>
      </c>
      <c r="E19" t="s">
        <v>4284</v>
      </c>
      <c r="F19" t="s">
        <v>2269</v>
      </c>
      <c r="G19" t="s">
        <v>4285</v>
      </c>
      <c r="H19" t="s">
        <v>454</v>
      </c>
      <c r="I19" t="s">
        <v>24</v>
      </c>
      <c r="J19">
        <v>68</v>
      </c>
      <c r="K19">
        <v>482</v>
      </c>
      <c r="L19">
        <v>4</v>
      </c>
      <c r="M19">
        <f>COUNTIF(H19:$H$2581,H19)</f>
        <v>1</v>
      </c>
    </row>
    <row r="20" spans="1:13" x14ac:dyDescent="0.2">
      <c r="A20">
        <v>487</v>
      </c>
      <c r="B20" t="s">
        <v>182</v>
      </c>
      <c r="C20" t="s">
        <v>4286</v>
      </c>
      <c r="D20" t="s">
        <v>13</v>
      </c>
      <c r="E20" t="s">
        <v>4287</v>
      </c>
      <c r="F20" t="s">
        <v>185</v>
      </c>
      <c r="G20" t="s">
        <v>4288</v>
      </c>
      <c r="H20" t="s">
        <v>460</v>
      </c>
      <c r="I20" t="b">
        <v>1</v>
      </c>
      <c r="J20">
        <v>69</v>
      </c>
      <c r="K20">
        <v>488</v>
      </c>
      <c r="L20">
        <v>4</v>
      </c>
      <c r="M20">
        <f>COUNTIF(H20:$H$2581,H20)</f>
        <v>6</v>
      </c>
    </row>
    <row r="21" spans="1:13" x14ac:dyDescent="0.2">
      <c r="A21">
        <v>500</v>
      </c>
      <c r="B21" t="s">
        <v>1738</v>
      </c>
      <c r="C21" t="s">
        <v>4289</v>
      </c>
      <c r="D21" t="s">
        <v>13</v>
      </c>
      <c r="E21" s="1" t="s">
        <v>4290</v>
      </c>
      <c r="F21" t="s">
        <v>1741</v>
      </c>
      <c r="G21" t="s">
        <v>4291</v>
      </c>
      <c r="H21" t="s">
        <v>491</v>
      </c>
      <c r="I21" t="b">
        <v>0</v>
      </c>
      <c r="J21">
        <v>71</v>
      </c>
      <c r="K21">
        <v>501</v>
      </c>
      <c r="L21">
        <v>4</v>
      </c>
      <c r="M21">
        <f>COUNTIF(H21:$H$2581,H21)</f>
        <v>1</v>
      </c>
    </row>
    <row r="22" spans="1:13" x14ac:dyDescent="0.2">
      <c r="A22">
        <v>539</v>
      </c>
      <c r="B22" t="s">
        <v>188</v>
      </c>
      <c r="C22" t="s">
        <v>4292</v>
      </c>
      <c r="D22" t="s">
        <v>54</v>
      </c>
      <c r="E22" t="s">
        <v>4293</v>
      </c>
      <c r="F22" t="s">
        <v>191</v>
      </c>
      <c r="G22" t="s">
        <v>4294</v>
      </c>
      <c r="H22" t="s">
        <v>497</v>
      </c>
      <c r="I22" t="b">
        <v>0</v>
      </c>
      <c r="J22">
        <v>80</v>
      </c>
      <c r="K22">
        <v>540</v>
      </c>
      <c r="L22">
        <v>4</v>
      </c>
      <c r="M22">
        <f>COUNTIF(H22:$H$2581,H22)</f>
        <v>1</v>
      </c>
    </row>
    <row r="23" spans="1:13" x14ac:dyDescent="0.2">
      <c r="A23">
        <v>563</v>
      </c>
      <c r="B23" t="s">
        <v>2797</v>
      </c>
      <c r="C23" t="s">
        <v>4295</v>
      </c>
      <c r="D23" t="s">
        <v>13</v>
      </c>
      <c r="E23" t="s">
        <v>4296</v>
      </c>
      <c r="F23" t="s">
        <v>2800</v>
      </c>
      <c r="G23" t="s">
        <v>4297</v>
      </c>
      <c r="H23" t="s">
        <v>503</v>
      </c>
      <c r="I23" t="s">
        <v>24</v>
      </c>
      <c r="J23">
        <v>84</v>
      </c>
      <c r="K23">
        <v>564</v>
      </c>
      <c r="L23">
        <v>4</v>
      </c>
      <c r="M23">
        <f>COUNTIF(H23:$H$2581,H23)</f>
        <v>2</v>
      </c>
    </row>
    <row r="24" spans="1:13" x14ac:dyDescent="0.2">
      <c r="A24">
        <v>564</v>
      </c>
      <c r="B24" t="s">
        <v>2797</v>
      </c>
      <c r="C24" t="s">
        <v>4298</v>
      </c>
      <c r="D24" t="s">
        <v>54</v>
      </c>
      <c r="E24" t="s">
        <v>4299</v>
      </c>
      <c r="F24" t="s">
        <v>2800</v>
      </c>
      <c r="G24" t="s">
        <v>4300</v>
      </c>
      <c r="H24" t="s">
        <v>514</v>
      </c>
      <c r="I24" t="s">
        <v>24</v>
      </c>
      <c r="J24">
        <v>84</v>
      </c>
      <c r="K24">
        <v>565</v>
      </c>
      <c r="L24">
        <v>4</v>
      </c>
      <c r="M24">
        <f>COUNTIF(H24:$H$2581,H24)</f>
        <v>1</v>
      </c>
    </row>
    <row r="25" spans="1:13" x14ac:dyDescent="0.2">
      <c r="A25">
        <v>598</v>
      </c>
      <c r="B25" t="s">
        <v>1097</v>
      </c>
      <c r="C25" t="s">
        <v>4301</v>
      </c>
      <c r="D25" t="s">
        <v>13</v>
      </c>
      <c r="E25" t="s">
        <v>4302</v>
      </c>
      <c r="F25" t="s">
        <v>1100</v>
      </c>
      <c r="G25" t="s">
        <v>4303</v>
      </c>
      <c r="H25" t="s">
        <v>518</v>
      </c>
      <c r="I25" t="b">
        <v>0</v>
      </c>
      <c r="J25">
        <v>90</v>
      </c>
      <c r="K25">
        <v>599</v>
      </c>
      <c r="L25">
        <v>4</v>
      </c>
      <c r="M25">
        <f>COUNTIF(H25:$H$2581,H25)</f>
        <v>2</v>
      </c>
    </row>
    <row r="26" spans="1:13" x14ac:dyDescent="0.2">
      <c r="A26">
        <v>614</v>
      </c>
      <c r="B26" t="s">
        <v>1491</v>
      </c>
      <c r="C26" t="s">
        <v>4304</v>
      </c>
      <c r="D26" t="s">
        <v>33</v>
      </c>
      <c r="E26" t="s">
        <v>4305</v>
      </c>
      <c r="F26" t="s">
        <v>1494</v>
      </c>
      <c r="G26" t="s">
        <v>4306</v>
      </c>
      <c r="H26" t="s">
        <v>527</v>
      </c>
      <c r="I26" t="b">
        <v>0</v>
      </c>
      <c r="J26">
        <v>91</v>
      </c>
      <c r="K26">
        <v>615</v>
      </c>
      <c r="L26">
        <v>4</v>
      </c>
      <c r="M26">
        <f>COUNTIF(H26:$H$2581,H26)</f>
        <v>1</v>
      </c>
    </row>
    <row r="27" spans="1:13" x14ac:dyDescent="0.2">
      <c r="A27">
        <v>640</v>
      </c>
      <c r="B27" t="s">
        <v>237</v>
      </c>
      <c r="C27" t="s">
        <v>4307</v>
      </c>
      <c r="D27" t="s">
        <v>54</v>
      </c>
      <c r="E27" t="s">
        <v>4308</v>
      </c>
      <c r="F27" t="s">
        <v>240</v>
      </c>
      <c r="G27" t="s">
        <v>4309</v>
      </c>
      <c r="H27" t="s">
        <v>531</v>
      </c>
      <c r="I27" t="b">
        <v>1</v>
      </c>
      <c r="J27">
        <v>92</v>
      </c>
      <c r="K27">
        <v>641</v>
      </c>
      <c r="L27">
        <v>4</v>
      </c>
      <c r="M27">
        <f>COUNTIF(H27:$H$2581,H27)</f>
        <v>17</v>
      </c>
    </row>
    <row r="28" spans="1:13" x14ac:dyDescent="0.2">
      <c r="A28">
        <v>641</v>
      </c>
      <c r="B28" t="s">
        <v>237</v>
      </c>
      <c r="C28" t="s">
        <v>4310</v>
      </c>
      <c r="D28" t="s">
        <v>13</v>
      </c>
      <c r="E28" t="s">
        <v>4311</v>
      </c>
      <c r="F28" t="s">
        <v>240</v>
      </c>
      <c r="G28" t="s">
        <v>4312</v>
      </c>
      <c r="H28" t="s">
        <v>599</v>
      </c>
      <c r="I28" t="b">
        <v>1</v>
      </c>
      <c r="J28">
        <v>92</v>
      </c>
      <c r="K28">
        <v>642</v>
      </c>
      <c r="L28">
        <v>4</v>
      </c>
      <c r="M28">
        <f>COUNTIF(H28:$H$2581,H28)</f>
        <v>4</v>
      </c>
    </row>
    <row r="29" spans="1:13" x14ac:dyDescent="0.2">
      <c r="A29">
        <v>664</v>
      </c>
      <c r="B29" t="s">
        <v>2053</v>
      </c>
      <c r="C29" t="s">
        <v>4313</v>
      </c>
      <c r="D29" t="s">
        <v>54</v>
      </c>
      <c r="E29" t="s">
        <v>4314</v>
      </c>
      <c r="F29" s="1" t="s">
        <v>2056</v>
      </c>
      <c r="G29" t="s">
        <v>4315</v>
      </c>
      <c r="H29" t="s">
        <v>618</v>
      </c>
      <c r="I29" t="s">
        <v>24</v>
      </c>
      <c r="J29">
        <v>98</v>
      </c>
      <c r="K29">
        <v>665</v>
      </c>
      <c r="L29">
        <v>4</v>
      </c>
      <c r="M29">
        <f>COUNTIF(H29:$H$2581,H29)</f>
        <v>1</v>
      </c>
    </row>
    <row r="30" spans="1:13" x14ac:dyDescent="0.2">
      <c r="A30">
        <v>673</v>
      </c>
      <c r="B30" t="s">
        <v>822</v>
      </c>
      <c r="C30" t="s">
        <v>4316</v>
      </c>
      <c r="D30" t="s">
        <v>13</v>
      </c>
      <c r="E30" t="s">
        <v>4317</v>
      </c>
      <c r="F30" t="s">
        <v>825</v>
      </c>
      <c r="G30" t="s">
        <v>4318</v>
      </c>
      <c r="H30" t="s">
        <v>624</v>
      </c>
      <c r="I30" t="s">
        <v>24</v>
      </c>
      <c r="J30">
        <v>99</v>
      </c>
      <c r="K30">
        <v>674</v>
      </c>
      <c r="L30">
        <v>4</v>
      </c>
      <c r="M30">
        <f>COUNTIF(H30:$H$2581,H30)</f>
        <v>1</v>
      </c>
    </row>
    <row r="31" spans="1:13" x14ac:dyDescent="0.2">
      <c r="A31">
        <v>694</v>
      </c>
      <c r="B31" t="s">
        <v>1131</v>
      </c>
      <c r="C31" t="s">
        <v>4319</v>
      </c>
      <c r="D31" t="s">
        <v>54</v>
      </c>
      <c r="E31" t="s">
        <v>4320</v>
      </c>
      <c r="F31" s="1" t="s">
        <v>1134</v>
      </c>
      <c r="G31" t="s">
        <v>4321</v>
      </c>
      <c r="H31" t="s">
        <v>630</v>
      </c>
      <c r="I31" t="b">
        <v>0</v>
      </c>
      <c r="J31">
        <v>102</v>
      </c>
      <c r="K31">
        <v>695</v>
      </c>
      <c r="L31">
        <v>4</v>
      </c>
      <c r="M31">
        <f>COUNTIF(H31:$H$2581,H31)</f>
        <v>3</v>
      </c>
    </row>
    <row r="32" spans="1:13" x14ac:dyDescent="0.2">
      <c r="A32">
        <v>706</v>
      </c>
      <c r="B32" t="s">
        <v>730</v>
      </c>
      <c r="C32" t="s">
        <v>4322</v>
      </c>
      <c r="D32" t="s">
        <v>54</v>
      </c>
      <c r="E32" t="s">
        <v>4323</v>
      </c>
      <c r="F32" t="s">
        <v>733</v>
      </c>
      <c r="G32" t="s">
        <v>4324</v>
      </c>
      <c r="H32" t="s">
        <v>644</v>
      </c>
      <c r="I32" t="s">
        <v>24</v>
      </c>
      <c r="J32">
        <v>103</v>
      </c>
      <c r="K32">
        <v>707</v>
      </c>
      <c r="L32">
        <v>4</v>
      </c>
      <c r="M32">
        <f>COUNTIF(H32:$H$2581,H32)</f>
        <v>1</v>
      </c>
    </row>
    <row r="33" spans="1:13" x14ac:dyDescent="0.2">
      <c r="A33">
        <v>707</v>
      </c>
      <c r="B33" t="s">
        <v>730</v>
      </c>
      <c r="C33" t="s">
        <v>4325</v>
      </c>
      <c r="D33" t="s">
        <v>54</v>
      </c>
      <c r="E33" t="s">
        <v>4326</v>
      </c>
      <c r="F33" t="s">
        <v>733</v>
      </c>
      <c r="G33" t="s">
        <v>4327</v>
      </c>
      <c r="H33" t="s">
        <v>647</v>
      </c>
      <c r="I33" t="s">
        <v>24</v>
      </c>
      <c r="J33">
        <v>103</v>
      </c>
      <c r="K33">
        <v>708</v>
      </c>
      <c r="L33">
        <v>4</v>
      </c>
      <c r="M33">
        <f>COUNTIF(H33:$H$2581,H33)</f>
        <v>1</v>
      </c>
    </row>
    <row r="34" spans="1:13" x14ac:dyDescent="0.2">
      <c r="A34">
        <v>731</v>
      </c>
      <c r="B34" t="s">
        <v>1349</v>
      </c>
      <c r="C34" t="s">
        <v>4328</v>
      </c>
      <c r="D34" t="s">
        <v>13</v>
      </c>
      <c r="E34" t="s">
        <v>4329</v>
      </c>
      <c r="F34" t="s">
        <v>1352</v>
      </c>
      <c r="G34" t="s">
        <v>4330</v>
      </c>
      <c r="H34" t="s">
        <v>653</v>
      </c>
      <c r="I34" t="b">
        <v>1</v>
      </c>
      <c r="J34">
        <v>104</v>
      </c>
      <c r="K34">
        <v>732</v>
      </c>
      <c r="L34">
        <v>4</v>
      </c>
      <c r="M34">
        <f>COUNTIF(H34:$H$2581,H34)</f>
        <v>2</v>
      </c>
    </row>
    <row r="35" spans="1:13" x14ac:dyDescent="0.2">
      <c r="A35">
        <v>732</v>
      </c>
      <c r="B35" t="s">
        <v>1349</v>
      </c>
      <c r="C35" t="s">
        <v>4331</v>
      </c>
      <c r="D35" t="s">
        <v>13</v>
      </c>
      <c r="E35" t="s">
        <v>4332</v>
      </c>
      <c r="F35" t="s">
        <v>1352</v>
      </c>
      <c r="G35" t="s">
        <v>4333</v>
      </c>
      <c r="H35" t="s">
        <v>660</v>
      </c>
      <c r="I35" t="b">
        <v>1</v>
      </c>
      <c r="J35">
        <v>104</v>
      </c>
      <c r="K35">
        <v>733</v>
      </c>
      <c r="L35">
        <v>4</v>
      </c>
      <c r="M35">
        <f>COUNTIF(H35:$H$2581,H35)</f>
        <v>1</v>
      </c>
    </row>
    <row r="36" spans="1:13" x14ac:dyDescent="0.2">
      <c r="A36">
        <v>733</v>
      </c>
      <c r="B36" t="s">
        <v>1349</v>
      </c>
      <c r="C36" t="s">
        <v>4334</v>
      </c>
      <c r="D36" t="s">
        <v>13</v>
      </c>
      <c r="E36" t="s">
        <v>4335</v>
      </c>
      <c r="F36" t="s">
        <v>1352</v>
      </c>
      <c r="G36" t="s">
        <v>4336</v>
      </c>
      <c r="H36" t="s">
        <v>664</v>
      </c>
      <c r="I36" t="b">
        <v>1</v>
      </c>
      <c r="J36">
        <v>104</v>
      </c>
      <c r="K36">
        <v>734</v>
      </c>
      <c r="L36">
        <v>4</v>
      </c>
      <c r="M36">
        <f>COUNTIF(H36:$H$2581,H36)</f>
        <v>1</v>
      </c>
    </row>
    <row r="37" spans="1:13" x14ac:dyDescent="0.2">
      <c r="A37">
        <v>742</v>
      </c>
      <c r="B37" t="s">
        <v>1450</v>
      </c>
      <c r="C37" t="s">
        <v>4337</v>
      </c>
      <c r="D37" t="s">
        <v>33</v>
      </c>
      <c r="E37" t="s">
        <v>4338</v>
      </c>
      <c r="F37" s="1" t="s">
        <v>1453</v>
      </c>
      <c r="G37" t="s">
        <v>4339</v>
      </c>
      <c r="H37" t="s">
        <v>670</v>
      </c>
      <c r="I37" t="b">
        <v>0</v>
      </c>
      <c r="J37">
        <v>105</v>
      </c>
      <c r="K37">
        <v>743</v>
      </c>
      <c r="L37">
        <v>4</v>
      </c>
      <c r="M37">
        <f>COUNTIF(H37:$H$2581,H37)</f>
        <v>1</v>
      </c>
    </row>
    <row r="38" spans="1:13" x14ac:dyDescent="0.2">
      <c r="A38">
        <v>749</v>
      </c>
      <c r="B38" t="s">
        <v>1868</v>
      </c>
      <c r="C38" t="s">
        <v>4340</v>
      </c>
      <c r="D38" t="s">
        <v>13</v>
      </c>
      <c r="E38" t="s">
        <v>4341</v>
      </c>
      <c r="F38" t="s">
        <v>1871</v>
      </c>
      <c r="G38" t="s">
        <v>4342</v>
      </c>
      <c r="H38" t="s">
        <v>674</v>
      </c>
      <c r="I38" t="s">
        <v>24</v>
      </c>
      <c r="J38">
        <v>107</v>
      </c>
      <c r="K38">
        <v>750</v>
      </c>
      <c r="L38">
        <v>4</v>
      </c>
      <c r="M38">
        <f>COUNTIF(H38:$H$2581,H38)</f>
        <v>1</v>
      </c>
    </row>
    <row r="39" spans="1:13" x14ac:dyDescent="0.2">
      <c r="A39">
        <v>798</v>
      </c>
      <c r="B39" t="s">
        <v>116</v>
      </c>
      <c r="C39" t="s">
        <v>4343</v>
      </c>
      <c r="D39" t="s">
        <v>54</v>
      </c>
      <c r="E39" t="s">
        <v>4344</v>
      </c>
      <c r="F39" t="s">
        <v>119</v>
      </c>
      <c r="G39" t="s">
        <v>4345</v>
      </c>
      <c r="H39" t="s">
        <v>680</v>
      </c>
      <c r="I39" t="s">
        <v>24</v>
      </c>
      <c r="J39">
        <v>112</v>
      </c>
      <c r="K39">
        <v>799</v>
      </c>
      <c r="L39">
        <v>4</v>
      </c>
      <c r="M39">
        <f>COUNTIF(H39:$H$2581,H39)</f>
        <v>2</v>
      </c>
    </row>
    <row r="40" spans="1:13" x14ac:dyDescent="0.2">
      <c r="A40">
        <v>819</v>
      </c>
      <c r="B40" t="s">
        <v>594</v>
      </c>
      <c r="C40" t="s">
        <v>4346</v>
      </c>
      <c r="D40" t="s">
        <v>13</v>
      </c>
      <c r="E40" t="s">
        <v>4347</v>
      </c>
      <c r="F40" t="s">
        <v>597</v>
      </c>
      <c r="G40" t="s">
        <v>4348</v>
      </c>
      <c r="H40" t="s">
        <v>689</v>
      </c>
      <c r="I40" t="b">
        <v>1</v>
      </c>
      <c r="J40">
        <v>114</v>
      </c>
      <c r="K40">
        <v>820</v>
      </c>
      <c r="L40">
        <v>4</v>
      </c>
      <c r="M40">
        <f>COUNTIF(H40:$H$2581,H40)</f>
        <v>4</v>
      </c>
    </row>
    <row r="41" spans="1:13" x14ac:dyDescent="0.2">
      <c r="A41">
        <v>820</v>
      </c>
      <c r="B41" t="s">
        <v>594</v>
      </c>
      <c r="C41" t="s">
        <v>4349</v>
      </c>
      <c r="D41" t="s">
        <v>13</v>
      </c>
      <c r="E41" t="s">
        <v>4350</v>
      </c>
      <c r="F41" t="s">
        <v>597</v>
      </c>
      <c r="G41" t="s">
        <v>4351</v>
      </c>
      <c r="H41" t="s">
        <v>702</v>
      </c>
      <c r="I41" t="b">
        <v>1</v>
      </c>
      <c r="J41">
        <v>114</v>
      </c>
      <c r="K41">
        <v>821</v>
      </c>
      <c r="L41">
        <v>4</v>
      </c>
      <c r="M41">
        <f>COUNTIF(H41:$H$2581,H41)</f>
        <v>1</v>
      </c>
    </row>
    <row r="42" spans="1:13" x14ac:dyDescent="0.2">
      <c r="A42">
        <v>835</v>
      </c>
      <c r="B42" t="s">
        <v>176</v>
      </c>
      <c r="C42" t="s">
        <v>4352</v>
      </c>
      <c r="D42" t="s">
        <v>54</v>
      </c>
      <c r="E42" t="s">
        <v>4353</v>
      </c>
      <c r="F42" t="s">
        <v>179</v>
      </c>
      <c r="G42" t="s">
        <v>4354</v>
      </c>
      <c r="H42" t="s">
        <v>708</v>
      </c>
      <c r="I42" t="s">
        <v>24</v>
      </c>
      <c r="J42">
        <v>115</v>
      </c>
      <c r="K42">
        <v>836</v>
      </c>
      <c r="L42">
        <v>4</v>
      </c>
      <c r="M42">
        <f>COUNTIF(H42:$H$2581,H42)</f>
        <v>1</v>
      </c>
    </row>
    <row r="43" spans="1:13" x14ac:dyDescent="0.2">
      <c r="A43">
        <v>844</v>
      </c>
      <c r="B43" t="s">
        <v>3157</v>
      </c>
      <c r="C43" t="s">
        <v>4355</v>
      </c>
      <c r="D43" t="s">
        <v>54</v>
      </c>
      <c r="E43" t="s">
        <v>4356</v>
      </c>
      <c r="F43" t="s">
        <v>3160</v>
      </c>
      <c r="G43" t="s">
        <v>4357</v>
      </c>
      <c r="H43" t="s">
        <v>714</v>
      </c>
      <c r="I43" t="s">
        <v>24</v>
      </c>
      <c r="J43">
        <v>116</v>
      </c>
      <c r="K43">
        <v>845</v>
      </c>
      <c r="L43">
        <v>4</v>
      </c>
      <c r="M43">
        <f>COUNTIF(H43:$H$2581,H43)</f>
        <v>4</v>
      </c>
    </row>
    <row r="44" spans="1:13" x14ac:dyDescent="0.2">
      <c r="A44">
        <v>852</v>
      </c>
      <c r="B44" t="s">
        <v>193</v>
      </c>
      <c r="C44" t="s">
        <v>4358</v>
      </c>
      <c r="D44" t="s">
        <v>54</v>
      </c>
      <c r="E44" t="s">
        <v>4359</v>
      </c>
      <c r="F44" t="s">
        <v>196</v>
      </c>
      <c r="G44" t="s">
        <v>4360</v>
      </c>
      <c r="H44" t="s">
        <v>735</v>
      </c>
      <c r="I44" t="s">
        <v>24</v>
      </c>
      <c r="J44">
        <v>117</v>
      </c>
      <c r="K44">
        <v>853</v>
      </c>
      <c r="L44">
        <v>4</v>
      </c>
      <c r="M44">
        <f>COUNTIF(H44:$H$2581,H44)</f>
        <v>6</v>
      </c>
    </row>
    <row r="45" spans="1:13" x14ac:dyDescent="0.2">
      <c r="A45">
        <v>877</v>
      </c>
      <c r="B45" t="s">
        <v>1192</v>
      </c>
      <c r="C45" t="s">
        <v>4361</v>
      </c>
      <c r="D45" t="s">
        <v>13</v>
      </c>
      <c r="E45" t="s">
        <v>4362</v>
      </c>
      <c r="F45" t="s">
        <v>1195</v>
      </c>
      <c r="G45" t="s">
        <v>4363</v>
      </c>
      <c r="H45" t="s">
        <v>762</v>
      </c>
      <c r="I45" t="s">
        <v>24</v>
      </c>
      <c r="J45">
        <v>119</v>
      </c>
      <c r="K45">
        <v>878</v>
      </c>
      <c r="L45">
        <v>4</v>
      </c>
      <c r="M45">
        <f>COUNTIF(H45:$H$2581,H45)</f>
        <v>2</v>
      </c>
    </row>
    <row r="46" spans="1:13" x14ac:dyDescent="0.2">
      <c r="A46">
        <v>895</v>
      </c>
      <c r="B46" t="s">
        <v>198</v>
      </c>
      <c r="C46" t="s">
        <v>4364</v>
      </c>
      <c r="D46" t="s">
        <v>33</v>
      </c>
      <c r="E46" t="s">
        <v>4365</v>
      </c>
      <c r="F46" t="s">
        <v>201</v>
      </c>
      <c r="G46" t="s">
        <v>4366</v>
      </c>
      <c r="H46" t="s">
        <v>773</v>
      </c>
      <c r="I46" t="b">
        <v>0</v>
      </c>
      <c r="J46">
        <v>120</v>
      </c>
      <c r="K46">
        <v>896</v>
      </c>
      <c r="L46">
        <v>4</v>
      </c>
      <c r="M46">
        <f>COUNTIF(H46:$H$2581,H46)</f>
        <v>1</v>
      </c>
    </row>
    <row r="47" spans="1:13" x14ac:dyDescent="0.2">
      <c r="A47">
        <v>917</v>
      </c>
      <c r="B47" t="s">
        <v>271</v>
      </c>
      <c r="C47" t="s">
        <v>4367</v>
      </c>
      <c r="D47" t="s">
        <v>13</v>
      </c>
      <c r="E47" t="s">
        <v>4368</v>
      </c>
      <c r="F47" t="s">
        <v>274</v>
      </c>
      <c r="G47" t="s">
        <v>4369</v>
      </c>
      <c r="H47" t="s">
        <v>777</v>
      </c>
      <c r="I47" t="s">
        <v>24</v>
      </c>
      <c r="J47">
        <v>121</v>
      </c>
      <c r="K47">
        <v>918</v>
      </c>
      <c r="L47">
        <v>4</v>
      </c>
      <c r="M47">
        <f>COUNTIF(H47:$H$2581,H47)</f>
        <v>1</v>
      </c>
    </row>
    <row r="48" spans="1:13" x14ac:dyDescent="0.2">
      <c r="A48">
        <v>918</v>
      </c>
      <c r="B48" t="s">
        <v>271</v>
      </c>
      <c r="C48" t="s">
        <v>4370</v>
      </c>
      <c r="D48" t="s">
        <v>13</v>
      </c>
      <c r="E48" t="s">
        <v>4371</v>
      </c>
      <c r="F48" t="s">
        <v>274</v>
      </c>
      <c r="G48" t="s">
        <v>4372</v>
      </c>
      <c r="H48" t="s">
        <v>783</v>
      </c>
      <c r="I48" t="s">
        <v>24</v>
      </c>
      <c r="J48">
        <v>121</v>
      </c>
      <c r="K48">
        <v>919</v>
      </c>
      <c r="L48">
        <v>4</v>
      </c>
      <c r="M48">
        <f>COUNTIF(H48:$H$2581,H48)</f>
        <v>1</v>
      </c>
    </row>
    <row r="49" spans="1:13" x14ac:dyDescent="0.2">
      <c r="A49">
        <v>965</v>
      </c>
      <c r="B49" t="s">
        <v>203</v>
      </c>
      <c r="C49" t="s">
        <v>4373</v>
      </c>
      <c r="D49" t="s">
        <v>13</v>
      </c>
      <c r="E49" t="s">
        <v>4374</v>
      </c>
      <c r="F49" t="s">
        <v>206</v>
      </c>
      <c r="G49" t="s">
        <v>4375</v>
      </c>
      <c r="H49" t="s">
        <v>789</v>
      </c>
      <c r="I49" t="b">
        <v>1</v>
      </c>
      <c r="J49">
        <v>123</v>
      </c>
      <c r="K49">
        <v>966</v>
      </c>
      <c r="L49">
        <v>4</v>
      </c>
      <c r="M49">
        <f>COUNTIF(H49:$H$2581,H49)</f>
        <v>2</v>
      </c>
    </row>
    <row r="50" spans="1:13" x14ac:dyDescent="0.2">
      <c r="A50">
        <v>966</v>
      </c>
      <c r="B50" t="s">
        <v>203</v>
      </c>
      <c r="C50" t="s">
        <v>4373</v>
      </c>
      <c r="D50" t="s">
        <v>13</v>
      </c>
      <c r="E50" t="s">
        <v>4376</v>
      </c>
      <c r="F50" t="s">
        <v>206</v>
      </c>
      <c r="G50" t="s">
        <v>4377</v>
      </c>
      <c r="H50" t="s">
        <v>798</v>
      </c>
      <c r="I50" t="b">
        <v>1</v>
      </c>
      <c r="J50">
        <v>123</v>
      </c>
      <c r="K50">
        <v>967</v>
      </c>
      <c r="L50">
        <v>4</v>
      </c>
      <c r="M50">
        <f>COUNTIF(H50:$H$2581,H50)</f>
        <v>1</v>
      </c>
    </row>
    <row r="51" spans="1:13" x14ac:dyDescent="0.2">
      <c r="A51">
        <v>995</v>
      </c>
      <c r="B51" t="s">
        <v>1876</v>
      </c>
      <c r="C51" t="s">
        <v>4378</v>
      </c>
      <c r="D51" t="s">
        <v>54</v>
      </c>
      <c r="E51" t="s">
        <v>4379</v>
      </c>
      <c r="F51" t="s">
        <v>1879</v>
      </c>
      <c r="G51" t="s">
        <v>4380</v>
      </c>
      <c r="H51" t="s">
        <v>802</v>
      </c>
      <c r="I51" t="s">
        <v>24</v>
      </c>
      <c r="J51">
        <v>124</v>
      </c>
      <c r="K51">
        <v>996</v>
      </c>
      <c r="L51">
        <v>4</v>
      </c>
      <c r="M51">
        <f>COUNTIF(H51:$H$2581,H51)</f>
        <v>1</v>
      </c>
    </row>
    <row r="52" spans="1:13" x14ac:dyDescent="0.2">
      <c r="A52">
        <v>1001</v>
      </c>
      <c r="B52" t="s">
        <v>424</v>
      </c>
      <c r="C52" t="s">
        <v>4381</v>
      </c>
      <c r="D52" t="s">
        <v>13</v>
      </c>
      <c r="E52" t="s">
        <v>4382</v>
      </c>
      <c r="F52" t="s">
        <v>427</v>
      </c>
      <c r="G52" t="s">
        <v>4383</v>
      </c>
      <c r="H52" t="s">
        <v>806</v>
      </c>
      <c r="I52" t="s">
        <v>24</v>
      </c>
      <c r="J52">
        <v>125</v>
      </c>
      <c r="K52">
        <v>1002</v>
      </c>
      <c r="L52">
        <v>4</v>
      </c>
      <c r="M52">
        <f>COUNTIF(H52:$H$2581,H52)</f>
        <v>2</v>
      </c>
    </row>
    <row r="53" spans="1:13" x14ac:dyDescent="0.2">
      <c r="A53">
        <v>1010</v>
      </c>
      <c r="B53" t="s">
        <v>1268</v>
      </c>
      <c r="C53" t="s">
        <v>4384</v>
      </c>
      <c r="D53" t="s">
        <v>54</v>
      </c>
      <c r="E53" t="s">
        <v>4385</v>
      </c>
      <c r="F53" t="s">
        <v>1271</v>
      </c>
      <c r="G53" t="s">
        <v>4386</v>
      </c>
      <c r="H53" t="s">
        <v>817</v>
      </c>
      <c r="I53" t="s">
        <v>24</v>
      </c>
      <c r="J53">
        <v>126</v>
      </c>
      <c r="K53">
        <v>1011</v>
      </c>
      <c r="L53">
        <v>4</v>
      </c>
      <c r="M53">
        <f>COUNTIF(H53:$H$2581,H53)</f>
        <v>1</v>
      </c>
    </row>
    <row r="54" spans="1:13" x14ac:dyDescent="0.2">
      <c r="A54">
        <v>1030</v>
      </c>
      <c r="B54" t="s">
        <v>1215</v>
      </c>
      <c r="C54" t="s">
        <v>4387</v>
      </c>
      <c r="D54" t="s">
        <v>13</v>
      </c>
      <c r="E54" t="s">
        <v>4388</v>
      </c>
      <c r="F54" t="s">
        <v>1218</v>
      </c>
      <c r="G54" t="s">
        <v>4389</v>
      </c>
      <c r="H54" t="s">
        <v>821</v>
      </c>
      <c r="I54" t="b">
        <v>1</v>
      </c>
      <c r="J54">
        <v>129</v>
      </c>
      <c r="K54">
        <v>1031</v>
      </c>
      <c r="L54">
        <v>4</v>
      </c>
      <c r="M54">
        <f>COUNTIF(H54:$H$2581,H54)</f>
        <v>1</v>
      </c>
    </row>
    <row r="55" spans="1:13" x14ac:dyDescent="0.2">
      <c r="A55">
        <v>1042</v>
      </c>
      <c r="B55" t="s">
        <v>1456</v>
      </c>
      <c r="C55" t="s">
        <v>4390</v>
      </c>
      <c r="D55" t="s">
        <v>13</v>
      </c>
      <c r="E55" t="s">
        <v>4391</v>
      </c>
      <c r="F55" t="s">
        <v>1459</v>
      </c>
      <c r="G55" t="s">
        <v>4392</v>
      </c>
      <c r="H55" t="s">
        <v>827</v>
      </c>
      <c r="I55" t="s">
        <v>24</v>
      </c>
      <c r="J55">
        <v>130</v>
      </c>
      <c r="K55">
        <v>1043</v>
      </c>
      <c r="L55">
        <v>4</v>
      </c>
      <c r="M55">
        <f>COUNTIF(H55:$H$2581,H55)</f>
        <v>1</v>
      </c>
    </row>
    <row r="56" spans="1:13" x14ac:dyDescent="0.2">
      <c r="A56">
        <v>1058</v>
      </c>
      <c r="B56" t="s">
        <v>1884</v>
      </c>
      <c r="C56" t="s">
        <v>4393</v>
      </c>
      <c r="D56" t="s">
        <v>13</v>
      </c>
      <c r="E56" t="s">
        <v>4394</v>
      </c>
      <c r="F56" t="s">
        <v>1887</v>
      </c>
      <c r="G56" t="s">
        <v>4395</v>
      </c>
      <c r="H56" t="s">
        <v>831</v>
      </c>
      <c r="I56" t="s">
        <v>24</v>
      </c>
      <c r="J56">
        <v>131</v>
      </c>
      <c r="K56">
        <v>1059</v>
      </c>
      <c r="L56">
        <v>4</v>
      </c>
      <c r="M56">
        <f>COUNTIF(H56:$H$2581,H56)</f>
        <v>2</v>
      </c>
    </row>
    <row r="57" spans="1:13" x14ac:dyDescent="0.2">
      <c r="A57">
        <v>1076</v>
      </c>
      <c r="B57" t="s">
        <v>2230</v>
      </c>
      <c r="C57" t="s">
        <v>4396</v>
      </c>
      <c r="D57" t="s">
        <v>54</v>
      </c>
      <c r="E57" t="s">
        <v>4397</v>
      </c>
      <c r="F57" t="s">
        <v>2233</v>
      </c>
      <c r="G57" t="s">
        <v>4398</v>
      </c>
      <c r="H57" t="s">
        <v>838</v>
      </c>
      <c r="I57" t="s">
        <v>24</v>
      </c>
      <c r="J57">
        <v>132</v>
      </c>
      <c r="K57">
        <v>1077</v>
      </c>
      <c r="L57">
        <v>4</v>
      </c>
      <c r="M57">
        <f>COUNTIF(H57:$H$2581,H57)</f>
        <v>1</v>
      </c>
    </row>
    <row r="58" spans="1:13" x14ac:dyDescent="0.2">
      <c r="A58">
        <v>1092</v>
      </c>
      <c r="B58" t="s">
        <v>1075</v>
      </c>
      <c r="C58" t="s">
        <v>4399</v>
      </c>
      <c r="D58" t="s">
        <v>54</v>
      </c>
      <c r="E58" t="s">
        <v>4400</v>
      </c>
      <c r="F58" t="s">
        <v>1078</v>
      </c>
      <c r="G58" t="s">
        <v>4401</v>
      </c>
      <c r="H58" t="s">
        <v>842</v>
      </c>
      <c r="I58" t="s">
        <v>24</v>
      </c>
      <c r="J58">
        <v>133</v>
      </c>
      <c r="K58">
        <v>1093</v>
      </c>
      <c r="L58">
        <v>4</v>
      </c>
      <c r="M58">
        <f>COUNTIF(H58:$H$2581,H58)</f>
        <v>2</v>
      </c>
    </row>
    <row r="59" spans="1:13" x14ac:dyDescent="0.2">
      <c r="A59">
        <v>1106</v>
      </c>
      <c r="B59" t="s">
        <v>1103</v>
      </c>
      <c r="C59" t="s">
        <v>4402</v>
      </c>
      <c r="D59" t="s">
        <v>13</v>
      </c>
      <c r="E59" t="s">
        <v>4403</v>
      </c>
      <c r="F59" t="s">
        <v>1106</v>
      </c>
      <c r="G59" t="s">
        <v>4404</v>
      </c>
      <c r="H59" t="s">
        <v>849</v>
      </c>
      <c r="I59" t="s">
        <v>24</v>
      </c>
      <c r="J59">
        <v>134</v>
      </c>
      <c r="K59">
        <v>1107</v>
      </c>
      <c r="L59">
        <v>4</v>
      </c>
      <c r="M59">
        <f>COUNTIF(H59:$H$2581,H59)</f>
        <v>1</v>
      </c>
    </row>
    <row r="60" spans="1:13" x14ac:dyDescent="0.2">
      <c r="A60">
        <v>1107</v>
      </c>
      <c r="B60" t="s">
        <v>1103</v>
      </c>
      <c r="C60" t="s">
        <v>4405</v>
      </c>
      <c r="D60" t="s">
        <v>13</v>
      </c>
      <c r="E60" t="s">
        <v>4406</v>
      </c>
      <c r="F60" t="s">
        <v>1106</v>
      </c>
      <c r="G60" t="s">
        <v>4407</v>
      </c>
      <c r="H60" t="s">
        <v>853</v>
      </c>
      <c r="I60" t="s">
        <v>24</v>
      </c>
      <c r="J60">
        <v>134</v>
      </c>
      <c r="K60">
        <v>1108</v>
      </c>
      <c r="L60">
        <v>4</v>
      </c>
      <c r="M60">
        <f>COUNTIF(H60:$H$2581,H60)</f>
        <v>1</v>
      </c>
    </row>
    <row r="61" spans="1:13" x14ac:dyDescent="0.2">
      <c r="A61">
        <v>1131</v>
      </c>
      <c r="B61" t="s">
        <v>1186</v>
      </c>
      <c r="C61" t="s">
        <v>4408</v>
      </c>
      <c r="D61" t="s">
        <v>33</v>
      </c>
      <c r="E61" t="s">
        <v>4409</v>
      </c>
      <c r="F61" t="s">
        <v>1189</v>
      </c>
      <c r="G61" t="s">
        <v>4410</v>
      </c>
      <c r="H61" t="s">
        <v>857</v>
      </c>
      <c r="I61" t="b">
        <v>0</v>
      </c>
      <c r="J61">
        <v>137</v>
      </c>
      <c r="K61">
        <v>1132</v>
      </c>
      <c r="L61">
        <v>4</v>
      </c>
      <c r="M61">
        <f>COUNTIF(H61:$H$2581,H61)</f>
        <v>1</v>
      </c>
    </row>
    <row r="62" spans="1:13" x14ac:dyDescent="0.2">
      <c r="A62">
        <v>1145</v>
      </c>
      <c r="B62" t="s">
        <v>957</v>
      </c>
      <c r="C62" t="s">
        <v>4411</v>
      </c>
      <c r="D62" t="s">
        <v>13</v>
      </c>
      <c r="E62" t="s">
        <v>4412</v>
      </c>
      <c r="F62" t="s">
        <v>960</v>
      </c>
      <c r="G62" t="s">
        <v>4413</v>
      </c>
      <c r="H62" t="s">
        <v>863</v>
      </c>
      <c r="I62" t="s">
        <v>24</v>
      </c>
      <c r="J62">
        <v>140</v>
      </c>
      <c r="K62">
        <v>1146</v>
      </c>
      <c r="L62">
        <v>4</v>
      </c>
      <c r="M62">
        <f>COUNTIF(H62:$H$2581,H62)</f>
        <v>4</v>
      </c>
    </row>
    <row r="63" spans="1:13" x14ac:dyDescent="0.2">
      <c r="A63">
        <v>1146</v>
      </c>
      <c r="B63" t="s">
        <v>957</v>
      </c>
      <c r="C63" t="s">
        <v>4414</v>
      </c>
      <c r="D63" t="s">
        <v>13</v>
      </c>
      <c r="E63" t="s">
        <v>4415</v>
      </c>
      <c r="F63" t="s">
        <v>960</v>
      </c>
      <c r="G63" t="s">
        <v>4416</v>
      </c>
      <c r="H63" t="s">
        <v>880</v>
      </c>
      <c r="I63" t="s">
        <v>24</v>
      </c>
      <c r="J63">
        <v>140</v>
      </c>
      <c r="K63">
        <v>1147</v>
      </c>
      <c r="L63">
        <v>4</v>
      </c>
      <c r="M63">
        <f>COUNTIF(H63:$H$2581,H63)</f>
        <v>8</v>
      </c>
    </row>
    <row r="64" spans="1:13" x14ac:dyDescent="0.2">
      <c r="A64">
        <v>1160</v>
      </c>
      <c r="B64" t="s">
        <v>3573</v>
      </c>
      <c r="C64" t="s">
        <v>4417</v>
      </c>
      <c r="D64" t="s">
        <v>54</v>
      </c>
      <c r="E64" t="s">
        <v>4418</v>
      </c>
      <c r="F64" t="s">
        <v>3576</v>
      </c>
      <c r="G64" t="s">
        <v>4419</v>
      </c>
      <c r="H64" t="s">
        <v>913</v>
      </c>
      <c r="I64" t="s">
        <v>24</v>
      </c>
      <c r="J64">
        <v>142</v>
      </c>
      <c r="K64">
        <v>1161</v>
      </c>
      <c r="L64">
        <v>4</v>
      </c>
      <c r="M64">
        <f>COUNTIF(H64:$H$2581,H64)</f>
        <v>1</v>
      </c>
    </row>
    <row r="65" spans="1:13" x14ac:dyDescent="0.2">
      <c r="A65">
        <v>1169</v>
      </c>
      <c r="B65" t="s">
        <v>429</v>
      </c>
      <c r="C65" t="s">
        <v>4420</v>
      </c>
      <c r="D65" t="s">
        <v>54</v>
      </c>
      <c r="E65" t="s">
        <v>4421</v>
      </c>
      <c r="F65" t="s">
        <v>432</v>
      </c>
      <c r="G65" t="s">
        <v>4422</v>
      </c>
      <c r="H65" t="s">
        <v>917</v>
      </c>
      <c r="I65" t="b">
        <v>0</v>
      </c>
      <c r="J65">
        <v>143</v>
      </c>
      <c r="K65">
        <v>1170</v>
      </c>
      <c r="L65">
        <v>4</v>
      </c>
      <c r="M65">
        <f>COUNTIF(H65:$H$2581,H65)</f>
        <v>1</v>
      </c>
    </row>
    <row r="66" spans="1:13" x14ac:dyDescent="0.2">
      <c r="A66">
        <v>1185</v>
      </c>
      <c r="B66" t="s">
        <v>1054</v>
      </c>
      <c r="C66" t="s">
        <v>4423</v>
      </c>
      <c r="D66" t="s">
        <v>54</v>
      </c>
      <c r="E66" t="s">
        <v>4424</v>
      </c>
      <c r="F66" t="s">
        <v>1057</v>
      </c>
      <c r="G66" t="s">
        <v>4425</v>
      </c>
      <c r="H66" t="s">
        <v>923</v>
      </c>
      <c r="I66" t="s">
        <v>24</v>
      </c>
      <c r="J66">
        <v>145</v>
      </c>
      <c r="K66">
        <v>1186</v>
      </c>
      <c r="L66">
        <v>4</v>
      </c>
      <c r="M66">
        <f>COUNTIF(H66:$H$2581,H66)</f>
        <v>1</v>
      </c>
    </row>
    <row r="67" spans="1:13" x14ac:dyDescent="0.2">
      <c r="A67">
        <v>1186</v>
      </c>
      <c r="B67" t="s">
        <v>1054</v>
      </c>
      <c r="C67" t="s">
        <v>4426</v>
      </c>
      <c r="D67" t="s">
        <v>33</v>
      </c>
      <c r="E67" t="s">
        <v>4427</v>
      </c>
      <c r="F67" t="s">
        <v>1057</v>
      </c>
      <c r="G67" t="s">
        <v>4428</v>
      </c>
      <c r="H67" t="s">
        <v>927</v>
      </c>
      <c r="I67" t="s">
        <v>24</v>
      </c>
      <c r="J67">
        <v>145</v>
      </c>
      <c r="K67">
        <v>1187</v>
      </c>
      <c r="L67">
        <v>4</v>
      </c>
      <c r="M67">
        <f>COUNTIF(H67:$H$2581,H67)</f>
        <v>1</v>
      </c>
    </row>
    <row r="68" spans="1:13" x14ac:dyDescent="0.2">
      <c r="A68">
        <v>1255</v>
      </c>
      <c r="B68" t="s">
        <v>3822</v>
      </c>
      <c r="C68" t="s">
        <v>4429</v>
      </c>
      <c r="D68" t="s">
        <v>13</v>
      </c>
      <c r="E68" t="s">
        <v>4430</v>
      </c>
      <c r="F68" t="s">
        <v>3825</v>
      </c>
      <c r="G68" t="s">
        <v>4431</v>
      </c>
      <c r="H68" t="s">
        <v>933</v>
      </c>
      <c r="I68" t="s">
        <v>24</v>
      </c>
      <c r="J68">
        <v>155</v>
      </c>
      <c r="K68">
        <v>1256</v>
      </c>
      <c r="L68">
        <v>4</v>
      </c>
      <c r="M68">
        <f>COUNTIF(H68:$H$2581,H68)</f>
        <v>1</v>
      </c>
    </row>
    <row r="69" spans="1:13" x14ac:dyDescent="0.2">
      <c r="A69">
        <v>1268</v>
      </c>
      <c r="B69" t="s">
        <v>1085</v>
      </c>
      <c r="C69" t="s">
        <v>4432</v>
      </c>
      <c r="D69" t="s">
        <v>54</v>
      </c>
      <c r="E69" t="s">
        <v>4433</v>
      </c>
      <c r="F69" t="s">
        <v>1088</v>
      </c>
      <c r="G69" t="s">
        <v>4434</v>
      </c>
      <c r="H69" t="s">
        <v>937</v>
      </c>
      <c r="I69" t="s">
        <v>24</v>
      </c>
      <c r="J69">
        <v>156</v>
      </c>
      <c r="K69">
        <v>1269</v>
      </c>
      <c r="L69">
        <v>4</v>
      </c>
      <c r="M69">
        <f>COUNTIF(H69:$H$2581,H69)</f>
        <v>3</v>
      </c>
    </row>
    <row r="70" spans="1:13" x14ac:dyDescent="0.2">
      <c r="A70">
        <v>1285</v>
      </c>
      <c r="B70" t="s">
        <v>1221</v>
      </c>
      <c r="C70" t="s">
        <v>4435</v>
      </c>
      <c r="D70" t="s">
        <v>13</v>
      </c>
      <c r="E70" t="s">
        <v>4436</v>
      </c>
      <c r="F70" t="s">
        <v>1224</v>
      </c>
      <c r="G70" t="s">
        <v>4437</v>
      </c>
      <c r="H70" t="s">
        <v>949</v>
      </c>
      <c r="I70" t="b">
        <v>1</v>
      </c>
      <c r="J70">
        <v>158</v>
      </c>
      <c r="K70">
        <v>1286</v>
      </c>
      <c r="L70">
        <v>4</v>
      </c>
      <c r="M70">
        <f>COUNTIF(H70:$H$2581,H70)</f>
        <v>1</v>
      </c>
    </row>
    <row r="71" spans="1:13" x14ac:dyDescent="0.2">
      <c r="A71">
        <v>1292</v>
      </c>
      <c r="B71" t="s">
        <v>1679</v>
      </c>
      <c r="C71" t="s">
        <v>4438</v>
      </c>
      <c r="D71" t="s">
        <v>13</v>
      </c>
      <c r="E71" t="s">
        <v>4439</v>
      </c>
      <c r="F71" t="s">
        <v>1682</v>
      </c>
      <c r="G71" t="s">
        <v>4440</v>
      </c>
      <c r="H71" t="s">
        <v>953</v>
      </c>
      <c r="I71" t="b">
        <v>1</v>
      </c>
      <c r="J71">
        <v>159</v>
      </c>
      <c r="K71">
        <v>1293</v>
      </c>
      <c r="L71">
        <v>4</v>
      </c>
      <c r="M71">
        <f>COUNTIF(H71:$H$2581,H71)</f>
        <v>2</v>
      </c>
    </row>
    <row r="72" spans="1:13" x14ac:dyDescent="0.2">
      <c r="A72">
        <v>1305</v>
      </c>
      <c r="B72" t="s">
        <v>277</v>
      </c>
      <c r="C72" t="s">
        <v>4441</v>
      </c>
      <c r="D72" t="s">
        <v>54</v>
      </c>
      <c r="E72" t="s">
        <v>4442</v>
      </c>
      <c r="F72" t="s">
        <v>280</v>
      </c>
      <c r="G72" t="s">
        <v>4443</v>
      </c>
      <c r="H72" t="s">
        <v>962</v>
      </c>
      <c r="I72" t="s">
        <v>24</v>
      </c>
      <c r="J72">
        <v>160</v>
      </c>
      <c r="K72">
        <v>1306</v>
      </c>
      <c r="L72">
        <v>4</v>
      </c>
      <c r="M72">
        <f>COUNTIF(H72:$H$2581,H72)</f>
        <v>1</v>
      </c>
    </row>
    <row r="73" spans="1:13" x14ac:dyDescent="0.2">
      <c r="A73">
        <v>1313</v>
      </c>
      <c r="B73" t="s">
        <v>1915</v>
      </c>
      <c r="C73" t="s">
        <v>4444</v>
      </c>
      <c r="D73" t="s">
        <v>13</v>
      </c>
      <c r="E73" t="s">
        <v>4445</v>
      </c>
      <c r="F73" t="s">
        <v>1918</v>
      </c>
      <c r="G73" t="s">
        <v>4446</v>
      </c>
      <c r="H73" t="s">
        <v>968</v>
      </c>
      <c r="I73" t="s">
        <v>24</v>
      </c>
      <c r="J73">
        <v>161</v>
      </c>
      <c r="K73">
        <v>1314</v>
      </c>
      <c r="L73">
        <v>4</v>
      </c>
      <c r="M73">
        <f>COUNTIF(H73:$H$2581,H73)</f>
        <v>1</v>
      </c>
    </row>
    <row r="74" spans="1:13" x14ac:dyDescent="0.2">
      <c r="A74">
        <v>7</v>
      </c>
      <c r="B74" t="s">
        <v>449</v>
      </c>
      <c r="C74" t="s">
        <v>6022</v>
      </c>
      <c r="D74" t="s">
        <v>54</v>
      </c>
      <c r="E74" t="s">
        <v>6480</v>
      </c>
      <c r="F74" t="s">
        <v>452</v>
      </c>
      <c r="G74" t="s">
        <v>6481</v>
      </c>
      <c r="H74" t="s">
        <v>974</v>
      </c>
      <c r="I74" t="s">
        <v>24</v>
      </c>
      <c r="J74">
        <v>2</v>
      </c>
      <c r="K74">
        <v>8</v>
      </c>
      <c r="L74">
        <v>7</v>
      </c>
      <c r="M74">
        <f>COUNTIF(H74:$H$2581,H74)</f>
        <v>1</v>
      </c>
    </row>
    <row r="75" spans="1:13" x14ac:dyDescent="0.2">
      <c r="A75">
        <v>1330</v>
      </c>
      <c r="B75" t="s">
        <v>2235</v>
      </c>
      <c r="C75" t="s">
        <v>4447</v>
      </c>
      <c r="D75" t="s">
        <v>54</v>
      </c>
      <c r="E75" t="s">
        <v>4448</v>
      </c>
      <c r="F75" t="s">
        <v>2238</v>
      </c>
      <c r="G75" t="s">
        <v>4449</v>
      </c>
      <c r="H75" t="s">
        <v>980</v>
      </c>
      <c r="I75" t="b">
        <v>0</v>
      </c>
      <c r="J75">
        <v>163</v>
      </c>
      <c r="K75">
        <v>1331</v>
      </c>
      <c r="L75">
        <v>4</v>
      </c>
      <c r="M75">
        <f>COUNTIF(H75:$H$2581,H75)</f>
        <v>2</v>
      </c>
    </row>
    <row r="76" spans="1:13" x14ac:dyDescent="0.2">
      <c r="A76">
        <v>46</v>
      </c>
      <c r="B76" t="s">
        <v>2199</v>
      </c>
      <c r="C76" t="s">
        <v>6483</v>
      </c>
      <c r="D76" t="s">
        <v>54</v>
      </c>
      <c r="E76" t="s">
        <v>6484</v>
      </c>
      <c r="F76" t="s">
        <v>2202</v>
      </c>
      <c r="G76" t="s">
        <v>6485</v>
      </c>
      <c r="H76" t="s">
        <v>989</v>
      </c>
      <c r="I76" t="s">
        <v>24</v>
      </c>
      <c r="J76">
        <v>7</v>
      </c>
      <c r="K76">
        <v>47</v>
      </c>
      <c r="L76">
        <v>7</v>
      </c>
      <c r="M76">
        <f>COUNTIF(H76:$H$2581,H76)</f>
        <v>1</v>
      </c>
    </row>
    <row r="77" spans="1:13" x14ac:dyDescent="0.2">
      <c r="A77">
        <v>1331</v>
      </c>
      <c r="B77" t="s">
        <v>2235</v>
      </c>
      <c r="C77" t="s">
        <v>4450</v>
      </c>
      <c r="D77" t="s">
        <v>13</v>
      </c>
      <c r="E77" t="s">
        <v>4451</v>
      </c>
      <c r="F77" t="s">
        <v>2238</v>
      </c>
      <c r="G77" t="s">
        <v>4452</v>
      </c>
      <c r="H77" t="s">
        <v>995</v>
      </c>
      <c r="I77" t="b">
        <v>0</v>
      </c>
      <c r="J77">
        <v>163</v>
      </c>
      <c r="K77">
        <v>1332</v>
      </c>
      <c r="L77">
        <v>4</v>
      </c>
      <c r="M77">
        <f>COUNTIF(H77:$H$2581,H77)</f>
        <v>4</v>
      </c>
    </row>
    <row r="78" spans="1:13" x14ac:dyDescent="0.2">
      <c r="A78">
        <v>249</v>
      </c>
      <c r="B78" t="s">
        <v>1849</v>
      </c>
      <c r="C78" t="s">
        <v>6486</v>
      </c>
      <c r="D78" t="s">
        <v>33</v>
      </c>
      <c r="E78" t="s">
        <v>6487</v>
      </c>
      <c r="F78" t="s">
        <v>1852</v>
      </c>
      <c r="G78" t="s">
        <v>6488</v>
      </c>
      <c r="H78" t="s">
        <v>1014</v>
      </c>
      <c r="I78" t="b">
        <v>0</v>
      </c>
      <c r="J78">
        <v>41</v>
      </c>
      <c r="K78">
        <v>250</v>
      </c>
      <c r="L78">
        <v>7</v>
      </c>
      <c r="M78">
        <f>COUNTIF(H78:$H$2581,H78)</f>
        <v>1</v>
      </c>
    </row>
    <row r="79" spans="1:13" x14ac:dyDescent="0.2">
      <c r="A79">
        <v>1332</v>
      </c>
      <c r="B79" t="s">
        <v>2235</v>
      </c>
      <c r="C79" t="s">
        <v>4453</v>
      </c>
      <c r="D79" t="s">
        <v>33</v>
      </c>
      <c r="E79" t="s">
        <v>4454</v>
      </c>
      <c r="F79" t="s">
        <v>2238</v>
      </c>
      <c r="G79" t="s">
        <v>4455</v>
      </c>
      <c r="H79" t="s">
        <v>1018</v>
      </c>
      <c r="I79" t="b">
        <v>0</v>
      </c>
      <c r="J79">
        <v>163</v>
      </c>
      <c r="K79">
        <v>1333</v>
      </c>
      <c r="L79">
        <v>4</v>
      </c>
      <c r="M79">
        <f>COUNTIF(H79:$H$2581,H79)</f>
        <v>3</v>
      </c>
    </row>
    <row r="80" spans="1:13" x14ac:dyDescent="0.2">
      <c r="A80">
        <v>250</v>
      </c>
      <c r="B80" t="s">
        <v>1849</v>
      </c>
      <c r="C80" t="s">
        <v>6489</v>
      </c>
      <c r="D80" t="s">
        <v>13</v>
      </c>
      <c r="E80" t="s">
        <v>6490</v>
      </c>
      <c r="F80" t="s">
        <v>1852</v>
      </c>
      <c r="G80" t="s">
        <v>6491</v>
      </c>
      <c r="H80" t="s">
        <v>1034</v>
      </c>
      <c r="I80" t="b">
        <v>0</v>
      </c>
      <c r="J80">
        <v>41</v>
      </c>
      <c r="K80">
        <v>251</v>
      </c>
      <c r="L80">
        <v>7</v>
      </c>
      <c r="M80">
        <f>COUNTIF(H80:$H$2581,H80)</f>
        <v>1</v>
      </c>
    </row>
    <row r="81" spans="1:13" x14ac:dyDescent="0.2">
      <c r="A81">
        <v>1399</v>
      </c>
      <c r="B81" t="s">
        <v>170</v>
      </c>
      <c r="C81" t="s">
        <v>4456</v>
      </c>
      <c r="D81" t="s">
        <v>13</v>
      </c>
      <c r="E81" t="s">
        <v>4457</v>
      </c>
      <c r="F81" t="s">
        <v>173</v>
      </c>
      <c r="G81" t="s">
        <v>4458</v>
      </c>
      <c r="H81" t="s">
        <v>1038</v>
      </c>
      <c r="I81" t="b">
        <v>1</v>
      </c>
      <c r="J81">
        <v>168</v>
      </c>
      <c r="K81">
        <v>1400</v>
      </c>
      <c r="L81">
        <v>4</v>
      </c>
      <c r="M81">
        <f>COUNTIF(H81:$H$2581,H81)</f>
        <v>1</v>
      </c>
    </row>
    <row r="82" spans="1:13" x14ac:dyDescent="0.2">
      <c r="A82">
        <v>264</v>
      </c>
      <c r="B82" t="s">
        <v>1503</v>
      </c>
      <c r="C82" t="s">
        <v>6492</v>
      </c>
      <c r="D82" t="s">
        <v>33</v>
      </c>
      <c r="E82" t="s">
        <v>6493</v>
      </c>
      <c r="F82" t="s">
        <v>1506</v>
      </c>
      <c r="G82" t="s">
        <v>6494</v>
      </c>
      <c r="H82" t="s">
        <v>1044</v>
      </c>
      <c r="I82" t="b">
        <v>0</v>
      </c>
      <c r="J82">
        <v>42</v>
      </c>
      <c r="K82">
        <v>265</v>
      </c>
      <c r="L82">
        <v>7</v>
      </c>
      <c r="M82">
        <f>COUNTIF(H82:$H$2581,H82)</f>
        <v>9</v>
      </c>
    </row>
    <row r="83" spans="1:13" x14ac:dyDescent="0.2">
      <c r="A83">
        <v>1411</v>
      </c>
      <c r="B83" t="s">
        <v>1397</v>
      </c>
      <c r="C83" t="s">
        <v>4459</v>
      </c>
      <c r="D83" t="s">
        <v>13</v>
      </c>
      <c r="E83" t="s">
        <v>4460</v>
      </c>
      <c r="F83" t="s">
        <v>1400</v>
      </c>
      <c r="G83" t="s">
        <v>4461</v>
      </c>
      <c r="H83" t="s">
        <v>1080</v>
      </c>
      <c r="I83" t="b">
        <v>1</v>
      </c>
      <c r="J83">
        <v>169</v>
      </c>
      <c r="K83">
        <v>1412</v>
      </c>
      <c r="L83">
        <v>4</v>
      </c>
      <c r="M83">
        <f>COUNTIF(H83:$H$2581,H83)</f>
        <v>1</v>
      </c>
    </row>
    <row r="84" spans="1:13" x14ac:dyDescent="0.2">
      <c r="A84">
        <v>347</v>
      </c>
      <c r="B84" t="s">
        <v>455</v>
      </c>
      <c r="C84" t="s">
        <v>6495</v>
      </c>
      <c r="D84" t="s">
        <v>13</v>
      </c>
      <c r="E84" t="s">
        <v>6496</v>
      </c>
      <c r="F84" t="s">
        <v>458</v>
      </c>
      <c r="G84" t="s">
        <v>6497</v>
      </c>
      <c r="H84" t="s">
        <v>1084</v>
      </c>
      <c r="I84" t="b">
        <v>0</v>
      </c>
      <c r="J84">
        <v>49</v>
      </c>
      <c r="K84">
        <v>348</v>
      </c>
      <c r="L84">
        <v>7</v>
      </c>
      <c r="M84">
        <f>COUNTIF(H84:$H$2581,H84)</f>
        <v>1</v>
      </c>
    </row>
    <row r="85" spans="1:13" x14ac:dyDescent="0.2">
      <c r="A85">
        <v>1424</v>
      </c>
      <c r="B85" t="s">
        <v>4462</v>
      </c>
      <c r="C85" t="s">
        <v>4463</v>
      </c>
      <c r="D85" t="s">
        <v>13</v>
      </c>
      <c r="E85" t="s">
        <v>4464</v>
      </c>
      <c r="F85" t="s">
        <v>4465</v>
      </c>
      <c r="G85" t="s">
        <v>4466</v>
      </c>
      <c r="H85" t="s">
        <v>1090</v>
      </c>
      <c r="I85" t="s">
        <v>24</v>
      </c>
      <c r="J85">
        <v>171</v>
      </c>
      <c r="K85">
        <v>1425</v>
      </c>
      <c r="L85">
        <v>4</v>
      </c>
      <c r="M85">
        <f>COUNTIF(H85:$H$2581,H85)</f>
        <v>1</v>
      </c>
    </row>
    <row r="86" spans="1:13" x14ac:dyDescent="0.2">
      <c r="A86">
        <v>363</v>
      </c>
      <c r="B86" t="s">
        <v>975</v>
      </c>
      <c r="C86" t="s">
        <v>6498</v>
      </c>
      <c r="D86" t="s">
        <v>13</v>
      </c>
      <c r="E86" t="s">
        <v>6499</v>
      </c>
      <c r="F86" s="1" t="s">
        <v>978</v>
      </c>
      <c r="G86" t="s">
        <v>6500</v>
      </c>
      <c r="H86" t="s">
        <v>1096</v>
      </c>
      <c r="I86" t="b">
        <v>1</v>
      </c>
      <c r="J86">
        <v>50</v>
      </c>
      <c r="K86">
        <v>364</v>
      </c>
      <c r="L86">
        <v>7</v>
      </c>
      <c r="M86">
        <f>COUNTIF(H86:$H$2581,H86)</f>
        <v>1</v>
      </c>
    </row>
    <row r="87" spans="1:13" x14ac:dyDescent="0.2">
      <c r="A87">
        <v>1429</v>
      </c>
      <c r="B87" t="s">
        <v>3029</v>
      </c>
      <c r="C87" t="s">
        <v>4467</v>
      </c>
      <c r="D87" t="s">
        <v>13</v>
      </c>
      <c r="E87" t="s">
        <v>4468</v>
      </c>
      <c r="F87" t="s">
        <v>3032</v>
      </c>
      <c r="G87" t="s">
        <v>4469</v>
      </c>
      <c r="H87" t="s">
        <v>1102</v>
      </c>
      <c r="I87" t="s">
        <v>24</v>
      </c>
      <c r="J87">
        <v>172</v>
      </c>
      <c r="K87">
        <v>1430</v>
      </c>
      <c r="L87">
        <v>4</v>
      </c>
      <c r="M87">
        <f>COUNTIF(H87:$H$2581,H87)</f>
        <v>2</v>
      </c>
    </row>
    <row r="88" spans="1:13" x14ac:dyDescent="0.2">
      <c r="A88">
        <v>374</v>
      </c>
      <c r="B88" t="s">
        <v>2099</v>
      </c>
      <c r="C88" t="s">
        <v>6501</v>
      </c>
      <c r="D88" t="s">
        <v>54</v>
      </c>
      <c r="E88" t="s">
        <v>6502</v>
      </c>
      <c r="F88" t="s">
        <v>2102</v>
      </c>
      <c r="G88" t="s">
        <v>6503</v>
      </c>
      <c r="H88" t="s">
        <v>1111</v>
      </c>
      <c r="I88" t="b">
        <v>0</v>
      </c>
      <c r="J88">
        <v>51</v>
      </c>
      <c r="K88">
        <v>375</v>
      </c>
      <c r="L88">
        <v>7</v>
      </c>
      <c r="M88">
        <f>COUNTIF(H88:$H$2581,H88)</f>
        <v>3</v>
      </c>
    </row>
    <row r="89" spans="1:13" x14ac:dyDescent="0.2">
      <c r="A89">
        <v>1446</v>
      </c>
      <c r="B89" t="s">
        <v>2882</v>
      </c>
      <c r="C89" t="s">
        <v>4470</v>
      </c>
      <c r="D89" t="s">
        <v>13</v>
      </c>
      <c r="E89" t="s">
        <v>4471</v>
      </c>
      <c r="F89" t="s">
        <v>2885</v>
      </c>
      <c r="G89" t="s">
        <v>4472</v>
      </c>
      <c r="H89" t="s">
        <v>1125</v>
      </c>
      <c r="I89" t="b">
        <v>1</v>
      </c>
      <c r="J89">
        <v>175</v>
      </c>
      <c r="K89">
        <v>1447</v>
      </c>
      <c r="L89">
        <v>4</v>
      </c>
      <c r="M89">
        <f>COUNTIF(H89:$H$2581,H89)</f>
        <v>3</v>
      </c>
    </row>
    <row r="90" spans="1:13" x14ac:dyDescent="0.2">
      <c r="A90">
        <v>416</v>
      </c>
      <c r="B90" t="s">
        <v>1857</v>
      </c>
      <c r="C90" t="s">
        <v>6504</v>
      </c>
      <c r="D90" t="s">
        <v>13</v>
      </c>
      <c r="E90" t="s">
        <v>6505</v>
      </c>
      <c r="F90" t="s">
        <v>1860</v>
      </c>
      <c r="G90" t="s">
        <v>6506</v>
      </c>
      <c r="H90" t="s">
        <v>1139</v>
      </c>
      <c r="I90" t="s">
        <v>24</v>
      </c>
      <c r="J90">
        <v>60</v>
      </c>
      <c r="K90">
        <v>417</v>
      </c>
      <c r="L90">
        <v>7</v>
      </c>
      <c r="M90">
        <f>COUNTIF(H90:$H$2581,H90)</f>
        <v>1</v>
      </c>
    </row>
    <row r="91" spans="1:13" x14ac:dyDescent="0.2">
      <c r="A91">
        <v>1466</v>
      </c>
      <c r="B91" t="s">
        <v>736</v>
      </c>
      <c r="C91" t="s">
        <v>4473</v>
      </c>
      <c r="D91" t="s">
        <v>13</v>
      </c>
      <c r="E91" t="s">
        <v>4474</v>
      </c>
      <c r="F91" t="s">
        <v>739</v>
      </c>
      <c r="G91" t="s">
        <v>4475</v>
      </c>
      <c r="H91" t="s">
        <v>1143</v>
      </c>
      <c r="I91" t="s">
        <v>24</v>
      </c>
      <c r="J91">
        <v>178</v>
      </c>
      <c r="K91">
        <v>1467</v>
      </c>
      <c r="L91">
        <v>4</v>
      </c>
      <c r="M91">
        <f>COUNTIF(H91:$H$2581,H91)</f>
        <v>2</v>
      </c>
    </row>
    <row r="92" spans="1:13" x14ac:dyDescent="0.2">
      <c r="A92">
        <v>425</v>
      </c>
      <c r="B92" t="s">
        <v>1634</v>
      </c>
      <c r="C92" t="s">
        <v>6507</v>
      </c>
      <c r="D92" t="s">
        <v>13</v>
      </c>
      <c r="E92" t="s">
        <v>6508</v>
      </c>
      <c r="F92" t="s">
        <v>1637</v>
      </c>
      <c r="G92" t="s">
        <v>6509</v>
      </c>
      <c r="H92" t="s">
        <v>1152</v>
      </c>
      <c r="I92" t="s">
        <v>24</v>
      </c>
      <c r="J92">
        <v>62</v>
      </c>
      <c r="K92">
        <v>426</v>
      </c>
      <c r="L92">
        <v>7</v>
      </c>
      <c r="M92">
        <f>COUNTIF(H92:$H$2581,H92)</f>
        <v>1</v>
      </c>
    </row>
    <row r="93" spans="1:13" x14ac:dyDescent="0.2">
      <c r="A93">
        <v>1473</v>
      </c>
      <c r="B93" t="s">
        <v>3587</v>
      </c>
      <c r="C93" t="s">
        <v>4476</v>
      </c>
      <c r="D93" t="s">
        <v>13</v>
      </c>
      <c r="E93" t="s">
        <v>4477</v>
      </c>
      <c r="F93" t="s">
        <v>3590</v>
      </c>
      <c r="G93" t="s">
        <v>4478</v>
      </c>
      <c r="H93" t="s">
        <v>1156</v>
      </c>
      <c r="I93" t="s">
        <v>24</v>
      </c>
      <c r="J93">
        <v>179</v>
      </c>
      <c r="K93">
        <v>1474</v>
      </c>
      <c r="L93">
        <v>4</v>
      </c>
      <c r="M93">
        <f>COUNTIF(H93:$H$2581,H93)</f>
        <v>2</v>
      </c>
    </row>
    <row r="94" spans="1:13" x14ac:dyDescent="0.2">
      <c r="A94">
        <v>449</v>
      </c>
      <c r="B94" t="s">
        <v>778</v>
      </c>
      <c r="C94" t="s">
        <v>6510</v>
      </c>
      <c r="D94" t="s">
        <v>13</v>
      </c>
      <c r="E94" t="s">
        <v>6511</v>
      </c>
      <c r="F94" t="s">
        <v>781</v>
      </c>
      <c r="G94" t="s">
        <v>6512</v>
      </c>
      <c r="H94" t="s">
        <v>1165</v>
      </c>
      <c r="I94" t="b">
        <v>0</v>
      </c>
      <c r="J94">
        <v>64</v>
      </c>
      <c r="K94">
        <v>450</v>
      </c>
      <c r="L94">
        <v>7</v>
      </c>
      <c r="M94">
        <f>COUNTIF(H94:$H$2581,H94)</f>
        <v>1</v>
      </c>
    </row>
    <row r="95" spans="1:13" x14ac:dyDescent="0.2">
      <c r="A95">
        <v>53</v>
      </c>
      <c r="B95" t="s">
        <v>1357</v>
      </c>
      <c r="C95" t="s">
        <v>3481</v>
      </c>
      <c r="D95" t="s">
        <v>13</v>
      </c>
      <c r="E95" t="s">
        <v>3482</v>
      </c>
      <c r="F95" t="s">
        <v>1360</v>
      </c>
      <c r="G95" t="s">
        <v>3483</v>
      </c>
      <c r="H95" t="s">
        <v>1169</v>
      </c>
      <c r="I95" t="b">
        <v>0</v>
      </c>
      <c r="J95">
        <v>8</v>
      </c>
      <c r="K95">
        <v>54</v>
      </c>
      <c r="L95">
        <v>39</v>
      </c>
      <c r="M95">
        <f>COUNTIF(H95:$H$2581,H95)</f>
        <v>1</v>
      </c>
    </row>
    <row r="96" spans="1:13" x14ac:dyDescent="0.2">
      <c r="A96">
        <v>1479</v>
      </c>
      <c r="B96" t="s">
        <v>1773</v>
      </c>
      <c r="C96" t="s">
        <v>4479</v>
      </c>
      <c r="D96" t="s">
        <v>54</v>
      </c>
      <c r="E96" t="s">
        <v>4480</v>
      </c>
      <c r="F96" t="s">
        <v>1776</v>
      </c>
      <c r="G96" t="s">
        <v>4481</v>
      </c>
      <c r="H96" t="s">
        <v>1175</v>
      </c>
      <c r="I96" t="b">
        <v>0</v>
      </c>
      <c r="J96">
        <v>180</v>
      </c>
      <c r="K96">
        <v>1480</v>
      </c>
      <c r="L96">
        <v>4</v>
      </c>
      <c r="M96">
        <f>COUNTIF(H96:$H$2581,H96)</f>
        <v>1</v>
      </c>
    </row>
    <row r="97" spans="1:13" x14ac:dyDescent="0.2">
      <c r="A97">
        <v>474</v>
      </c>
      <c r="B97" t="s">
        <v>928</v>
      </c>
      <c r="C97" t="s">
        <v>6513</v>
      </c>
      <c r="D97" t="s">
        <v>13</v>
      </c>
      <c r="E97" t="s">
        <v>6514</v>
      </c>
      <c r="F97" t="s">
        <v>931</v>
      </c>
      <c r="G97" t="s">
        <v>6515</v>
      </c>
      <c r="H97" t="s">
        <v>1179</v>
      </c>
      <c r="I97" t="b">
        <v>0</v>
      </c>
      <c r="J97">
        <v>67</v>
      </c>
      <c r="K97">
        <v>475</v>
      </c>
      <c r="L97">
        <v>7</v>
      </c>
      <c r="M97">
        <f>COUNTIF(H97:$H$2581,H97)</f>
        <v>1</v>
      </c>
    </row>
    <row r="98" spans="1:13" x14ac:dyDescent="0.2">
      <c r="A98">
        <v>75</v>
      </c>
      <c r="B98" t="s">
        <v>1424</v>
      </c>
      <c r="C98" t="s">
        <v>3485</v>
      </c>
      <c r="D98" t="s">
        <v>54</v>
      </c>
      <c r="E98" t="s">
        <v>3486</v>
      </c>
      <c r="F98" t="s">
        <v>1427</v>
      </c>
      <c r="G98" t="s">
        <v>3487</v>
      </c>
      <c r="H98" t="s">
        <v>1185</v>
      </c>
      <c r="I98" t="b">
        <v>1</v>
      </c>
      <c r="J98">
        <v>12</v>
      </c>
      <c r="K98">
        <v>76</v>
      </c>
      <c r="L98">
        <v>39</v>
      </c>
      <c r="M98">
        <f>COUNTIF(H98:$H$2581,H98)</f>
        <v>1</v>
      </c>
    </row>
    <row r="99" spans="1:13" x14ac:dyDescent="0.2">
      <c r="A99">
        <v>1535</v>
      </c>
      <c r="B99" t="s">
        <v>466</v>
      </c>
      <c r="C99" t="s">
        <v>4482</v>
      </c>
      <c r="D99" t="s">
        <v>54</v>
      </c>
      <c r="E99" t="s">
        <v>4483</v>
      </c>
      <c r="F99" t="s">
        <v>469</v>
      </c>
      <c r="G99" t="s">
        <v>4484</v>
      </c>
      <c r="H99" t="s">
        <v>1191</v>
      </c>
      <c r="I99" t="s">
        <v>24</v>
      </c>
      <c r="J99">
        <v>187</v>
      </c>
      <c r="K99">
        <v>1536</v>
      </c>
      <c r="L99">
        <v>4</v>
      </c>
      <c r="M99">
        <f>COUNTIF(H99:$H$2581,H99)</f>
        <v>1</v>
      </c>
    </row>
    <row r="100" spans="1:13" x14ac:dyDescent="0.2">
      <c r="A100">
        <v>490</v>
      </c>
      <c r="B100" t="s">
        <v>182</v>
      </c>
      <c r="C100" t="s">
        <v>6516</v>
      </c>
      <c r="D100" t="s">
        <v>13</v>
      </c>
      <c r="E100" t="s">
        <v>6517</v>
      </c>
      <c r="F100" t="s">
        <v>185</v>
      </c>
      <c r="G100" t="s">
        <v>6518</v>
      </c>
      <c r="H100" t="s">
        <v>1197</v>
      </c>
      <c r="I100" t="b">
        <v>1</v>
      </c>
      <c r="J100">
        <v>69</v>
      </c>
      <c r="K100">
        <v>491</v>
      </c>
      <c r="L100">
        <v>7</v>
      </c>
      <c r="M100">
        <f>COUNTIF(H100:$H$2581,H100)</f>
        <v>4</v>
      </c>
    </row>
    <row r="101" spans="1:13" x14ac:dyDescent="0.2">
      <c r="A101">
        <v>92</v>
      </c>
      <c r="B101" t="s">
        <v>311</v>
      </c>
      <c r="C101" t="s">
        <v>3488</v>
      </c>
      <c r="D101" t="s">
        <v>54</v>
      </c>
      <c r="E101" t="s">
        <v>3489</v>
      </c>
      <c r="F101" s="1" t="s">
        <v>314</v>
      </c>
      <c r="G101" t="s">
        <v>3490</v>
      </c>
      <c r="H101" t="s">
        <v>1214</v>
      </c>
      <c r="I101" t="s">
        <v>24</v>
      </c>
      <c r="J101">
        <v>14</v>
      </c>
      <c r="K101">
        <v>93</v>
      </c>
      <c r="L101">
        <v>39</v>
      </c>
      <c r="M101">
        <f>COUNTIF(H101:$H$2581,H101)</f>
        <v>1</v>
      </c>
    </row>
    <row r="102" spans="1:13" x14ac:dyDescent="0.2">
      <c r="A102">
        <v>1547</v>
      </c>
      <c r="B102" t="s">
        <v>282</v>
      </c>
      <c r="C102" t="s">
        <v>4485</v>
      </c>
      <c r="D102" t="s">
        <v>13</v>
      </c>
      <c r="E102" t="s">
        <v>4486</v>
      </c>
      <c r="F102" t="s">
        <v>285</v>
      </c>
      <c r="G102" t="s">
        <v>4487</v>
      </c>
      <c r="H102" t="s">
        <v>1220</v>
      </c>
      <c r="I102" t="b">
        <v>0</v>
      </c>
      <c r="J102">
        <v>188</v>
      </c>
      <c r="K102">
        <v>1548</v>
      </c>
      <c r="L102">
        <v>4</v>
      </c>
      <c r="M102">
        <f>COUNTIF(H102:$H$2581,H102)</f>
        <v>2</v>
      </c>
    </row>
    <row r="103" spans="1:13" x14ac:dyDescent="0.2">
      <c r="A103">
        <v>31</v>
      </c>
      <c r="B103" t="s">
        <v>2448</v>
      </c>
      <c r="C103" t="s">
        <v>5678</v>
      </c>
      <c r="D103" t="s">
        <v>54</v>
      </c>
      <c r="E103" t="s">
        <v>5679</v>
      </c>
      <c r="F103" t="s">
        <v>2451</v>
      </c>
      <c r="G103" t="s">
        <v>5680</v>
      </c>
      <c r="H103" t="s">
        <v>1229</v>
      </c>
      <c r="I103" t="s">
        <v>24</v>
      </c>
      <c r="J103">
        <v>6</v>
      </c>
      <c r="K103">
        <v>32</v>
      </c>
      <c r="L103">
        <v>25</v>
      </c>
      <c r="M103">
        <f>COUNTIF(H103:$H$2581,H103)</f>
        <v>1</v>
      </c>
    </row>
    <row r="104" spans="1:13" x14ac:dyDescent="0.2">
      <c r="A104">
        <v>527</v>
      </c>
      <c r="B104" t="s">
        <v>881</v>
      </c>
      <c r="C104" t="s">
        <v>6519</v>
      </c>
      <c r="D104" t="s">
        <v>13</v>
      </c>
      <c r="E104" t="s">
        <v>6520</v>
      </c>
      <c r="F104" t="s">
        <v>884</v>
      </c>
      <c r="G104" t="s">
        <v>6521</v>
      </c>
      <c r="H104" t="s">
        <v>1233</v>
      </c>
      <c r="I104" t="s">
        <v>24</v>
      </c>
      <c r="J104">
        <v>77</v>
      </c>
      <c r="K104">
        <v>528</v>
      </c>
      <c r="L104">
        <v>7</v>
      </c>
      <c r="M104">
        <f>COUNTIF(H104:$H$2581,H104)</f>
        <v>3</v>
      </c>
    </row>
    <row r="105" spans="1:13" x14ac:dyDescent="0.2">
      <c r="A105">
        <v>111</v>
      </c>
      <c r="B105" t="s">
        <v>42</v>
      </c>
      <c r="C105" t="s">
        <v>3491</v>
      </c>
      <c r="D105" t="s">
        <v>13</v>
      </c>
      <c r="E105" t="s">
        <v>3492</v>
      </c>
      <c r="F105" t="s">
        <v>45</v>
      </c>
      <c r="G105" t="s">
        <v>3493</v>
      </c>
      <c r="H105" t="s">
        <v>1243</v>
      </c>
      <c r="I105" t="b">
        <v>1</v>
      </c>
      <c r="J105">
        <v>19</v>
      </c>
      <c r="K105">
        <v>112</v>
      </c>
      <c r="L105">
        <v>39</v>
      </c>
      <c r="M105">
        <f>COUNTIF(H105:$H$2581,H105)</f>
        <v>27</v>
      </c>
    </row>
    <row r="106" spans="1:13" x14ac:dyDescent="0.2">
      <c r="A106">
        <v>1552</v>
      </c>
      <c r="B106" t="s">
        <v>4488</v>
      </c>
      <c r="C106" t="s">
        <v>4489</v>
      </c>
      <c r="D106" t="s">
        <v>54</v>
      </c>
      <c r="E106" t="s">
        <v>4490</v>
      </c>
      <c r="F106" t="s">
        <v>4491</v>
      </c>
      <c r="G106" t="s">
        <v>4492</v>
      </c>
      <c r="H106" t="s">
        <v>1343</v>
      </c>
      <c r="I106" t="b">
        <v>0</v>
      </c>
      <c r="J106">
        <v>189</v>
      </c>
      <c r="K106">
        <v>1553</v>
      </c>
      <c r="L106">
        <v>4</v>
      </c>
      <c r="M106">
        <f>COUNTIF(H106:$H$2581,H106)</f>
        <v>1</v>
      </c>
    </row>
    <row r="107" spans="1:13" x14ac:dyDescent="0.2">
      <c r="A107">
        <v>45</v>
      </c>
      <c r="B107" t="s">
        <v>2199</v>
      </c>
      <c r="C107" t="s">
        <v>5682</v>
      </c>
      <c r="D107" t="s">
        <v>13</v>
      </c>
      <c r="E107" t="s">
        <v>5683</v>
      </c>
      <c r="F107" t="s">
        <v>2202</v>
      </c>
      <c r="G107" t="s">
        <v>5684</v>
      </c>
      <c r="H107" t="s">
        <v>1347</v>
      </c>
      <c r="I107" t="s">
        <v>24</v>
      </c>
      <c r="J107">
        <v>7</v>
      </c>
      <c r="K107">
        <v>46</v>
      </c>
      <c r="L107">
        <v>25</v>
      </c>
      <c r="M107">
        <f>COUNTIF(H107:$H$2581,H107)</f>
        <v>4</v>
      </c>
    </row>
    <row r="108" spans="1:13" x14ac:dyDescent="0.2">
      <c r="A108">
        <v>588</v>
      </c>
      <c r="B108" t="s">
        <v>6388</v>
      </c>
      <c r="C108" t="s">
        <v>6522</v>
      </c>
      <c r="D108" t="s">
        <v>33</v>
      </c>
      <c r="E108" t="s">
        <v>6523</v>
      </c>
      <c r="F108" t="s">
        <v>6391</v>
      </c>
      <c r="G108" t="s">
        <v>6524</v>
      </c>
      <c r="H108" t="s">
        <v>1362</v>
      </c>
      <c r="I108" t="b">
        <v>0</v>
      </c>
      <c r="J108">
        <v>88</v>
      </c>
      <c r="K108">
        <v>589</v>
      </c>
      <c r="L108">
        <v>7</v>
      </c>
      <c r="M108">
        <f>COUNTIF(H108:$H$2581,H108)</f>
        <v>13</v>
      </c>
    </row>
    <row r="109" spans="1:13" x14ac:dyDescent="0.2">
      <c r="A109">
        <v>156</v>
      </c>
      <c r="B109" t="s">
        <v>68</v>
      </c>
      <c r="C109" t="s">
        <v>3494</v>
      </c>
      <c r="D109" t="s">
        <v>54</v>
      </c>
      <c r="E109" t="s">
        <v>3495</v>
      </c>
      <c r="F109" t="s">
        <v>71</v>
      </c>
      <c r="G109" t="s">
        <v>3496</v>
      </c>
      <c r="H109" t="s">
        <v>1402</v>
      </c>
      <c r="I109" t="b">
        <v>1</v>
      </c>
      <c r="J109">
        <v>28</v>
      </c>
      <c r="K109">
        <v>157</v>
      </c>
      <c r="L109">
        <v>39</v>
      </c>
      <c r="M109">
        <f>COUNTIF(H109:$H$2581,H109)</f>
        <v>4</v>
      </c>
    </row>
    <row r="110" spans="1:13" x14ac:dyDescent="0.2">
      <c r="A110">
        <v>1575</v>
      </c>
      <c r="B110" t="s">
        <v>744</v>
      </c>
      <c r="C110" t="s">
        <v>4493</v>
      </c>
      <c r="D110" t="s">
        <v>13</v>
      </c>
      <c r="E110" t="s">
        <v>4494</v>
      </c>
      <c r="F110" t="s">
        <v>747</v>
      </c>
      <c r="G110" t="s">
        <v>4495</v>
      </c>
      <c r="H110" t="s">
        <v>1419</v>
      </c>
      <c r="I110" t="b">
        <v>0</v>
      </c>
      <c r="J110">
        <v>193</v>
      </c>
      <c r="K110">
        <v>1576</v>
      </c>
      <c r="L110">
        <v>4</v>
      </c>
      <c r="M110">
        <f>COUNTIF(H110:$H$2581,H110)</f>
        <v>1</v>
      </c>
    </row>
    <row r="111" spans="1:13" x14ac:dyDescent="0.2">
      <c r="A111">
        <v>185</v>
      </c>
      <c r="B111" t="s">
        <v>557</v>
      </c>
      <c r="C111" t="s">
        <v>5685</v>
      </c>
      <c r="D111" t="s">
        <v>13</v>
      </c>
      <c r="E111" t="s">
        <v>5686</v>
      </c>
      <c r="F111" t="s">
        <v>560</v>
      </c>
      <c r="G111" t="s">
        <v>5687</v>
      </c>
      <c r="H111" t="s">
        <v>1423</v>
      </c>
      <c r="I111" t="s">
        <v>24</v>
      </c>
      <c r="J111">
        <v>34</v>
      </c>
      <c r="K111">
        <v>186</v>
      </c>
      <c r="L111">
        <v>25</v>
      </c>
      <c r="M111">
        <f>COUNTIF(H111:$H$2581,H111)</f>
        <v>1</v>
      </c>
    </row>
    <row r="112" spans="1:13" x14ac:dyDescent="0.2">
      <c r="A112">
        <v>606</v>
      </c>
      <c r="B112" t="s">
        <v>1097</v>
      </c>
      <c r="C112" t="s">
        <v>6525</v>
      </c>
      <c r="D112" t="s">
        <v>13</v>
      </c>
      <c r="E112" t="s">
        <v>6526</v>
      </c>
      <c r="F112" t="s">
        <v>1100</v>
      </c>
      <c r="G112" t="s">
        <v>6527</v>
      </c>
      <c r="H112" t="s">
        <v>1429</v>
      </c>
      <c r="I112" t="b">
        <v>0</v>
      </c>
      <c r="J112">
        <v>90</v>
      </c>
      <c r="K112">
        <v>607</v>
      </c>
      <c r="L112">
        <v>7</v>
      </c>
      <c r="M112">
        <f>COUNTIF(H112:$H$2581,H112)</f>
        <v>1</v>
      </c>
    </row>
    <row r="113" spans="1:13" x14ac:dyDescent="0.2">
      <c r="A113">
        <v>160</v>
      </c>
      <c r="B113" t="s">
        <v>2035</v>
      </c>
      <c r="C113" t="s">
        <v>3497</v>
      </c>
      <c r="D113" t="s">
        <v>54</v>
      </c>
      <c r="E113" t="s">
        <v>3498</v>
      </c>
      <c r="F113" t="s">
        <v>2038</v>
      </c>
      <c r="G113" t="s">
        <v>3499</v>
      </c>
      <c r="H113" t="s">
        <v>1433</v>
      </c>
      <c r="I113" t="s">
        <v>24</v>
      </c>
      <c r="J113">
        <v>29</v>
      </c>
      <c r="K113">
        <v>161</v>
      </c>
      <c r="L113">
        <v>39</v>
      </c>
      <c r="M113">
        <f>COUNTIF(H113:$H$2581,H113)</f>
        <v>1</v>
      </c>
    </row>
    <row r="114" spans="1:13" x14ac:dyDescent="0.2">
      <c r="A114">
        <v>1625</v>
      </c>
      <c r="B114" t="s">
        <v>720</v>
      </c>
      <c r="C114" t="s">
        <v>4496</v>
      </c>
      <c r="D114" t="s">
        <v>54</v>
      </c>
      <c r="E114" t="s">
        <v>4497</v>
      </c>
      <c r="F114" t="s">
        <v>723</v>
      </c>
      <c r="G114" t="s">
        <v>4498</v>
      </c>
      <c r="H114" t="s">
        <v>1437</v>
      </c>
      <c r="I114" t="b">
        <v>1</v>
      </c>
      <c r="J114">
        <v>197</v>
      </c>
      <c r="K114">
        <v>1626</v>
      </c>
      <c r="L114">
        <v>4</v>
      </c>
      <c r="M114">
        <f>COUNTIF(H114:$H$2581,H114)</f>
        <v>1</v>
      </c>
    </row>
    <row r="115" spans="1:13" x14ac:dyDescent="0.2">
      <c r="A115">
        <v>232</v>
      </c>
      <c r="B115" t="s">
        <v>1120</v>
      </c>
      <c r="C115" t="s">
        <v>5688</v>
      </c>
      <c r="D115" t="s">
        <v>54</v>
      </c>
      <c r="E115" t="s">
        <v>5689</v>
      </c>
      <c r="F115" s="1" t="s">
        <v>1123</v>
      </c>
      <c r="G115" t="s">
        <v>5690</v>
      </c>
      <c r="H115" t="s">
        <v>1441</v>
      </c>
      <c r="I115" t="b">
        <v>0</v>
      </c>
      <c r="J115">
        <v>40</v>
      </c>
      <c r="K115">
        <v>233</v>
      </c>
      <c r="L115">
        <v>25</v>
      </c>
      <c r="M115">
        <f>COUNTIF(H115:$H$2581,H115)</f>
        <v>1</v>
      </c>
    </row>
    <row r="116" spans="1:13" x14ac:dyDescent="0.2">
      <c r="A116">
        <v>661</v>
      </c>
      <c r="B116" t="s">
        <v>2346</v>
      </c>
      <c r="C116" t="s">
        <v>6528</v>
      </c>
      <c r="D116" t="s">
        <v>13</v>
      </c>
      <c r="E116" t="s">
        <v>6529</v>
      </c>
      <c r="F116" t="s">
        <v>2349</v>
      </c>
      <c r="G116" t="s">
        <v>6530</v>
      </c>
      <c r="H116" t="s">
        <v>1445</v>
      </c>
      <c r="I116" t="s">
        <v>24</v>
      </c>
      <c r="J116">
        <v>97</v>
      </c>
      <c r="K116">
        <v>662</v>
      </c>
      <c r="L116">
        <v>7</v>
      </c>
      <c r="M116">
        <f>COUNTIF(H116:$H$2581,H116)</f>
        <v>1</v>
      </c>
    </row>
    <row r="117" spans="1:13" x14ac:dyDescent="0.2">
      <c r="A117">
        <v>11</v>
      </c>
      <c r="B117" t="s">
        <v>1840</v>
      </c>
      <c r="C117" t="s">
        <v>1841</v>
      </c>
      <c r="D117" t="s">
        <v>13</v>
      </c>
      <c r="E117" t="s">
        <v>1842</v>
      </c>
      <c r="F117" t="s">
        <v>1843</v>
      </c>
      <c r="G117" t="s">
        <v>1844</v>
      </c>
      <c r="H117" t="s">
        <v>1449</v>
      </c>
      <c r="I117" t="s">
        <v>24</v>
      </c>
      <c r="J117">
        <v>4</v>
      </c>
      <c r="K117">
        <v>12</v>
      </c>
      <c r="L117">
        <v>10</v>
      </c>
      <c r="M117">
        <f>COUNTIF(H117:$H$2581,H117)</f>
        <v>1</v>
      </c>
    </row>
    <row r="118" spans="1:13" x14ac:dyDescent="0.2">
      <c r="A118">
        <v>164</v>
      </c>
      <c r="B118" t="s">
        <v>335</v>
      </c>
      <c r="C118" t="s">
        <v>3500</v>
      </c>
      <c r="D118" t="s">
        <v>54</v>
      </c>
      <c r="E118" t="s">
        <v>3501</v>
      </c>
      <c r="F118" t="s">
        <v>338</v>
      </c>
      <c r="G118" t="s">
        <v>3502</v>
      </c>
      <c r="H118" t="s">
        <v>1455</v>
      </c>
      <c r="I118" t="s">
        <v>24</v>
      </c>
      <c r="J118">
        <v>30</v>
      </c>
      <c r="K118">
        <v>165</v>
      </c>
      <c r="L118">
        <v>39</v>
      </c>
      <c r="M118">
        <f>COUNTIF(H118:$H$2581,H118)</f>
        <v>5</v>
      </c>
    </row>
    <row r="119" spans="1:13" x14ac:dyDescent="0.2">
      <c r="A119">
        <v>1626</v>
      </c>
      <c r="B119" t="s">
        <v>720</v>
      </c>
      <c r="C119" t="s">
        <v>4499</v>
      </c>
      <c r="D119" t="s">
        <v>33</v>
      </c>
      <c r="E119" t="s">
        <v>4500</v>
      </c>
      <c r="F119" t="s">
        <v>723</v>
      </c>
      <c r="G119" t="s">
        <v>4501</v>
      </c>
      <c r="H119" t="s">
        <v>1477</v>
      </c>
      <c r="I119" t="b">
        <v>1</v>
      </c>
      <c r="J119">
        <v>197</v>
      </c>
      <c r="K119">
        <v>1627</v>
      </c>
      <c r="L119">
        <v>4</v>
      </c>
      <c r="M119">
        <f>COUNTIF(H119:$H$2581,H119)</f>
        <v>1</v>
      </c>
    </row>
    <row r="120" spans="1:13" x14ac:dyDescent="0.2">
      <c r="A120">
        <v>262</v>
      </c>
      <c r="B120" t="s">
        <v>1503</v>
      </c>
      <c r="C120" t="s">
        <v>5691</v>
      </c>
      <c r="D120" t="s">
        <v>33</v>
      </c>
      <c r="E120" t="s">
        <v>5692</v>
      </c>
      <c r="F120" t="s">
        <v>1506</v>
      </c>
      <c r="G120" t="s">
        <v>5693</v>
      </c>
      <c r="H120" t="s">
        <v>1481</v>
      </c>
      <c r="I120" t="b">
        <v>0</v>
      </c>
      <c r="J120">
        <v>42</v>
      </c>
      <c r="K120">
        <v>263</v>
      </c>
      <c r="L120">
        <v>25</v>
      </c>
      <c r="M120">
        <f>COUNTIF(H120:$H$2581,H120)</f>
        <v>2</v>
      </c>
    </row>
    <row r="121" spans="1:13" x14ac:dyDescent="0.2">
      <c r="A121">
        <v>284</v>
      </c>
      <c r="B121" t="s">
        <v>2105</v>
      </c>
      <c r="C121" t="s">
        <v>5850</v>
      </c>
      <c r="D121" t="s">
        <v>13</v>
      </c>
      <c r="E121" t="s">
        <v>5851</v>
      </c>
      <c r="F121" t="s">
        <v>2108</v>
      </c>
      <c r="G121" t="s">
        <v>5852</v>
      </c>
      <c r="H121" t="s">
        <v>1490</v>
      </c>
      <c r="I121" t="s">
        <v>24</v>
      </c>
      <c r="J121">
        <v>44</v>
      </c>
      <c r="K121">
        <v>285</v>
      </c>
      <c r="L121">
        <v>124</v>
      </c>
      <c r="M121">
        <f>COUNTIF(H121:$H$2581,H121)</f>
        <v>1</v>
      </c>
    </row>
    <row r="122" spans="1:13" x14ac:dyDescent="0.2">
      <c r="A122">
        <v>759</v>
      </c>
      <c r="B122" t="s">
        <v>1868</v>
      </c>
      <c r="C122" t="s">
        <v>6531</v>
      </c>
      <c r="D122" t="s">
        <v>13</v>
      </c>
      <c r="E122" t="s">
        <v>6532</v>
      </c>
      <c r="F122" t="s">
        <v>1871</v>
      </c>
      <c r="G122" t="s">
        <v>6533</v>
      </c>
      <c r="H122" t="s">
        <v>1496</v>
      </c>
      <c r="I122" t="s">
        <v>24</v>
      </c>
      <c r="J122">
        <v>107</v>
      </c>
      <c r="K122">
        <v>760</v>
      </c>
      <c r="L122">
        <v>7</v>
      </c>
      <c r="M122">
        <f>COUNTIF(H122:$H$2581,H122)</f>
        <v>1</v>
      </c>
    </row>
    <row r="123" spans="1:13" x14ac:dyDescent="0.2">
      <c r="A123">
        <v>219</v>
      </c>
      <c r="B123" t="s">
        <v>1120</v>
      </c>
      <c r="C123" t="s">
        <v>1846</v>
      </c>
      <c r="D123" t="s">
        <v>13</v>
      </c>
      <c r="E123" t="s">
        <v>1847</v>
      </c>
      <c r="F123" s="1" t="s">
        <v>1123</v>
      </c>
      <c r="G123" t="s">
        <v>1848</v>
      </c>
      <c r="H123" t="s">
        <v>1502</v>
      </c>
      <c r="I123" t="b">
        <v>0</v>
      </c>
      <c r="J123">
        <v>40</v>
      </c>
      <c r="K123">
        <v>220</v>
      </c>
      <c r="L123">
        <v>10</v>
      </c>
      <c r="M123">
        <f>COUNTIF(H123:$H$2581,H123)</f>
        <v>1</v>
      </c>
    </row>
    <row r="124" spans="1:13" x14ac:dyDescent="0.2">
      <c r="A124">
        <v>181</v>
      </c>
      <c r="B124" t="s">
        <v>557</v>
      </c>
      <c r="C124" t="s">
        <v>3503</v>
      </c>
      <c r="D124" t="s">
        <v>13</v>
      </c>
      <c r="E124" t="s">
        <v>3504</v>
      </c>
      <c r="F124" t="s">
        <v>560</v>
      </c>
      <c r="G124" t="s">
        <v>3505</v>
      </c>
      <c r="H124" t="s">
        <v>1508</v>
      </c>
      <c r="I124" t="s">
        <v>24</v>
      </c>
      <c r="J124">
        <v>34</v>
      </c>
      <c r="K124">
        <v>182</v>
      </c>
      <c r="L124">
        <v>39</v>
      </c>
      <c r="M124">
        <f>COUNTIF(H124:$H$2581,H124)</f>
        <v>3</v>
      </c>
    </row>
    <row r="125" spans="1:13" x14ac:dyDescent="0.2">
      <c r="A125">
        <v>1661</v>
      </c>
      <c r="B125" t="s">
        <v>287</v>
      </c>
      <c r="C125" t="s">
        <v>4502</v>
      </c>
      <c r="D125" t="s">
        <v>13</v>
      </c>
      <c r="E125" t="s">
        <v>4503</v>
      </c>
      <c r="F125" t="s">
        <v>290</v>
      </c>
      <c r="G125" t="s">
        <v>4504</v>
      </c>
      <c r="H125" t="s">
        <v>1522</v>
      </c>
      <c r="I125" t="b">
        <v>0</v>
      </c>
      <c r="J125">
        <v>200</v>
      </c>
      <c r="K125">
        <v>1662</v>
      </c>
      <c r="L125">
        <v>4</v>
      </c>
      <c r="M125">
        <f>COUNTIF(H125:$H$2581,H125)</f>
        <v>1</v>
      </c>
    </row>
    <row r="126" spans="1:13" x14ac:dyDescent="0.2">
      <c r="A126">
        <v>272</v>
      </c>
      <c r="B126" t="s">
        <v>1126</v>
      </c>
      <c r="C126" t="s">
        <v>5694</v>
      </c>
      <c r="D126" t="s">
        <v>33</v>
      </c>
      <c r="E126" t="s">
        <v>5695</v>
      </c>
      <c r="F126" t="s">
        <v>1129</v>
      </c>
      <c r="G126" t="s">
        <v>5696</v>
      </c>
      <c r="H126" t="s">
        <v>1528</v>
      </c>
      <c r="I126" t="b">
        <v>0</v>
      </c>
      <c r="J126">
        <v>43</v>
      </c>
      <c r="K126">
        <v>273</v>
      </c>
      <c r="L126">
        <v>25</v>
      </c>
      <c r="M126">
        <f>COUNTIF(H126:$H$2581,H126)</f>
        <v>1</v>
      </c>
    </row>
    <row r="127" spans="1:13" x14ac:dyDescent="0.2">
      <c r="A127">
        <v>373</v>
      </c>
      <c r="B127" t="s">
        <v>2099</v>
      </c>
      <c r="C127" t="s">
        <v>5854</v>
      </c>
      <c r="D127" t="s">
        <v>54</v>
      </c>
      <c r="E127" t="s">
        <v>5855</v>
      </c>
      <c r="F127" t="s">
        <v>2102</v>
      </c>
      <c r="G127" t="s">
        <v>5856</v>
      </c>
      <c r="H127" t="s">
        <v>1532</v>
      </c>
      <c r="I127" t="b">
        <v>0</v>
      </c>
      <c r="J127">
        <v>51</v>
      </c>
      <c r="K127">
        <v>374</v>
      </c>
      <c r="L127">
        <v>124</v>
      </c>
      <c r="M127">
        <f>COUNTIF(H127:$H$2581,H127)</f>
        <v>1</v>
      </c>
    </row>
    <row r="128" spans="1:13" x14ac:dyDescent="0.2">
      <c r="A128">
        <v>997</v>
      </c>
      <c r="B128" t="s">
        <v>1876</v>
      </c>
      <c r="C128" t="s">
        <v>6534</v>
      </c>
      <c r="D128" t="s">
        <v>13</v>
      </c>
      <c r="E128" t="s">
        <v>6535</v>
      </c>
      <c r="F128" t="s">
        <v>1879</v>
      </c>
      <c r="G128" t="s">
        <v>6536</v>
      </c>
      <c r="H128" t="s">
        <v>1536</v>
      </c>
      <c r="I128" t="s">
        <v>24</v>
      </c>
      <c r="J128">
        <v>124</v>
      </c>
      <c r="K128">
        <v>998</v>
      </c>
      <c r="L128">
        <v>7</v>
      </c>
      <c r="M128">
        <f>COUNTIF(H128:$H$2581,H128)</f>
        <v>2</v>
      </c>
    </row>
    <row r="129" spans="1:13" x14ac:dyDescent="0.2">
      <c r="A129">
        <v>33</v>
      </c>
      <c r="B129" t="s">
        <v>2448</v>
      </c>
      <c r="C129" t="s">
        <v>7726</v>
      </c>
      <c r="D129" t="s">
        <v>13</v>
      </c>
      <c r="E129" t="s">
        <v>7727</v>
      </c>
      <c r="F129" t="s">
        <v>2451</v>
      </c>
      <c r="G129" t="s">
        <v>7728</v>
      </c>
      <c r="H129" t="s">
        <v>1542</v>
      </c>
      <c r="I129" t="s">
        <v>24</v>
      </c>
      <c r="J129">
        <v>6</v>
      </c>
      <c r="K129">
        <v>34</v>
      </c>
      <c r="L129">
        <v>27</v>
      </c>
      <c r="M129">
        <f>COUNTIF(H129:$H$2581,H129)</f>
        <v>1</v>
      </c>
    </row>
    <row r="130" spans="1:13" x14ac:dyDescent="0.2">
      <c r="A130">
        <v>245</v>
      </c>
      <c r="B130" t="s">
        <v>1849</v>
      </c>
      <c r="C130" t="s">
        <v>1850</v>
      </c>
      <c r="D130" t="s">
        <v>13</v>
      </c>
      <c r="E130" t="s">
        <v>1851</v>
      </c>
      <c r="F130" t="s">
        <v>1852</v>
      </c>
      <c r="G130" t="s">
        <v>1853</v>
      </c>
      <c r="H130" t="s">
        <v>1546</v>
      </c>
      <c r="I130" t="b">
        <v>0</v>
      </c>
      <c r="J130">
        <v>41</v>
      </c>
      <c r="K130">
        <v>246</v>
      </c>
      <c r="L130">
        <v>10</v>
      </c>
      <c r="M130">
        <f>COUNTIF(H130:$H$2581,H130)</f>
        <v>6</v>
      </c>
    </row>
    <row r="131" spans="1:13" x14ac:dyDescent="0.2">
      <c r="A131">
        <v>199</v>
      </c>
      <c r="B131" t="s">
        <v>346</v>
      </c>
      <c r="C131" t="s">
        <v>3506</v>
      </c>
      <c r="D131" t="s">
        <v>54</v>
      </c>
      <c r="E131" t="s">
        <v>3507</v>
      </c>
      <c r="F131" t="s">
        <v>349</v>
      </c>
      <c r="G131" t="s">
        <v>3508</v>
      </c>
      <c r="H131" t="s">
        <v>1567</v>
      </c>
      <c r="I131" t="b">
        <v>0</v>
      </c>
      <c r="J131">
        <v>36</v>
      </c>
      <c r="K131">
        <v>200</v>
      </c>
      <c r="L131">
        <v>39</v>
      </c>
      <c r="M131">
        <f>COUNTIF(H131:$H$2581,H131)</f>
        <v>1</v>
      </c>
    </row>
    <row r="132" spans="1:13" x14ac:dyDescent="0.2">
      <c r="A132">
        <v>1691</v>
      </c>
      <c r="B132" t="s">
        <v>129</v>
      </c>
      <c r="C132" t="s">
        <v>4505</v>
      </c>
      <c r="D132" t="s">
        <v>54</v>
      </c>
      <c r="E132" t="s">
        <v>4506</v>
      </c>
      <c r="F132" t="s">
        <v>132</v>
      </c>
      <c r="G132" t="s">
        <v>4507</v>
      </c>
      <c r="H132" t="s">
        <v>1573</v>
      </c>
      <c r="I132" t="b">
        <v>1</v>
      </c>
      <c r="J132">
        <v>204</v>
      </c>
      <c r="K132">
        <v>1692</v>
      </c>
      <c r="L132">
        <v>4</v>
      </c>
      <c r="M132">
        <f>COUNTIF(H132:$H$2581,H132)</f>
        <v>1</v>
      </c>
    </row>
    <row r="133" spans="1:13" x14ac:dyDescent="0.2">
      <c r="A133">
        <v>283</v>
      </c>
      <c r="B133" t="s">
        <v>2105</v>
      </c>
      <c r="C133" t="s">
        <v>5697</v>
      </c>
      <c r="D133" t="s">
        <v>54</v>
      </c>
      <c r="E133" t="s">
        <v>5698</v>
      </c>
      <c r="F133" t="s">
        <v>2108</v>
      </c>
      <c r="G133" t="s">
        <v>5699</v>
      </c>
      <c r="H133" t="s">
        <v>1577</v>
      </c>
      <c r="I133" t="s">
        <v>24</v>
      </c>
      <c r="J133">
        <v>44</v>
      </c>
      <c r="K133">
        <v>284</v>
      </c>
      <c r="L133">
        <v>25</v>
      </c>
      <c r="M133">
        <f>COUNTIF(H133:$H$2581,H133)</f>
        <v>1</v>
      </c>
    </row>
    <row r="134" spans="1:13" x14ac:dyDescent="0.2">
      <c r="A134">
        <v>396</v>
      </c>
      <c r="B134" t="s">
        <v>1568</v>
      </c>
      <c r="C134" t="s">
        <v>5857</v>
      </c>
      <c r="D134" t="s">
        <v>13</v>
      </c>
      <c r="E134" t="s">
        <v>5858</v>
      </c>
      <c r="F134" t="s">
        <v>1571</v>
      </c>
      <c r="G134" t="s">
        <v>5859</v>
      </c>
      <c r="H134" t="s">
        <v>1581</v>
      </c>
      <c r="I134" t="s">
        <v>24</v>
      </c>
      <c r="J134">
        <v>55</v>
      </c>
      <c r="K134">
        <v>397</v>
      </c>
      <c r="L134">
        <v>124</v>
      </c>
      <c r="M134">
        <f>COUNTIF(H134:$H$2581,H134)</f>
        <v>1</v>
      </c>
    </row>
    <row r="135" spans="1:13" x14ac:dyDescent="0.2">
      <c r="A135">
        <v>998</v>
      </c>
      <c r="B135" t="s">
        <v>1876</v>
      </c>
      <c r="C135" t="s">
        <v>6537</v>
      </c>
      <c r="D135" t="s">
        <v>13</v>
      </c>
      <c r="E135" t="s">
        <v>6538</v>
      </c>
      <c r="F135" t="s">
        <v>1879</v>
      </c>
      <c r="G135" t="s">
        <v>6539</v>
      </c>
      <c r="H135" t="s">
        <v>1585</v>
      </c>
      <c r="I135" t="s">
        <v>24</v>
      </c>
      <c r="J135">
        <v>124</v>
      </c>
      <c r="K135">
        <v>999</v>
      </c>
      <c r="L135">
        <v>7</v>
      </c>
      <c r="M135">
        <f>COUNTIF(H135:$H$2581,H135)</f>
        <v>4</v>
      </c>
    </row>
    <row r="136" spans="1:13" x14ac:dyDescent="0.2">
      <c r="A136">
        <v>47</v>
      </c>
      <c r="B136" t="s">
        <v>2199</v>
      </c>
      <c r="C136" t="s">
        <v>7730</v>
      </c>
      <c r="D136" t="s">
        <v>54</v>
      </c>
      <c r="E136" t="s">
        <v>7731</v>
      </c>
      <c r="F136" t="s">
        <v>2202</v>
      </c>
      <c r="G136" t="s">
        <v>7732</v>
      </c>
      <c r="H136" t="s">
        <v>1600</v>
      </c>
      <c r="I136" t="s">
        <v>24</v>
      </c>
      <c r="J136">
        <v>7</v>
      </c>
      <c r="K136">
        <v>48</v>
      </c>
      <c r="L136">
        <v>27</v>
      </c>
      <c r="M136">
        <f>COUNTIF(H136:$H$2581,H136)</f>
        <v>1</v>
      </c>
    </row>
    <row r="137" spans="1:13" x14ac:dyDescent="0.2">
      <c r="A137">
        <v>387</v>
      </c>
      <c r="B137" t="s">
        <v>1568</v>
      </c>
      <c r="C137" t="s">
        <v>1854</v>
      </c>
      <c r="D137" t="s">
        <v>13</v>
      </c>
      <c r="E137" t="s">
        <v>1855</v>
      </c>
      <c r="F137" t="s">
        <v>1571</v>
      </c>
      <c r="G137" t="s">
        <v>1856</v>
      </c>
      <c r="H137" t="s">
        <v>1604</v>
      </c>
      <c r="I137" t="s">
        <v>24</v>
      </c>
      <c r="J137">
        <v>55</v>
      </c>
      <c r="K137">
        <v>388</v>
      </c>
      <c r="L137">
        <v>10</v>
      </c>
      <c r="M137">
        <f>COUNTIF(H137:$H$2581,H137)</f>
        <v>1</v>
      </c>
    </row>
    <row r="138" spans="1:13" x14ac:dyDescent="0.2">
      <c r="A138">
        <v>208</v>
      </c>
      <c r="B138" t="s">
        <v>88</v>
      </c>
      <c r="C138" t="s">
        <v>3509</v>
      </c>
      <c r="D138" t="s">
        <v>54</v>
      </c>
      <c r="E138" t="s">
        <v>3510</v>
      </c>
      <c r="F138" t="s">
        <v>91</v>
      </c>
      <c r="G138" t="s">
        <v>3511</v>
      </c>
      <c r="H138" t="s">
        <v>1608</v>
      </c>
      <c r="I138" t="s">
        <v>24</v>
      </c>
      <c r="J138">
        <v>37</v>
      </c>
      <c r="K138">
        <v>209</v>
      </c>
      <c r="L138">
        <v>39</v>
      </c>
      <c r="M138">
        <f>COUNTIF(H138:$H$2581,H138)</f>
        <v>8</v>
      </c>
    </row>
    <row r="139" spans="1:13" x14ac:dyDescent="0.2">
      <c r="A139">
        <v>1716</v>
      </c>
      <c r="B139" t="s">
        <v>725</v>
      </c>
      <c r="C139" t="s">
        <v>4508</v>
      </c>
      <c r="D139" t="s">
        <v>54</v>
      </c>
      <c r="E139" t="s">
        <v>4509</v>
      </c>
      <c r="F139" t="s">
        <v>728</v>
      </c>
      <c r="G139" t="s">
        <v>4510</v>
      </c>
      <c r="H139" t="s">
        <v>1639</v>
      </c>
      <c r="I139" t="b">
        <v>1</v>
      </c>
      <c r="J139">
        <v>205</v>
      </c>
      <c r="K139">
        <v>1717</v>
      </c>
      <c r="L139">
        <v>4</v>
      </c>
      <c r="M139">
        <f>COUNTIF(H139:$H$2581,H139)</f>
        <v>1</v>
      </c>
    </row>
    <row r="140" spans="1:13" x14ac:dyDescent="0.2">
      <c r="A140">
        <v>379</v>
      </c>
      <c r="B140" t="s">
        <v>1659</v>
      </c>
      <c r="C140" t="s">
        <v>5700</v>
      </c>
      <c r="D140" t="s">
        <v>33</v>
      </c>
      <c r="E140" t="s">
        <v>5701</v>
      </c>
      <c r="F140" t="s">
        <v>1662</v>
      </c>
      <c r="G140" t="s">
        <v>5702</v>
      </c>
      <c r="H140" t="s">
        <v>1643</v>
      </c>
      <c r="I140" t="b">
        <v>0</v>
      </c>
      <c r="J140">
        <v>52</v>
      </c>
      <c r="K140">
        <v>380</v>
      </c>
      <c r="L140">
        <v>25</v>
      </c>
      <c r="M140">
        <f>COUNTIF(H140:$H$2581,H140)</f>
        <v>2</v>
      </c>
    </row>
    <row r="141" spans="1:13" x14ac:dyDescent="0.2">
      <c r="A141">
        <v>401</v>
      </c>
      <c r="B141" t="s">
        <v>990</v>
      </c>
      <c r="C141" t="s">
        <v>5860</v>
      </c>
      <c r="D141" t="s">
        <v>54</v>
      </c>
      <c r="E141" t="s">
        <v>5861</v>
      </c>
      <c r="F141" t="s">
        <v>993</v>
      </c>
      <c r="G141" t="s">
        <v>5862</v>
      </c>
      <c r="H141" t="s">
        <v>1650</v>
      </c>
      <c r="I141" t="b">
        <v>0</v>
      </c>
      <c r="J141">
        <v>56</v>
      </c>
      <c r="K141">
        <v>402</v>
      </c>
      <c r="L141">
        <v>124</v>
      </c>
      <c r="M141">
        <f>COUNTIF(H141:$H$2581,H141)</f>
        <v>1</v>
      </c>
    </row>
    <row r="142" spans="1:13" x14ac:dyDescent="0.2">
      <c r="A142">
        <v>1004</v>
      </c>
      <c r="B142" t="s">
        <v>424</v>
      </c>
      <c r="C142" t="s">
        <v>6540</v>
      </c>
      <c r="D142" t="s">
        <v>13</v>
      </c>
      <c r="E142" t="s">
        <v>6541</v>
      </c>
      <c r="F142" t="s">
        <v>427</v>
      </c>
      <c r="G142" t="s">
        <v>6542</v>
      </c>
      <c r="H142" t="s">
        <v>1654</v>
      </c>
      <c r="I142" t="s">
        <v>24</v>
      </c>
      <c r="J142">
        <v>125</v>
      </c>
      <c r="K142">
        <v>1005</v>
      </c>
      <c r="L142">
        <v>7</v>
      </c>
      <c r="M142">
        <f>COUNTIF(H142:$H$2581,H142)</f>
        <v>1</v>
      </c>
    </row>
    <row r="143" spans="1:13" x14ac:dyDescent="0.2">
      <c r="A143">
        <v>72</v>
      </c>
      <c r="B143" t="s">
        <v>25</v>
      </c>
      <c r="C143" t="s">
        <v>7733</v>
      </c>
      <c r="D143" t="s">
        <v>54</v>
      </c>
      <c r="E143" t="s">
        <v>7734</v>
      </c>
      <c r="F143" t="s">
        <v>28</v>
      </c>
      <c r="G143" t="s">
        <v>7735</v>
      </c>
      <c r="H143" t="s">
        <v>1658</v>
      </c>
      <c r="I143" t="b">
        <v>1</v>
      </c>
      <c r="J143">
        <v>11</v>
      </c>
      <c r="K143">
        <v>73</v>
      </c>
      <c r="L143">
        <v>27</v>
      </c>
      <c r="M143">
        <f>COUNTIF(H143:$H$2581,H143)</f>
        <v>1</v>
      </c>
    </row>
    <row r="144" spans="1:13" x14ac:dyDescent="0.2">
      <c r="A144">
        <v>414</v>
      </c>
      <c r="B144" t="s">
        <v>1857</v>
      </c>
      <c r="C144" t="s">
        <v>1858</v>
      </c>
      <c r="D144" t="s">
        <v>13</v>
      </c>
      <c r="E144" t="s">
        <v>1859</v>
      </c>
      <c r="F144" t="s">
        <v>1860</v>
      </c>
      <c r="G144" t="s">
        <v>1861</v>
      </c>
      <c r="H144" t="s">
        <v>1664</v>
      </c>
      <c r="I144" t="s">
        <v>24</v>
      </c>
      <c r="J144">
        <v>60</v>
      </c>
      <c r="K144">
        <v>415</v>
      </c>
      <c r="L144">
        <v>10</v>
      </c>
      <c r="M144">
        <f>COUNTIF(H144:$H$2581,H144)</f>
        <v>1</v>
      </c>
    </row>
    <row r="145" spans="1:13" x14ac:dyDescent="0.2">
      <c r="A145">
        <v>223</v>
      </c>
      <c r="B145" t="s">
        <v>1120</v>
      </c>
      <c r="C145" t="s">
        <v>3512</v>
      </c>
      <c r="D145" t="s">
        <v>54</v>
      </c>
      <c r="E145" t="s">
        <v>3513</v>
      </c>
      <c r="F145" s="1" t="s">
        <v>1123</v>
      </c>
      <c r="G145" t="s">
        <v>3514</v>
      </c>
      <c r="H145" t="s">
        <v>1670</v>
      </c>
      <c r="I145" t="b">
        <v>0</v>
      </c>
      <c r="J145">
        <v>40</v>
      </c>
      <c r="K145">
        <v>224</v>
      </c>
      <c r="L145">
        <v>39</v>
      </c>
      <c r="M145">
        <f>COUNTIF(H145:$H$2581,H145)</f>
        <v>1</v>
      </c>
    </row>
    <row r="146" spans="1:13" x14ac:dyDescent="0.2">
      <c r="A146">
        <v>1717</v>
      </c>
      <c r="B146" t="s">
        <v>725</v>
      </c>
      <c r="C146" t="s">
        <v>4511</v>
      </c>
      <c r="D146" t="s">
        <v>13</v>
      </c>
      <c r="E146" t="s">
        <v>4512</v>
      </c>
      <c r="F146" t="s">
        <v>728</v>
      </c>
      <c r="G146" t="s">
        <v>4513</v>
      </c>
      <c r="H146" t="s">
        <v>1674</v>
      </c>
      <c r="I146" t="b">
        <v>1</v>
      </c>
      <c r="J146">
        <v>205</v>
      </c>
      <c r="K146">
        <v>1718</v>
      </c>
      <c r="L146">
        <v>4</v>
      </c>
      <c r="M146">
        <f>COUNTIF(H146:$H$2581,H146)</f>
        <v>1</v>
      </c>
    </row>
    <row r="147" spans="1:13" x14ac:dyDescent="0.2">
      <c r="A147">
        <v>444</v>
      </c>
      <c r="B147" t="s">
        <v>778</v>
      </c>
      <c r="C147" t="s">
        <v>5703</v>
      </c>
      <c r="D147" t="s">
        <v>33</v>
      </c>
      <c r="E147" t="s">
        <v>5704</v>
      </c>
      <c r="F147" t="s">
        <v>781</v>
      </c>
      <c r="G147" t="s">
        <v>5705</v>
      </c>
      <c r="H147" t="s">
        <v>1678</v>
      </c>
      <c r="I147" t="b">
        <v>0</v>
      </c>
      <c r="J147">
        <v>64</v>
      </c>
      <c r="K147">
        <v>445</v>
      </c>
      <c r="L147">
        <v>25</v>
      </c>
      <c r="M147">
        <f>COUNTIF(H147:$H$2581,H147)</f>
        <v>1</v>
      </c>
    </row>
    <row r="148" spans="1:13" x14ac:dyDescent="0.2">
      <c r="A148">
        <v>410</v>
      </c>
      <c r="B148" t="s">
        <v>996</v>
      </c>
      <c r="C148" t="s">
        <v>5863</v>
      </c>
      <c r="D148" t="s">
        <v>33</v>
      </c>
      <c r="E148" t="s">
        <v>5864</v>
      </c>
      <c r="F148" t="s">
        <v>999</v>
      </c>
      <c r="G148" t="s">
        <v>5865</v>
      </c>
      <c r="H148" t="s">
        <v>1684</v>
      </c>
      <c r="I148" t="b">
        <v>0</v>
      </c>
      <c r="J148">
        <v>58</v>
      </c>
      <c r="K148">
        <v>411</v>
      </c>
      <c r="L148">
        <v>124</v>
      </c>
      <c r="M148">
        <f>COUNTIF(H148:$H$2581,H148)</f>
        <v>1</v>
      </c>
    </row>
    <row r="149" spans="1:13" x14ac:dyDescent="0.2">
      <c r="A149">
        <v>1013</v>
      </c>
      <c r="B149" t="s">
        <v>1268</v>
      </c>
      <c r="C149" t="s">
        <v>6543</v>
      </c>
      <c r="D149" t="s">
        <v>54</v>
      </c>
      <c r="E149" t="s">
        <v>6544</v>
      </c>
      <c r="F149" t="s">
        <v>1271</v>
      </c>
      <c r="G149" t="s">
        <v>6545</v>
      </c>
      <c r="H149" t="s">
        <v>1688</v>
      </c>
      <c r="I149" t="s">
        <v>24</v>
      </c>
      <c r="J149">
        <v>126</v>
      </c>
      <c r="K149">
        <v>1014</v>
      </c>
      <c r="L149">
        <v>7</v>
      </c>
      <c r="M149">
        <f>COUNTIF(H149:$H$2581,H149)</f>
        <v>1</v>
      </c>
    </row>
    <row r="150" spans="1:13" x14ac:dyDescent="0.2">
      <c r="A150">
        <v>190</v>
      </c>
      <c r="B150" t="s">
        <v>557</v>
      </c>
      <c r="C150" t="s">
        <v>7736</v>
      </c>
      <c r="D150" t="s">
        <v>13</v>
      </c>
      <c r="E150" t="s">
        <v>7737</v>
      </c>
      <c r="F150" t="s">
        <v>560</v>
      </c>
      <c r="G150" t="s">
        <v>7738</v>
      </c>
      <c r="H150" t="s">
        <v>1692</v>
      </c>
      <c r="I150" t="s">
        <v>24</v>
      </c>
      <c r="J150">
        <v>34</v>
      </c>
      <c r="K150">
        <v>191</v>
      </c>
      <c r="L150">
        <v>27</v>
      </c>
      <c r="M150">
        <f>COUNTIF(H150:$H$2581,H150)</f>
        <v>1</v>
      </c>
    </row>
    <row r="151" spans="1:13" x14ac:dyDescent="0.2">
      <c r="A151">
        <v>466</v>
      </c>
      <c r="B151" t="s">
        <v>928</v>
      </c>
      <c r="C151" t="s">
        <v>1862</v>
      </c>
      <c r="D151" t="s">
        <v>13</v>
      </c>
      <c r="E151" t="s">
        <v>1863</v>
      </c>
      <c r="F151" t="s">
        <v>931</v>
      </c>
      <c r="G151" t="s">
        <v>1864</v>
      </c>
      <c r="H151" t="s">
        <v>1696</v>
      </c>
      <c r="I151" t="b">
        <v>0</v>
      </c>
      <c r="J151">
        <v>67</v>
      </c>
      <c r="K151">
        <v>467</v>
      </c>
      <c r="L151">
        <v>10</v>
      </c>
      <c r="M151">
        <f>COUNTIF(H151:$H$2581,H151)</f>
        <v>1</v>
      </c>
    </row>
    <row r="152" spans="1:13" x14ac:dyDescent="0.2">
      <c r="A152">
        <v>268</v>
      </c>
      <c r="B152" t="s">
        <v>1126</v>
      </c>
      <c r="C152" t="s">
        <v>3515</v>
      </c>
      <c r="D152" t="s">
        <v>33</v>
      </c>
      <c r="E152" t="s">
        <v>3516</v>
      </c>
      <c r="F152" t="s">
        <v>1129</v>
      </c>
      <c r="G152" t="s">
        <v>3517</v>
      </c>
      <c r="H152" t="s">
        <v>1700</v>
      </c>
      <c r="I152" t="b">
        <v>0</v>
      </c>
      <c r="J152">
        <v>43</v>
      </c>
      <c r="K152">
        <v>269</v>
      </c>
      <c r="L152">
        <v>39</v>
      </c>
      <c r="M152">
        <f>COUNTIF(H152:$H$2581,H152)</f>
        <v>1</v>
      </c>
    </row>
    <row r="153" spans="1:13" x14ac:dyDescent="0.2">
      <c r="A153">
        <v>1796</v>
      </c>
      <c r="B153" t="s">
        <v>1287</v>
      </c>
      <c r="C153" t="s">
        <v>4514</v>
      </c>
      <c r="D153" t="s">
        <v>13</v>
      </c>
      <c r="E153" t="s">
        <v>4515</v>
      </c>
      <c r="F153" t="s">
        <v>1290</v>
      </c>
      <c r="G153" t="s">
        <v>4516</v>
      </c>
      <c r="H153" t="s">
        <v>1704</v>
      </c>
      <c r="I153" t="s">
        <v>24</v>
      </c>
      <c r="J153">
        <v>210</v>
      </c>
      <c r="K153">
        <v>1797</v>
      </c>
      <c r="L153">
        <v>4</v>
      </c>
      <c r="M153">
        <f>COUNTIF(H153:$H$2581,H153)</f>
        <v>1</v>
      </c>
    </row>
    <row r="154" spans="1:13" x14ac:dyDescent="0.2">
      <c r="A154">
        <v>29</v>
      </c>
      <c r="B154" t="s">
        <v>2448</v>
      </c>
      <c r="C154" t="s">
        <v>5300</v>
      </c>
      <c r="D154" t="s">
        <v>13</v>
      </c>
      <c r="E154" t="s">
        <v>5301</v>
      </c>
      <c r="F154" t="s">
        <v>2451</v>
      </c>
      <c r="G154" t="s">
        <v>5302</v>
      </c>
      <c r="H154" t="s">
        <v>1708</v>
      </c>
      <c r="I154" t="s">
        <v>24</v>
      </c>
      <c r="J154">
        <v>6</v>
      </c>
      <c r="K154">
        <v>30</v>
      </c>
      <c r="L154">
        <v>24</v>
      </c>
      <c r="M154">
        <f>COUNTIF(H154:$H$2581,H154)</f>
        <v>1</v>
      </c>
    </row>
    <row r="155" spans="1:13" x14ac:dyDescent="0.2">
      <c r="A155">
        <v>460</v>
      </c>
      <c r="B155" t="s">
        <v>1039</v>
      </c>
      <c r="C155" t="s">
        <v>5706</v>
      </c>
      <c r="D155" t="s">
        <v>54</v>
      </c>
      <c r="E155" t="s">
        <v>5707</v>
      </c>
      <c r="F155" t="s">
        <v>1042</v>
      </c>
      <c r="G155" t="s">
        <v>5708</v>
      </c>
      <c r="H155" t="s">
        <v>1712</v>
      </c>
      <c r="I155" t="s">
        <v>24</v>
      </c>
      <c r="J155">
        <v>65</v>
      </c>
      <c r="K155">
        <v>461</v>
      </c>
      <c r="L155">
        <v>25</v>
      </c>
      <c r="M155">
        <f>COUNTIF(H155:$H$2581,H155)</f>
        <v>1</v>
      </c>
    </row>
    <row r="156" spans="1:13" x14ac:dyDescent="0.2">
      <c r="A156">
        <v>445</v>
      </c>
      <c r="B156" t="s">
        <v>778</v>
      </c>
      <c r="C156" t="s">
        <v>5866</v>
      </c>
      <c r="D156" t="s">
        <v>54</v>
      </c>
      <c r="E156" t="s">
        <v>5867</v>
      </c>
      <c r="F156" t="s">
        <v>781</v>
      </c>
      <c r="G156" t="s">
        <v>5868</v>
      </c>
      <c r="H156" t="s">
        <v>1716</v>
      </c>
      <c r="I156" t="b">
        <v>0</v>
      </c>
      <c r="J156">
        <v>64</v>
      </c>
      <c r="K156">
        <v>446</v>
      </c>
      <c r="L156">
        <v>124</v>
      </c>
      <c r="M156">
        <f>COUNTIF(H156:$H$2581,H156)</f>
        <v>1</v>
      </c>
    </row>
    <row r="157" spans="1:13" x14ac:dyDescent="0.2">
      <c r="A157">
        <v>1034</v>
      </c>
      <c r="B157" t="s">
        <v>1215</v>
      </c>
      <c r="C157" t="s">
        <v>6546</v>
      </c>
      <c r="D157" t="s">
        <v>13</v>
      </c>
      <c r="E157" t="s">
        <v>6547</v>
      </c>
      <c r="F157" t="s">
        <v>1218</v>
      </c>
      <c r="G157" t="s">
        <v>6548</v>
      </c>
      <c r="H157" t="s">
        <v>1720</v>
      </c>
      <c r="I157" t="b">
        <v>1</v>
      </c>
      <c r="J157">
        <v>129</v>
      </c>
      <c r="K157">
        <v>1035</v>
      </c>
      <c r="L157">
        <v>7</v>
      </c>
      <c r="M157">
        <f>COUNTIF(H157:$H$2581,H157)</f>
        <v>3</v>
      </c>
    </row>
    <row r="158" spans="1:13" x14ac:dyDescent="0.2">
      <c r="A158">
        <v>240</v>
      </c>
      <c r="B158" t="s">
        <v>1120</v>
      </c>
      <c r="C158" t="s">
        <v>7739</v>
      </c>
      <c r="D158" t="s">
        <v>54</v>
      </c>
      <c r="E158" t="s">
        <v>7740</v>
      </c>
      <c r="F158" s="1" t="s">
        <v>1123</v>
      </c>
      <c r="G158" t="s">
        <v>7741</v>
      </c>
      <c r="H158" t="s">
        <v>1730</v>
      </c>
      <c r="I158" t="b">
        <v>0</v>
      </c>
      <c r="J158">
        <v>40</v>
      </c>
      <c r="K158">
        <v>241</v>
      </c>
      <c r="L158">
        <v>27</v>
      </c>
      <c r="M158">
        <f>COUNTIF(H158:$H$2581,H158)</f>
        <v>1</v>
      </c>
    </row>
    <row r="159" spans="1:13" x14ac:dyDescent="0.2">
      <c r="A159">
        <v>524</v>
      </c>
      <c r="B159" t="s">
        <v>881</v>
      </c>
      <c r="C159" t="s">
        <v>1865</v>
      </c>
      <c r="D159" t="s">
        <v>13</v>
      </c>
      <c r="E159" t="s">
        <v>1866</v>
      </c>
      <c r="F159" t="s">
        <v>884</v>
      </c>
      <c r="G159" t="s">
        <v>1867</v>
      </c>
      <c r="H159" t="s">
        <v>1734</v>
      </c>
      <c r="I159" t="s">
        <v>24</v>
      </c>
      <c r="J159">
        <v>77</v>
      </c>
      <c r="K159">
        <v>525</v>
      </c>
      <c r="L159">
        <v>10</v>
      </c>
      <c r="M159">
        <f>COUNTIF(H159:$H$2581,H159)</f>
        <v>26</v>
      </c>
    </row>
    <row r="160" spans="1:13" x14ac:dyDescent="0.2">
      <c r="A160">
        <v>324</v>
      </c>
      <c r="B160" t="s">
        <v>98</v>
      </c>
      <c r="C160" t="s">
        <v>3518</v>
      </c>
      <c r="D160" t="s">
        <v>33</v>
      </c>
      <c r="E160" t="s">
        <v>3519</v>
      </c>
      <c r="F160" t="s">
        <v>101</v>
      </c>
      <c r="G160" t="s">
        <v>3520</v>
      </c>
      <c r="H160" t="s">
        <v>1827</v>
      </c>
      <c r="I160" t="s">
        <v>24</v>
      </c>
      <c r="J160">
        <v>46</v>
      </c>
      <c r="K160">
        <v>325</v>
      </c>
      <c r="L160">
        <v>39</v>
      </c>
      <c r="M160">
        <f>COUNTIF(H160:$H$2581,H160)</f>
        <v>1</v>
      </c>
    </row>
    <row r="161" spans="1:13" x14ac:dyDescent="0.2">
      <c r="A161">
        <v>1797</v>
      </c>
      <c r="B161" t="s">
        <v>1287</v>
      </c>
      <c r="C161" t="s">
        <v>4517</v>
      </c>
      <c r="D161" t="s">
        <v>33</v>
      </c>
      <c r="E161" t="s">
        <v>4518</v>
      </c>
      <c r="F161" t="s">
        <v>1290</v>
      </c>
      <c r="G161" t="s">
        <v>4519</v>
      </c>
      <c r="H161" t="s">
        <v>1831</v>
      </c>
      <c r="I161" t="s">
        <v>24</v>
      </c>
      <c r="J161">
        <v>210</v>
      </c>
      <c r="K161">
        <v>1798</v>
      </c>
      <c r="L161">
        <v>4</v>
      </c>
      <c r="M161">
        <f>COUNTIF(H161:$H$2581,H161)</f>
        <v>1</v>
      </c>
    </row>
    <row r="162" spans="1:13" x14ac:dyDescent="0.2">
      <c r="A162">
        <v>229</v>
      </c>
      <c r="B162" t="s">
        <v>1120</v>
      </c>
      <c r="C162" t="s">
        <v>5304</v>
      </c>
      <c r="D162" t="s">
        <v>54</v>
      </c>
      <c r="E162" t="s">
        <v>5305</v>
      </c>
      <c r="F162" s="1" t="s">
        <v>1123</v>
      </c>
      <c r="G162" t="s">
        <v>5306</v>
      </c>
      <c r="H162" t="s">
        <v>1835</v>
      </c>
      <c r="I162" t="b">
        <v>0</v>
      </c>
      <c r="J162">
        <v>40</v>
      </c>
      <c r="K162">
        <v>230</v>
      </c>
      <c r="L162">
        <v>24</v>
      </c>
      <c r="M162">
        <f>COUNTIF(H162:$H$2581,H162)</f>
        <v>1</v>
      </c>
    </row>
    <row r="163" spans="1:13" x14ac:dyDescent="0.2">
      <c r="A163">
        <v>489</v>
      </c>
      <c r="B163" t="s">
        <v>182</v>
      </c>
      <c r="C163" t="s">
        <v>5709</v>
      </c>
      <c r="D163" t="s">
        <v>13</v>
      </c>
      <c r="E163" t="s">
        <v>5710</v>
      </c>
      <c r="F163" t="s">
        <v>185</v>
      </c>
      <c r="G163" t="s">
        <v>5711</v>
      </c>
      <c r="H163" t="s">
        <v>1839</v>
      </c>
      <c r="I163" t="b">
        <v>1</v>
      </c>
      <c r="J163">
        <v>69</v>
      </c>
      <c r="K163">
        <v>490</v>
      </c>
      <c r="L163">
        <v>25</v>
      </c>
      <c r="M163">
        <f>COUNTIF(H163:$H$2581,H163)</f>
        <v>1</v>
      </c>
    </row>
    <row r="164" spans="1:13" x14ac:dyDescent="0.2">
      <c r="A164">
        <v>482</v>
      </c>
      <c r="B164" t="s">
        <v>2266</v>
      </c>
      <c r="C164" t="s">
        <v>5869</v>
      </c>
      <c r="D164" t="s">
        <v>13</v>
      </c>
      <c r="E164" t="s">
        <v>5870</v>
      </c>
      <c r="F164" t="s">
        <v>2269</v>
      </c>
      <c r="G164" t="s">
        <v>5871</v>
      </c>
      <c r="H164" t="s">
        <v>1845</v>
      </c>
      <c r="I164" t="s">
        <v>24</v>
      </c>
      <c r="J164">
        <v>68</v>
      </c>
      <c r="K164">
        <v>483</v>
      </c>
      <c r="L164">
        <v>124</v>
      </c>
      <c r="M164">
        <f>COUNTIF(H164:$H$2581,H164)</f>
        <v>46</v>
      </c>
    </row>
    <row r="165" spans="1:13" x14ac:dyDescent="0.2">
      <c r="A165">
        <v>1046</v>
      </c>
      <c r="B165" t="s">
        <v>1456</v>
      </c>
      <c r="C165" t="s">
        <v>6549</v>
      </c>
      <c r="D165" t="s">
        <v>13</v>
      </c>
      <c r="E165" t="s">
        <v>6550</v>
      </c>
      <c r="F165" t="s">
        <v>1459</v>
      </c>
      <c r="G165" t="s">
        <v>6551</v>
      </c>
      <c r="H165" t="s">
        <v>2012</v>
      </c>
      <c r="I165" t="s">
        <v>24</v>
      </c>
      <c r="J165">
        <v>130</v>
      </c>
      <c r="K165">
        <v>1047</v>
      </c>
      <c r="L165">
        <v>7</v>
      </c>
      <c r="M165">
        <f>COUNTIF(H165:$H$2581,H165)</f>
        <v>5</v>
      </c>
    </row>
    <row r="166" spans="1:13" x14ac:dyDescent="0.2">
      <c r="A166">
        <v>265</v>
      </c>
      <c r="B166" t="s">
        <v>1503</v>
      </c>
      <c r="C166" t="s">
        <v>7742</v>
      </c>
      <c r="D166" t="s">
        <v>33</v>
      </c>
      <c r="E166" t="s">
        <v>7743</v>
      </c>
      <c r="F166" t="s">
        <v>1506</v>
      </c>
      <c r="G166" t="s">
        <v>7744</v>
      </c>
      <c r="H166" t="s">
        <v>2028</v>
      </c>
      <c r="I166" t="b">
        <v>0</v>
      </c>
      <c r="J166">
        <v>42</v>
      </c>
      <c r="K166">
        <v>266</v>
      </c>
      <c r="L166">
        <v>27</v>
      </c>
      <c r="M166">
        <f>COUNTIF(H166:$H$2581,H166)</f>
        <v>1</v>
      </c>
    </row>
    <row r="167" spans="1:13" x14ac:dyDescent="0.2">
      <c r="A167">
        <v>748</v>
      </c>
      <c r="B167" t="s">
        <v>1868</v>
      </c>
      <c r="C167" t="s">
        <v>1869</v>
      </c>
      <c r="D167" t="s">
        <v>13</v>
      </c>
      <c r="E167" t="s">
        <v>1870</v>
      </c>
      <c r="F167" t="s">
        <v>1871</v>
      </c>
      <c r="G167" t="s">
        <v>1872</v>
      </c>
      <c r="H167" t="s">
        <v>2034</v>
      </c>
      <c r="I167" t="s">
        <v>24</v>
      </c>
      <c r="J167">
        <v>107</v>
      </c>
      <c r="K167">
        <v>749</v>
      </c>
      <c r="L167">
        <v>10</v>
      </c>
      <c r="M167">
        <f>COUNTIF(H167:$H$2581,H167)</f>
        <v>1</v>
      </c>
    </row>
    <row r="168" spans="1:13" x14ac:dyDescent="0.2">
      <c r="A168">
        <v>333</v>
      </c>
      <c r="B168" t="s">
        <v>2721</v>
      </c>
      <c r="C168" t="s">
        <v>3521</v>
      </c>
      <c r="D168" t="s">
        <v>13</v>
      </c>
      <c r="E168" t="s">
        <v>3522</v>
      </c>
      <c r="F168" t="s">
        <v>2724</v>
      </c>
      <c r="G168" t="s">
        <v>3523</v>
      </c>
      <c r="H168" t="s">
        <v>2040</v>
      </c>
      <c r="I168" t="b">
        <v>1</v>
      </c>
      <c r="J168">
        <v>48</v>
      </c>
      <c r="K168">
        <v>334</v>
      </c>
      <c r="L168">
        <v>39</v>
      </c>
      <c r="M168">
        <f>COUNTIF(H168:$H$2581,H168)</f>
        <v>1</v>
      </c>
    </row>
    <row r="169" spans="1:13" x14ac:dyDescent="0.2">
      <c r="A169">
        <v>1829</v>
      </c>
      <c r="B169" t="s">
        <v>1589</v>
      </c>
      <c r="C169" t="s">
        <v>4520</v>
      </c>
      <c r="D169" t="s">
        <v>13</v>
      </c>
      <c r="E169" t="s">
        <v>4521</v>
      </c>
      <c r="F169" t="s">
        <v>1592</v>
      </c>
      <c r="G169" t="s">
        <v>4522</v>
      </c>
      <c r="H169" t="s">
        <v>2044</v>
      </c>
      <c r="I169" t="s">
        <v>24</v>
      </c>
      <c r="J169">
        <v>213</v>
      </c>
      <c r="K169">
        <v>1830</v>
      </c>
      <c r="L169">
        <v>4</v>
      </c>
      <c r="M169">
        <f>COUNTIF(H169:$H$2581,H169)</f>
        <v>1</v>
      </c>
    </row>
    <row r="170" spans="1:13" x14ac:dyDescent="0.2">
      <c r="A170">
        <v>259</v>
      </c>
      <c r="B170" t="s">
        <v>1503</v>
      </c>
      <c r="C170" t="s">
        <v>5307</v>
      </c>
      <c r="D170" t="s">
        <v>33</v>
      </c>
      <c r="E170" t="s">
        <v>5308</v>
      </c>
      <c r="F170" t="s">
        <v>1506</v>
      </c>
      <c r="G170" t="s">
        <v>5309</v>
      </c>
      <c r="H170" t="s">
        <v>2048</v>
      </c>
      <c r="I170" t="b">
        <v>0</v>
      </c>
      <c r="J170">
        <v>42</v>
      </c>
      <c r="K170">
        <v>260</v>
      </c>
      <c r="L170">
        <v>24</v>
      </c>
      <c r="M170">
        <f>COUNTIF(H170:$H$2581,H170)</f>
        <v>1</v>
      </c>
    </row>
    <row r="171" spans="1:13" x14ac:dyDescent="0.2">
      <c r="A171">
        <v>621</v>
      </c>
      <c r="B171" t="s">
        <v>1491</v>
      </c>
      <c r="C171" t="s">
        <v>5712</v>
      </c>
      <c r="D171" t="s">
        <v>54</v>
      </c>
      <c r="E171" t="s">
        <v>5713</v>
      </c>
      <c r="F171" t="s">
        <v>1494</v>
      </c>
      <c r="G171" t="s">
        <v>5714</v>
      </c>
      <c r="H171" t="s">
        <v>2052</v>
      </c>
      <c r="I171" t="b">
        <v>0</v>
      </c>
      <c r="J171">
        <v>91</v>
      </c>
      <c r="K171">
        <v>622</v>
      </c>
      <c r="L171">
        <v>25</v>
      </c>
      <c r="M171">
        <f>COUNTIF(H171:$H$2581,H171)</f>
        <v>1</v>
      </c>
    </row>
    <row r="172" spans="1:13" x14ac:dyDescent="0.2">
      <c r="A172">
        <v>541</v>
      </c>
      <c r="B172" t="s">
        <v>188</v>
      </c>
      <c r="C172" t="s">
        <v>5872</v>
      </c>
      <c r="D172" t="s">
        <v>33</v>
      </c>
      <c r="E172" t="s">
        <v>5873</v>
      </c>
      <c r="F172" t="s">
        <v>191</v>
      </c>
      <c r="G172" t="s">
        <v>5874</v>
      </c>
      <c r="H172" t="s">
        <v>2058</v>
      </c>
      <c r="I172" t="b">
        <v>0</v>
      </c>
      <c r="J172">
        <v>80</v>
      </c>
      <c r="K172">
        <v>542</v>
      </c>
      <c r="L172">
        <v>124</v>
      </c>
      <c r="M172">
        <f>COUNTIF(H172:$H$2581,H172)</f>
        <v>2</v>
      </c>
    </row>
    <row r="173" spans="1:13" x14ac:dyDescent="0.2">
      <c r="A173">
        <v>1064</v>
      </c>
      <c r="B173" t="s">
        <v>1884</v>
      </c>
      <c r="C173" t="s">
        <v>6552</v>
      </c>
      <c r="D173" t="s">
        <v>13</v>
      </c>
      <c r="E173" t="s">
        <v>6553</v>
      </c>
      <c r="F173" t="s">
        <v>1887</v>
      </c>
      <c r="G173" t="s">
        <v>6554</v>
      </c>
      <c r="H173" t="s">
        <v>2065</v>
      </c>
      <c r="I173" t="s">
        <v>24</v>
      </c>
      <c r="J173">
        <v>131</v>
      </c>
      <c r="K173">
        <v>1065</v>
      </c>
      <c r="L173">
        <v>7</v>
      </c>
      <c r="M173">
        <f>COUNTIF(H173:$H$2581,H173)</f>
        <v>1</v>
      </c>
    </row>
    <row r="174" spans="1:13" x14ac:dyDescent="0.2">
      <c r="A174">
        <v>274</v>
      </c>
      <c r="B174" t="s">
        <v>1126</v>
      </c>
      <c r="C174" t="s">
        <v>7745</v>
      </c>
      <c r="D174" t="s">
        <v>33</v>
      </c>
      <c r="E174" t="s">
        <v>7746</v>
      </c>
      <c r="F174" t="s">
        <v>1129</v>
      </c>
      <c r="G174" t="s">
        <v>7747</v>
      </c>
      <c r="H174" t="s">
        <v>2069</v>
      </c>
      <c r="I174" t="b">
        <v>0</v>
      </c>
      <c r="J174">
        <v>43</v>
      </c>
      <c r="K174">
        <v>275</v>
      </c>
      <c r="L174">
        <v>27</v>
      </c>
      <c r="M174">
        <f>COUNTIF(H174:$H$2581,H174)</f>
        <v>1</v>
      </c>
    </row>
    <row r="175" spans="1:13" x14ac:dyDescent="0.2">
      <c r="A175">
        <v>792</v>
      </c>
      <c r="B175" t="s">
        <v>116</v>
      </c>
      <c r="C175" t="s">
        <v>1873</v>
      </c>
      <c r="D175" t="s">
        <v>13</v>
      </c>
      <c r="E175" s="1" t="s">
        <v>1874</v>
      </c>
      <c r="F175" t="s">
        <v>119</v>
      </c>
      <c r="G175" t="s">
        <v>1875</v>
      </c>
      <c r="H175" t="s">
        <v>2073</v>
      </c>
      <c r="I175" t="s">
        <v>24</v>
      </c>
      <c r="J175">
        <v>112</v>
      </c>
      <c r="K175">
        <v>793</v>
      </c>
      <c r="L175">
        <v>10</v>
      </c>
      <c r="M175">
        <f>COUNTIF(H175:$H$2581,H175)</f>
        <v>1</v>
      </c>
    </row>
    <row r="176" spans="1:13" x14ac:dyDescent="0.2">
      <c r="A176">
        <v>378</v>
      </c>
      <c r="B176" t="s">
        <v>1659</v>
      </c>
      <c r="C176" t="s">
        <v>3524</v>
      </c>
      <c r="D176" t="s">
        <v>33</v>
      </c>
      <c r="E176" t="s">
        <v>3525</v>
      </c>
      <c r="F176" t="s">
        <v>1662</v>
      </c>
      <c r="G176" t="s">
        <v>3526</v>
      </c>
      <c r="H176" t="s">
        <v>2077</v>
      </c>
      <c r="I176" t="b">
        <v>0</v>
      </c>
      <c r="J176">
        <v>52</v>
      </c>
      <c r="K176">
        <v>379</v>
      </c>
      <c r="L176">
        <v>39</v>
      </c>
      <c r="M176">
        <f>COUNTIF(H176:$H$2581,H176)</f>
        <v>1</v>
      </c>
    </row>
    <row r="177" spans="1:13" x14ac:dyDescent="0.2">
      <c r="A177">
        <v>1838</v>
      </c>
      <c r="B177" t="s">
        <v>1198</v>
      </c>
      <c r="C177" t="s">
        <v>4523</v>
      </c>
      <c r="D177" t="s">
        <v>54</v>
      </c>
      <c r="E177" t="s">
        <v>4524</v>
      </c>
      <c r="F177" t="s">
        <v>1201</v>
      </c>
      <c r="G177" t="s">
        <v>4525</v>
      </c>
      <c r="H177" t="s">
        <v>2081</v>
      </c>
      <c r="I177" t="s">
        <v>24</v>
      </c>
      <c r="J177">
        <v>214</v>
      </c>
      <c r="K177">
        <v>1839</v>
      </c>
      <c r="L177">
        <v>4</v>
      </c>
      <c r="M177">
        <f>COUNTIF(H177:$H$2581,H177)</f>
        <v>1</v>
      </c>
    </row>
    <row r="178" spans="1:13" x14ac:dyDescent="0.2">
      <c r="A178">
        <v>361</v>
      </c>
      <c r="B178" t="s">
        <v>975</v>
      </c>
      <c r="C178" t="s">
        <v>5310</v>
      </c>
      <c r="D178" t="s">
        <v>13</v>
      </c>
      <c r="E178" t="s">
        <v>5311</v>
      </c>
      <c r="F178" s="1" t="s">
        <v>978</v>
      </c>
      <c r="G178" t="s">
        <v>5312</v>
      </c>
      <c r="H178" t="s">
        <v>2085</v>
      </c>
      <c r="I178" t="b">
        <v>1</v>
      </c>
      <c r="J178">
        <v>50</v>
      </c>
      <c r="K178">
        <v>362</v>
      </c>
      <c r="L178">
        <v>24</v>
      </c>
      <c r="M178">
        <f>COUNTIF(H178:$H$2581,H178)</f>
        <v>2</v>
      </c>
    </row>
    <row r="179" spans="1:13" x14ac:dyDescent="0.2">
      <c r="A179">
        <v>743</v>
      </c>
      <c r="B179" t="s">
        <v>1450</v>
      </c>
      <c r="C179" t="s">
        <v>5715</v>
      </c>
      <c r="D179" t="s">
        <v>33</v>
      </c>
      <c r="E179" t="s">
        <v>5716</v>
      </c>
      <c r="F179" s="1" t="s">
        <v>1453</v>
      </c>
      <c r="G179" t="s">
        <v>5717</v>
      </c>
      <c r="H179" t="s">
        <v>2092</v>
      </c>
      <c r="I179" t="b">
        <v>0</v>
      </c>
      <c r="J179">
        <v>105</v>
      </c>
      <c r="K179">
        <v>744</v>
      </c>
      <c r="L179">
        <v>25</v>
      </c>
      <c r="M179">
        <f>COUNTIF(H179:$H$2581,H179)</f>
        <v>1</v>
      </c>
    </row>
    <row r="180" spans="1:13" x14ac:dyDescent="0.2">
      <c r="A180">
        <v>566</v>
      </c>
      <c r="B180" t="s">
        <v>2797</v>
      </c>
      <c r="C180" t="s">
        <v>5875</v>
      </c>
      <c r="D180" t="s">
        <v>54</v>
      </c>
      <c r="E180" t="s">
        <v>5876</v>
      </c>
      <c r="F180" t="s">
        <v>2800</v>
      </c>
      <c r="G180" t="s">
        <v>5877</v>
      </c>
      <c r="H180" t="s">
        <v>2098</v>
      </c>
      <c r="I180" t="s">
        <v>24</v>
      </c>
      <c r="J180">
        <v>84</v>
      </c>
      <c r="K180">
        <v>567</v>
      </c>
      <c r="L180">
        <v>124</v>
      </c>
      <c r="M180">
        <f>COUNTIF(H180:$H$2581,H180)</f>
        <v>1</v>
      </c>
    </row>
    <row r="181" spans="1:13" x14ac:dyDescent="0.2">
      <c r="A181">
        <v>1080</v>
      </c>
      <c r="B181" t="s">
        <v>2230</v>
      </c>
      <c r="C181" t="s">
        <v>6555</v>
      </c>
      <c r="D181" t="s">
        <v>54</v>
      </c>
      <c r="E181" t="s">
        <v>6556</v>
      </c>
      <c r="F181" t="s">
        <v>2233</v>
      </c>
      <c r="G181" t="s">
        <v>6557</v>
      </c>
      <c r="H181" t="s">
        <v>2104</v>
      </c>
      <c r="I181" t="s">
        <v>24</v>
      </c>
      <c r="J181">
        <v>132</v>
      </c>
      <c r="K181">
        <v>1081</v>
      </c>
      <c r="L181">
        <v>7</v>
      </c>
      <c r="M181">
        <f>COUNTIF(H181:$H$2581,H181)</f>
        <v>1</v>
      </c>
    </row>
    <row r="182" spans="1:13" x14ac:dyDescent="0.2">
      <c r="A182">
        <v>421</v>
      </c>
      <c r="B182" t="s">
        <v>3258</v>
      </c>
      <c r="C182" t="s">
        <v>7748</v>
      </c>
      <c r="D182" t="s">
        <v>13</v>
      </c>
      <c r="E182" t="s">
        <v>7749</v>
      </c>
      <c r="F182" t="s">
        <v>3261</v>
      </c>
      <c r="G182" t="s">
        <v>7750</v>
      </c>
      <c r="H182" t="s">
        <v>2110</v>
      </c>
      <c r="I182" t="b">
        <v>0</v>
      </c>
      <c r="J182">
        <v>61</v>
      </c>
      <c r="K182">
        <v>422</v>
      </c>
      <c r="L182">
        <v>27</v>
      </c>
      <c r="M182">
        <f>COUNTIF(H182:$H$2581,H182)</f>
        <v>1</v>
      </c>
    </row>
    <row r="183" spans="1:13" x14ac:dyDescent="0.2">
      <c r="A183">
        <v>992</v>
      </c>
      <c r="B183" t="s">
        <v>1876</v>
      </c>
      <c r="C183" t="s">
        <v>1877</v>
      </c>
      <c r="D183" t="s">
        <v>13</v>
      </c>
      <c r="E183" t="s">
        <v>1878</v>
      </c>
      <c r="F183" t="s">
        <v>1879</v>
      </c>
      <c r="G183" t="s">
        <v>1880</v>
      </c>
      <c r="H183" t="s">
        <v>2114</v>
      </c>
      <c r="I183" t="s">
        <v>24</v>
      </c>
      <c r="J183">
        <v>124</v>
      </c>
      <c r="K183">
        <v>993</v>
      </c>
      <c r="L183">
        <v>10</v>
      </c>
      <c r="M183">
        <f>COUNTIF(H183:$H$2581,H183)</f>
        <v>1</v>
      </c>
    </row>
    <row r="184" spans="1:13" x14ac:dyDescent="0.2">
      <c r="A184">
        <v>431</v>
      </c>
      <c r="B184" t="s">
        <v>399</v>
      </c>
      <c r="C184" t="s">
        <v>3527</v>
      </c>
      <c r="D184" t="s">
        <v>33</v>
      </c>
      <c r="E184" t="s">
        <v>3528</v>
      </c>
      <c r="F184" t="s">
        <v>402</v>
      </c>
      <c r="G184" t="s">
        <v>3529</v>
      </c>
      <c r="H184" t="s">
        <v>2120</v>
      </c>
      <c r="I184" t="b">
        <v>0</v>
      </c>
      <c r="J184">
        <v>63</v>
      </c>
      <c r="K184">
        <v>432</v>
      </c>
      <c r="L184">
        <v>39</v>
      </c>
      <c r="M184">
        <f>COUNTIF(H184:$H$2581,H184)</f>
        <v>5</v>
      </c>
    </row>
    <row r="185" spans="1:13" x14ac:dyDescent="0.2">
      <c r="A185">
        <v>25</v>
      </c>
      <c r="B185" t="s">
        <v>2448</v>
      </c>
      <c r="C185" t="s">
        <v>3670</v>
      </c>
      <c r="D185" t="s">
        <v>54</v>
      </c>
      <c r="E185" t="s">
        <v>3671</v>
      </c>
      <c r="F185" t="s">
        <v>2451</v>
      </c>
      <c r="G185" t="s">
        <v>3672</v>
      </c>
      <c r="H185" t="s">
        <v>2142</v>
      </c>
      <c r="I185" t="s">
        <v>24</v>
      </c>
      <c r="J185">
        <v>6</v>
      </c>
      <c r="K185">
        <v>26</v>
      </c>
      <c r="L185">
        <v>22</v>
      </c>
      <c r="M185">
        <f>COUNTIF(H185:$H$2581,H185)</f>
        <v>1</v>
      </c>
    </row>
    <row r="186" spans="1:13" x14ac:dyDescent="0.2">
      <c r="A186">
        <v>1852</v>
      </c>
      <c r="B186" t="s">
        <v>631</v>
      </c>
      <c r="C186" t="s">
        <v>4526</v>
      </c>
      <c r="D186" t="s">
        <v>13</v>
      </c>
      <c r="E186" t="s">
        <v>4527</v>
      </c>
      <c r="F186" t="s">
        <v>634</v>
      </c>
      <c r="G186" t="s">
        <v>4528</v>
      </c>
      <c r="H186" t="s">
        <v>2146</v>
      </c>
      <c r="I186" t="s">
        <v>24</v>
      </c>
      <c r="J186">
        <v>215</v>
      </c>
      <c r="K186">
        <v>1853</v>
      </c>
      <c r="L186">
        <v>4</v>
      </c>
      <c r="M186">
        <f>COUNTIF(H186:$H$2581,H186)</f>
        <v>1</v>
      </c>
    </row>
    <row r="187" spans="1:13" x14ac:dyDescent="0.2">
      <c r="A187">
        <v>372</v>
      </c>
      <c r="B187" t="s">
        <v>2099</v>
      </c>
      <c r="C187" t="s">
        <v>5313</v>
      </c>
      <c r="D187" t="s">
        <v>54</v>
      </c>
      <c r="E187" t="s">
        <v>5314</v>
      </c>
      <c r="F187" t="s">
        <v>2102</v>
      </c>
      <c r="G187" t="s">
        <v>5315</v>
      </c>
      <c r="H187" t="s">
        <v>2150</v>
      </c>
      <c r="I187" t="b">
        <v>0</v>
      </c>
      <c r="J187">
        <v>51</v>
      </c>
      <c r="K187">
        <v>373</v>
      </c>
      <c r="L187">
        <v>24</v>
      </c>
      <c r="M187">
        <f>COUNTIF(H187:$H$2581,H187)</f>
        <v>1</v>
      </c>
    </row>
    <row r="188" spans="1:13" x14ac:dyDescent="0.2">
      <c r="A188">
        <v>756</v>
      </c>
      <c r="B188" t="s">
        <v>1868</v>
      </c>
      <c r="C188" t="s">
        <v>5718</v>
      </c>
      <c r="D188" t="s">
        <v>13</v>
      </c>
      <c r="E188" t="s">
        <v>5719</v>
      </c>
      <c r="F188" t="s">
        <v>1871</v>
      </c>
      <c r="G188" t="s">
        <v>5720</v>
      </c>
      <c r="H188" t="s">
        <v>2154</v>
      </c>
      <c r="I188" t="s">
        <v>24</v>
      </c>
      <c r="J188">
        <v>107</v>
      </c>
      <c r="K188">
        <v>757</v>
      </c>
      <c r="L188">
        <v>25</v>
      </c>
      <c r="M188">
        <f>COUNTIF(H188:$H$2581,H188)</f>
        <v>1</v>
      </c>
    </row>
    <row r="189" spans="1:13" x14ac:dyDescent="0.2">
      <c r="A189">
        <v>604</v>
      </c>
      <c r="B189" t="s">
        <v>1097</v>
      </c>
      <c r="C189" t="s">
        <v>5878</v>
      </c>
      <c r="D189" t="s">
        <v>13</v>
      </c>
      <c r="E189" t="s">
        <v>5879</v>
      </c>
      <c r="F189" t="s">
        <v>1100</v>
      </c>
      <c r="G189" t="s">
        <v>5880</v>
      </c>
      <c r="H189" t="s">
        <v>2158</v>
      </c>
      <c r="I189" t="b">
        <v>0</v>
      </c>
      <c r="J189">
        <v>90</v>
      </c>
      <c r="K189">
        <v>605</v>
      </c>
      <c r="L189">
        <v>124</v>
      </c>
      <c r="M189">
        <f>COUNTIF(H189:$H$2581,H189)</f>
        <v>1</v>
      </c>
    </row>
    <row r="190" spans="1:13" x14ac:dyDescent="0.2">
      <c r="A190">
        <v>1095</v>
      </c>
      <c r="B190" t="s">
        <v>1075</v>
      </c>
      <c r="C190" t="s">
        <v>6558</v>
      </c>
      <c r="D190" t="s">
        <v>13</v>
      </c>
      <c r="E190" t="s">
        <v>6559</v>
      </c>
      <c r="F190" t="s">
        <v>1078</v>
      </c>
      <c r="G190" t="s">
        <v>6560</v>
      </c>
      <c r="H190" t="s">
        <v>2162</v>
      </c>
      <c r="I190" t="s">
        <v>24</v>
      </c>
      <c r="J190">
        <v>133</v>
      </c>
      <c r="K190">
        <v>1096</v>
      </c>
      <c r="L190">
        <v>7</v>
      </c>
      <c r="M190">
        <f>COUNTIF(H190:$H$2581,H190)</f>
        <v>1</v>
      </c>
    </row>
    <row r="191" spans="1:13" x14ac:dyDescent="0.2">
      <c r="A191">
        <v>491</v>
      </c>
      <c r="B191" t="s">
        <v>182</v>
      </c>
      <c r="C191" t="s">
        <v>7751</v>
      </c>
      <c r="D191" t="s">
        <v>13</v>
      </c>
      <c r="E191" t="s">
        <v>7752</v>
      </c>
      <c r="F191" t="s">
        <v>185</v>
      </c>
      <c r="G191" t="s">
        <v>7753</v>
      </c>
      <c r="H191" t="s">
        <v>2166</v>
      </c>
      <c r="I191" t="b">
        <v>1</v>
      </c>
      <c r="J191">
        <v>69</v>
      </c>
      <c r="K191">
        <v>492</v>
      </c>
      <c r="L191">
        <v>27</v>
      </c>
      <c r="M191">
        <f>COUNTIF(H191:$H$2581,H191)</f>
        <v>1</v>
      </c>
    </row>
    <row r="192" spans="1:13" x14ac:dyDescent="0.2">
      <c r="A192">
        <v>1038</v>
      </c>
      <c r="B192" t="s">
        <v>1456</v>
      </c>
      <c r="C192" t="s">
        <v>1881</v>
      </c>
      <c r="D192" t="s">
        <v>13</v>
      </c>
      <c r="E192" t="s">
        <v>1882</v>
      </c>
      <c r="F192" t="s">
        <v>1459</v>
      </c>
      <c r="G192" t="s">
        <v>1883</v>
      </c>
      <c r="H192" t="s">
        <v>2170</v>
      </c>
      <c r="I192" t="s">
        <v>24</v>
      </c>
      <c r="J192">
        <v>130</v>
      </c>
      <c r="K192">
        <v>1039</v>
      </c>
      <c r="L192">
        <v>10</v>
      </c>
      <c r="M192">
        <f>COUNTIF(H192:$H$2581,H192)</f>
        <v>1</v>
      </c>
    </row>
    <row r="193" spans="1:13" x14ac:dyDescent="0.2">
      <c r="A193">
        <v>560</v>
      </c>
      <c r="B193" t="s">
        <v>2797</v>
      </c>
      <c r="C193" t="s">
        <v>3530</v>
      </c>
      <c r="D193" t="s">
        <v>13</v>
      </c>
      <c r="E193" t="s">
        <v>3531</v>
      </c>
      <c r="F193" t="s">
        <v>2800</v>
      </c>
      <c r="G193" t="s">
        <v>3532</v>
      </c>
      <c r="H193" t="s">
        <v>2174</v>
      </c>
      <c r="I193" t="s">
        <v>24</v>
      </c>
      <c r="J193">
        <v>84</v>
      </c>
      <c r="K193">
        <v>561</v>
      </c>
      <c r="L193">
        <v>39</v>
      </c>
      <c r="M193">
        <f>COUNTIF(H193:$H$2581,H193)</f>
        <v>9</v>
      </c>
    </row>
    <row r="194" spans="1:13" x14ac:dyDescent="0.2">
      <c r="A194">
        <v>224</v>
      </c>
      <c r="B194" t="s">
        <v>1120</v>
      </c>
      <c r="C194" t="s">
        <v>3674</v>
      </c>
      <c r="D194" t="s">
        <v>13</v>
      </c>
      <c r="E194" t="s">
        <v>3675</v>
      </c>
      <c r="F194" s="1" t="s">
        <v>1123</v>
      </c>
      <c r="G194" t="s">
        <v>3676</v>
      </c>
      <c r="H194" t="s">
        <v>2204</v>
      </c>
      <c r="I194" t="b">
        <v>0</v>
      </c>
      <c r="J194">
        <v>40</v>
      </c>
      <c r="K194">
        <v>225</v>
      </c>
      <c r="L194">
        <v>22</v>
      </c>
      <c r="M194">
        <f>COUNTIF(H194:$H$2581,H194)</f>
        <v>3</v>
      </c>
    </row>
    <row r="195" spans="1:13" x14ac:dyDescent="0.2">
      <c r="A195">
        <v>1858</v>
      </c>
      <c r="B195" t="s">
        <v>1295</v>
      </c>
      <c r="C195" t="s">
        <v>4526</v>
      </c>
      <c r="D195" t="s">
        <v>54</v>
      </c>
      <c r="E195" t="s">
        <v>4529</v>
      </c>
      <c r="F195" t="s">
        <v>1297</v>
      </c>
      <c r="G195" t="s">
        <v>4528</v>
      </c>
      <c r="H195" t="s">
        <v>2214</v>
      </c>
      <c r="I195" t="s">
        <v>24</v>
      </c>
      <c r="J195">
        <v>216</v>
      </c>
      <c r="K195">
        <v>1859</v>
      </c>
      <c r="L195">
        <v>4</v>
      </c>
      <c r="M195">
        <f>COUNTIF(H195:$H$2581,H195)</f>
        <v>2</v>
      </c>
    </row>
    <row r="196" spans="1:13" x14ac:dyDescent="0.2">
      <c r="A196">
        <v>442</v>
      </c>
      <c r="B196" t="s">
        <v>778</v>
      </c>
      <c r="C196" t="s">
        <v>5316</v>
      </c>
      <c r="D196" t="s">
        <v>54</v>
      </c>
      <c r="E196" t="s">
        <v>5317</v>
      </c>
      <c r="F196" t="s">
        <v>781</v>
      </c>
      <c r="G196" t="s">
        <v>5318</v>
      </c>
      <c r="H196" t="s">
        <v>2223</v>
      </c>
      <c r="I196" t="b">
        <v>0</v>
      </c>
      <c r="J196">
        <v>64</v>
      </c>
      <c r="K196">
        <v>443</v>
      </c>
      <c r="L196">
        <v>24</v>
      </c>
      <c r="M196">
        <f>COUNTIF(H196:$H$2581,H196)</f>
        <v>1</v>
      </c>
    </row>
    <row r="197" spans="1:13" x14ac:dyDescent="0.2">
      <c r="A197">
        <v>799</v>
      </c>
      <c r="B197" t="s">
        <v>116</v>
      </c>
      <c r="C197" t="s">
        <v>5721</v>
      </c>
      <c r="D197" t="s">
        <v>54</v>
      </c>
      <c r="E197" t="s">
        <v>5722</v>
      </c>
      <c r="F197" t="s">
        <v>119</v>
      </c>
      <c r="G197" t="s">
        <v>5723</v>
      </c>
      <c r="H197" t="s">
        <v>2227</v>
      </c>
      <c r="I197" t="s">
        <v>24</v>
      </c>
      <c r="J197">
        <v>112</v>
      </c>
      <c r="K197">
        <v>800</v>
      </c>
      <c r="L197">
        <v>25</v>
      </c>
      <c r="M197">
        <f>COUNTIF(H197:$H$2581,H197)</f>
        <v>10</v>
      </c>
    </row>
    <row r="198" spans="1:13" x14ac:dyDescent="0.2">
      <c r="A198">
        <v>605</v>
      </c>
      <c r="B198" t="s">
        <v>1097</v>
      </c>
      <c r="C198" t="s">
        <v>5881</v>
      </c>
      <c r="D198" t="s">
        <v>13</v>
      </c>
      <c r="E198" t="s">
        <v>5882</v>
      </c>
      <c r="F198" t="s">
        <v>1100</v>
      </c>
      <c r="G198" t="s">
        <v>5883</v>
      </c>
      <c r="H198" t="s">
        <v>2261</v>
      </c>
      <c r="I198" t="b">
        <v>0</v>
      </c>
      <c r="J198">
        <v>90</v>
      </c>
      <c r="K198">
        <v>606</v>
      </c>
      <c r="L198">
        <v>124</v>
      </c>
      <c r="M198">
        <f>COUNTIF(H198:$H$2581,H198)</f>
        <v>1</v>
      </c>
    </row>
    <row r="199" spans="1:13" x14ac:dyDescent="0.2">
      <c r="A199">
        <v>1112</v>
      </c>
      <c r="B199" t="s">
        <v>1103</v>
      </c>
      <c r="C199" t="s">
        <v>6561</v>
      </c>
      <c r="D199" t="s">
        <v>13</v>
      </c>
      <c r="E199" t="s">
        <v>6562</v>
      </c>
      <c r="F199" t="s">
        <v>1106</v>
      </c>
      <c r="G199" t="s">
        <v>6563</v>
      </c>
      <c r="H199" t="s">
        <v>2265</v>
      </c>
      <c r="I199" t="s">
        <v>24</v>
      </c>
      <c r="J199">
        <v>134</v>
      </c>
      <c r="K199">
        <v>1113</v>
      </c>
      <c r="L199">
        <v>7</v>
      </c>
      <c r="M199">
        <f>COUNTIF(H199:$H$2581,H199)</f>
        <v>1</v>
      </c>
    </row>
    <row r="200" spans="1:13" x14ac:dyDescent="0.2">
      <c r="A200">
        <v>17</v>
      </c>
      <c r="B200" t="s">
        <v>1840</v>
      </c>
      <c r="C200" t="s">
        <v>7018</v>
      </c>
      <c r="D200" t="s">
        <v>13</v>
      </c>
      <c r="E200" t="s">
        <v>7019</v>
      </c>
      <c r="F200" t="s">
        <v>1843</v>
      </c>
      <c r="G200" t="s">
        <v>7020</v>
      </c>
      <c r="H200" t="s">
        <v>2271</v>
      </c>
      <c r="I200" t="s">
        <v>24</v>
      </c>
      <c r="J200">
        <v>4</v>
      </c>
      <c r="K200">
        <v>18</v>
      </c>
      <c r="L200">
        <v>14</v>
      </c>
      <c r="M200">
        <f>COUNTIF(H200:$H$2581,H200)</f>
        <v>1</v>
      </c>
    </row>
    <row r="201" spans="1:13" x14ac:dyDescent="0.2">
      <c r="A201">
        <v>528</v>
      </c>
      <c r="B201" t="s">
        <v>881</v>
      </c>
      <c r="C201" t="s">
        <v>7754</v>
      </c>
      <c r="D201" t="s">
        <v>54</v>
      </c>
      <c r="E201" t="s">
        <v>7755</v>
      </c>
      <c r="F201" t="s">
        <v>884</v>
      </c>
      <c r="G201" t="s">
        <v>7756</v>
      </c>
      <c r="H201" t="s">
        <v>2274</v>
      </c>
      <c r="I201" t="s">
        <v>24</v>
      </c>
      <c r="J201">
        <v>77</v>
      </c>
      <c r="K201">
        <v>529</v>
      </c>
      <c r="L201">
        <v>27</v>
      </c>
      <c r="M201">
        <f>COUNTIF(H201:$H$2581,H201)</f>
        <v>1</v>
      </c>
    </row>
    <row r="202" spans="1:13" x14ac:dyDescent="0.2">
      <c r="A202">
        <v>1050</v>
      </c>
      <c r="B202" t="s">
        <v>1884</v>
      </c>
      <c r="C202" t="s">
        <v>1885</v>
      </c>
      <c r="D202" t="s">
        <v>13</v>
      </c>
      <c r="E202" s="1" t="s">
        <v>1886</v>
      </c>
      <c r="F202" t="s">
        <v>1887</v>
      </c>
      <c r="G202" t="s">
        <v>1888</v>
      </c>
      <c r="H202" t="s">
        <v>2278</v>
      </c>
      <c r="I202" t="s">
        <v>24</v>
      </c>
      <c r="J202">
        <v>131</v>
      </c>
      <c r="K202">
        <v>1051</v>
      </c>
      <c r="L202">
        <v>10</v>
      </c>
      <c r="M202">
        <f>COUNTIF(H202:$H$2581,H202)</f>
        <v>2</v>
      </c>
    </row>
    <row r="203" spans="1:13" x14ac:dyDescent="0.2">
      <c r="A203">
        <v>580</v>
      </c>
      <c r="B203" t="s">
        <v>3533</v>
      </c>
      <c r="C203" t="s">
        <v>3534</v>
      </c>
      <c r="D203" t="s">
        <v>54</v>
      </c>
      <c r="E203" t="s">
        <v>3535</v>
      </c>
      <c r="F203" t="s">
        <v>3536</v>
      </c>
      <c r="G203" t="s">
        <v>3537</v>
      </c>
      <c r="H203" t="s">
        <v>2285</v>
      </c>
      <c r="I203" t="s">
        <v>24</v>
      </c>
      <c r="J203">
        <v>87</v>
      </c>
      <c r="K203">
        <v>581</v>
      </c>
      <c r="L203">
        <v>39</v>
      </c>
      <c r="M203">
        <f>COUNTIF(H203:$H$2581,H203)</f>
        <v>14</v>
      </c>
    </row>
    <row r="204" spans="1:13" x14ac:dyDescent="0.2">
      <c r="A204">
        <v>246</v>
      </c>
      <c r="B204" t="s">
        <v>1849</v>
      </c>
      <c r="C204" t="s">
        <v>3677</v>
      </c>
      <c r="D204" t="s">
        <v>33</v>
      </c>
      <c r="E204" t="s">
        <v>3678</v>
      </c>
      <c r="F204" t="s">
        <v>1852</v>
      </c>
      <c r="G204" t="s">
        <v>3679</v>
      </c>
      <c r="H204" t="s">
        <v>2330</v>
      </c>
      <c r="I204" t="b">
        <v>0</v>
      </c>
      <c r="J204">
        <v>41</v>
      </c>
      <c r="K204">
        <v>247</v>
      </c>
      <c r="L204">
        <v>22</v>
      </c>
      <c r="M204">
        <f>COUNTIF(H204:$H$2581,H204)</f>
        <v>29</v>
      </c>
    </row>
    <row r="205" spans="1:13" x14ac:dyDescent="0.2">
      <c r="A205">
        <v>1872</v>
      </c>
      <c r="B205" t="s">
        <v>749</v>
      </c>
      <c r="C205" t="s">
        <v>4530</v>
      </c>
      <c r="D205" t="s">
        <v>13</v>
      </c>
      <c r="E205" t="s">
        <v>4531</v>
      </c>
      <c r="F205" t="s">
        <v>752</v>
      </c>
      <c r="G205" t="s">
        <v>4532</v>
      </c>
      <c r="H205" t="s">
        <v>2420</v>
      </c>
      <c r="I205" t="s">
        <v>24</v>
      </c>
      <c r="J205">
        <v>218</v>
      </c>
      <c r="K205">
        <v>1873</v>
      </c>
      <c r="L205">
        <v>4</v>
      </c>
      <c r="M205">
        <f>COUNTIF(H205:$H$2581,H205)</f>
        <v>1</v>
      </c>
    </row>
    <row r="206" spans="1:13" x14ac:dyDescent="0.2">
      <c r="A206">
        <v>471</v>
      </c>
      <c r="B206" t="s">
        <v>928</v>
      </c>
      <c r="C206" t="s">
        <v>5319</v>
      </c>
      <c r="D206" t="s">
        <v>13</v>
      </c>
      <c r="E206" t="s">
        <v>5320</v>
      </c>
      <c r="F206" t="s">
        <v>931</v>
      </c>
      <c r="G206" t="s">
        <v>5321</v>
      </c>
      <c r="H206" t="s">
        <v>2424</v>
      </c>
      <c r="I206" t="b">
        <v>0</v>
      </c>
      <c r="J206">
        <v>67</v>
      </c>
      <c r="K206">
        <v>472</v>
      </c>
      <c r="L206">
        <v>24</v>
      </c>
      <c r="M206">
        <f>COUNTIF(H206:$H$2581,H206)</f>
        <v>4</v>
      </c>
    </row>
    <row r="207" spans="1:13" x14ac:dyDescent="0.2">
      <c r="A207">
        <v>837</v>
      </c>
      <c r="B207" t="s">
        <v>176</v>
      </c>
      <c r="C207" t="s">
        <v>5724</v>
      </c>
      <c r="D207" t="s">
        <v>54</v>
      </c>
      <c r="E207" t="s">
        <v>5725</v>
      </c>
      <c r="F207" t="s">
        <v>179</v>
      </c>
      <c r="G207" t="s">
        <v>5726</v>
      </c>
      <c r="H207" t="s">
        <v>2437</v>
      </c>
      <c r="I207" t="s">
        <v>24</v>
      </c>
      <c r="J207">
        <v>115</v>
      </c>
      <c r="K207">
        <v>838</v>
      </c>
      <c r="L207">
        <v>25</v>
      </c>
      <c r="M207">
        <f>COUNTIF(H207:$H$2581,H207)</f>
        <v>1</v>
      </c>
    </row>
    <row r="208" spans="1:13" x14ac:dyDescent="0.2">
      <c r="A208">
        <v>695</v>
      </c>
      <c r="B208" t="s">
        <v>1131</v>
      </c>
      <c r="C208" t="s">
        <v>5884</v>
      </c>
      <c r="D208" t="s">
        <v>13</v>
      </c>
      <c r="E208" t="s">
        <v>5885</v>
      </c>
      <c r="F208" s="1" t="s">
        <v>1134</v>
      </c>
      <c r="G208" t="s">
        <v>5886</v>
      </c>
      <c r="H208" t="s">
        <v>2443</v>
      </c>
      <c r="I208" t="b">
        <v>0</v>
      </c>
      <c r="J208">
        <v>102</v>
      </c>
      <c r="K208">
        <v>696</v>
      </c>
      <c r="L208">
        <v>124</v>
      </c>
      <c r="M208">
        <f>COUNTIF(H208:$H$2581,H208)</f>
        <v>1</v>
      </c>
    </row>
    <row r="209" spans="1:13" x14ac:dyDescent="0.2">
      <c r="A209">
        <v>1149</v>
      </c>
      <c r="B209" t="s">
        <v>957</v>
      </c>
      <c r="C209" t="s">
        <v>6564</v>
      </c>
      <c r="D209" t="s">
        <v>13</v>
      </c>
      <c r="E209" t="s">
        <v>6565</v>
      </c>
      <c r="F209" t="s">
        <v>960</v>
      </c>
      <c r="G209" t="s">
        <v>6566</v>
      </c>
      <c r="H209" t="s">
        <v>2447</v>
      </c>
      <c r="I209" t="s">
        <v>24</v>
      </c>
      <c r="J209">
        <v>140</v>
      </c>
      <c r="K209">
        <v>1150</v>
      </c>
      <c r="L209">
        <v>7</v>
      </c>
      <c r="M209">
        <f>COUNTIF(H209:$H$2581,H209)</f>
        <v>1</v>
      </c>
    </row>
    <row r="210" spans="1:13" x14ac:dyDescent="0.2">
      <c r="A210">
        <v>237</v>
      </c>
      <c r="B210" t="s">
        <v>1120</v>
      </c>
      <c r="C210" t="s">
        <v>7022</v>
      </c>
      <c r="D210" t="s">
        <v>13</v>
      </c>
      <c r="E210" t="s">
        <v>7023</v>
      </c>
      <c r="F210" s="1" t="s">
        <v>1123</v>
      </c>
      <c r="G210" t="s">
        <v>7024</v>
      </c>
      <c r="H210" t="s">
        <v>2453</v>
      </c>
      <c r="I210" t="b">
        <v>0</v>
      </c>
      <c r="J210">
        <v>40</v>
      </c>
      <c r="K210">
        <v>238</v>
      </c>
      <c r="L210">
        <v>14</v>
      </c>
      <c r="M210">
        <f>COUNTIF(H210:$H$2581,H210)</f>
        <v>9</v>
      </c>
    </row>
    <row r="211" spans="1:13" x14ac:dyDescent="0.2">
      <c r="A211">
        <v>586</v>
      </c>
      <c r="B211" t="s">
        <v>3533</v>
      </c>
      <c r="C211" t="s">
        <v>7757</v>
      </c>
      <c r="D211" t="s">
        <v>54</v>
      </c>
      <c r="E211" t="s">
        <v>7758</v>
      </c>
      <c r="F211" t="s">
        <v>3536</v>
      </c>
      <c r="G211" t="s">
        <v>7759</v>
      </c>
      <c r="H211" t="s">
        <v>2481</v>
      </c>
      <c r="I211" t="s">
        <v>24</v>
      </c>
      <c r="J211">
        <v>87</v>
      </c>
      <c r="K211">
        <v>587</v>
      </c>
      <c r="L211">
        <v>27</v>
      </c>
      <c r="M211">
        <f>COUNTIF(H211:$H$2581,H211)</f>
        <v>1</v>
      </c>
    </row>
    <row r="212" spans="1:13" x14ac:dyDescent="0.2">
      <c r="A212">
        <v>37</v>
      </c>
      <c r="B212" t="s">
        <v>2448</v>
      </c>
      <c r="C212" t="s">
        <v>8137</v>
      </c>
      <c r="D212" t="s">
        <v>13</v>
      </c>
      <c r="E212" t="s">
        <v>8138</v>
      </c>
      <c r="F212" t="s">
        <v>2451</v>
      </c>
      <c r="G212" t="s">
        <v>8139</v>
      </c>
      <c r="H212" t="s">
        <v>2484</v>
      </c>
      <c r="I212" t="s">
        <v>24</v>
      </c>
      <c r="J212">
        <v>6</v>
      </c>
      <c r="K212">
        <v>38</v>
      </c>
      <c r="L212">
        <v>30</v>
      </c>
      <c r="M212">
        <f>COUNTIF(H212:$H$2581,H212)</f>
        <v>5</v>
      </c>
    </row>
    <row r="213" spans="1:13" x14ac:dyDescent="0.2">
      <c r="A213">
        <v>38</v>
      </c>
      <c r="B213" t="s">
        <v>2448</v>
      </c>
      <c r="C213" t="s">
        <v>8704</v>
      </c>
      <c r="D213" t="s">
        <v>54</v>
      </c>
      <c r="E213" t="s">
        <v>8705</v>
      </c>
      <c r="F213" t="s">
        <v>2451</v>
      </c>
      <c r="G213" t="s">
        <v>8706</v>
      </c>
      <c r="H213" t="s">
        <v>2502</v>
      </c>
      <c r="I213" t="s">
        <v>24</v>
      </c>
      <c r="J213">
        <v>6</v>
      </c>
      <c r="K213">
        <v>39</v>
      </c>
      <c r="L213">
        <v>31</v>
      </c>
      <c r="M213">
        <f>COUNTIF(H213:$H$2581,H213)</f>
        <v>3</v>
      </c>
    </row>
    <row r="214" spans="1:13" x14ac:dyDescent="0.2">
      <c r="A214">
        <v>1088</v>
      </c>
      <c r="B214" t="s">
        <v>1075</v>
      </c>
      <c r="C214" t="s">
        <v>1889</v>
      </c>
      <c r="D214" t="s">
        <v>54</v>
      </c>
      <c r="E214" t="s">
        <v>1890</v>
      </c>
      <c r="F214" t="s">
        <v>1078</v>
      </c>
      <c r="G214" t="s">
        <v>1891</v>
      </c>
      <c r="H214" t="s">
        <v>2512</v>
      </c>
      <c r="I214" t="s">
        <v>24</v>
      </c>
      <c r="J214">
        <v>133</v>
      </c>
      <c r="K214">
        <v>1089</v>
      </c>
      <c r="L214">
        <v>10</v>
      </c>
      <c r="M214">
        <f>COUNTIF(H214:$H$2581,H214)</f>
        <v>5</v>
      </c>
    </row>
    <row r="215" spans="1:13" x14ac:dyDescent="0.2">
      <c r="A215">
        <v>663</v>
      </c>
      <c r="B215" t="s">
        <v>2053</v>
      </c>
      <c r="C215" t="s">
        <v>3538</v>
      </c>
      <c r="D215" t="s">
        <v>13</v>
      </c>
      <c r="E215" t="s">
        <v>3539</v>
      </c>
      <c r="F215" s="1" t="s">
        <v>2056</v>
      </c>
      <c r="G215" t="s">
        <v>3540</v>
      </c>
      <c r="H215" t="s">
        <v>2528</v>
      </c>
      <c r="I215" t="s">
        <v>24</v>
      </c>
      <c r="J215">
        <v>98</v>
      </c>
      <c r="K215">
        <v>664</v>
      </c>
      <c r="L215">
        <v>39</v>
      </c>
      <c r="M215">
        <f>COUNTIF(H215:$H$2581,H215)</f>
        <v>2</v>
      </c>
    </row>
    <row r="216" spans="1:13" x14ac:dyDescent="0.2">
      <c r="A216">
        <v>256</v>
      </c>
      <c r="B216" t="s">
        <v>1503</v>
      </c>
      <c r="C216" t="s">
        <v>3680</v>
      </c>
      <c r="D216" t="s">
        <v>33</v>
      </c>
      <c r="E216" t="s">
        <v>3681</v>
      </c>
      <c r="F216" t="s">
        <v>1506</v>
      </c>
      <c r="G216" t="s">
        <v>3682</v>
      </c>
      <c r="H216" t="s">
        <v>2535</v>
      </c>
      <c r="I216" t="b">
        <v>0</v>
      </c>
      <c r="J216">
        <v>42</v>
      </c>
      <c r="K216">
        <v>257</v>
      </c>
      <c r="L216">
        <v>22</v>
      </c>
      <c r="M216">
        <f>COUNTIF(H216:$H$2581,H216)</f>
        <v>2</v>
      </c>
    </row>
    <row r="217" spans="1:13" x14ac:dyDescent="0.2">
      <c r="A217">
        <v>1895</v>
      </c>
      <c r="B217" t="s">
        <v>1485</v>
      </c>
      <c r="C217" t="s">
        <v>4533</v>
      </c>
      <c r="D217" t="s">
        <v>54</v>
      </c>
      <c r="E217" t="s">
        <v>4534</v>
      </c>
      <c r="F217" t="s">
        <v>1488</v>
      </c>
      <c r="G217" t="s">
        <v>4535</v>
      </c>
      <c r="H217" t="s">
        <v>2542</v>
      </c>
      <c r="I217" t="b">
        <v>1</v>
      </c>
      <c r="J217">
        <v>220</v>
      </c>
      <c r="K217">
        <v>1896</v>
      </c>
      <c r="L217">
        <v>4</v>
      </c>
      <c r="M217">
        <f>COUNTIF(H217:$H$2581,H217)</f>
        <v>1</v>
      </c>
    </row>
    <row r="218" spans="1:13" x14ac:dyDescent="0.2">
      <c r="A218">
        <v>540</v>
      </c>
      <c r="B218" t="s">
        <v>188</v>
      </c>
      <c r="C218" t="s">
        <v>5322</v>
      </c>
      <c r="D218" t="s">
        <v>54</v>
      </c>
      <c r="E218" t="s">
        <v>5323</v>
      </c>
      <c r="F218" t="s">
        <v>191</v>
      </c>
      <c r="G218" t="s">
        <v>5324</v>
      </c>
      <c r="H218" t="s">
        <v>2546</v>
      </c>
      <c r="I218" t="b">
        <v>0</v>
      </c>
      <c r="J218">
        <v>80</v>
      </c>
      <c r="K218">
        <v>541</v>
      </c>
      <c r="L218">
        <v>24</v>
      </c>
      <c r="M218">
        <f>COUNTIF(H218:$H$2581,H218)</f>
        <v>2</v>
      </c>
    </row>
    <row r="219" spans="1:13" x14ac:dyDescent="0.2">
      <c r="A219">
        <v>923</v>
      </c>
      <c r="B219" t="s">
        <v>271</v>
      </c>
      <c r="C219" t="s">
        <v>5727</v>
      </c>
      <c r="D219" t="s">
        <v>54</v>
      </c>
      <c r="E219" t="s">
        <v>5728</v>
      </c>
      <c r="F219" t="s">
        <v>274</v>
      </c>
      <c r="G219" t="s">
        <v>5729</v>
      </c>
      <c r="H219" t="s">
        <v>2553</v>
      </c>
      <c r="I219" t="s">
        <v>24</v>
      </c>
      <c r="J219">
        <v>121</v>
      </c>
      <c r="K219">
        <v>924</v>
      </c>
      <c r="L219">
        <v>25</v>
      </c>
      <c r="M219">
        <f>COUNTIF(H219:$H$2581,H219)</f>
        <v>1</v>
      </c>
    </row>
    <row r="220" spans="1:13" x14ac:dyDescent="0.2">
      <c r="A220">
        <v>710</v>
      </c>
      <c r="B220" t="s">
        <v>730</v>
      </c>
      <c r="C220" t="s">
        <v>5887</v>
      </c>
      <c r="D220" t="s">
        <v>13</v>
      </c>
      <c r="E220" t="s">
        <v>5888</v>
      </c>
      <c r="F220" t="s">
        <v>733</v>
      </c>
      <c r="G220" t="s">
        <v>5889</v>
      </c>
      <c r="H220" t="s">
        <v>2557</v>
      </c>
      <c r="I220" t="s">
        <v>24</v>
      </c>
      <c r="J220">
        <v>103</v>
      </c>
      <c r="K220">
        <v>711</v>
      </c>
      <c r="L220">
        <v>124</v>
      </c>
      <c r="M220">
        <f>COUNTIF(H220:$H$2581,H220)</f>
        <v>4</v>
      </c>
    </row>
    <row r="221" spans="1:13" x14ac:dyDescent="0.2">
      <c r="A221">
        <v>1189</v>
      </c>
      <c r="B221" t="s">
        <v>1054</v>
      </c>
      <c r="C221" t="s">
        <v>6567</v>
      </c>
      <c r="D221" t="s">
        <v>33</v>
      </c>
      <c r="E221" t="s">
        <v>6568</v>
      </c>
      <c r="F221" t="s">
        <v>1057</v>
      </c>
      <c r="G221" t="s">
        <v>6569</v>
      </c>
      <c r="H221" t="s">
        <v>2570</v>
      </c>
      <c r="I221" t="s">
        <v>24</v>
      </c>
      <c r="J221">
        <v>145</v>
      </c>
      <c r="K221">
        <v>1190</v>
      </c>
      <c r="L221">
        <v>7</v>
      </c>
      <c r="M221">
        <f>COUNTIF(H221:$H$2581,H221)</f>
        <v>1</v>
      </c>
    </row>
    <row r="222" spans="1:13" x14ac:dyDescent="0.2">
      <c r="A222">
        <v>251</v>
      </c>
      <c r="B222" t="s">
        <v>1849</v>
      </c>
      <c r="C222" t="s">
        <v>7025</v>
      </c>
      <c r="D222" t="s">
        <v>33</v>
      </c>
      <c r="E222" t="s">
        <v>7026</v>
      </c>
      <c r="F222" t="s">
        <v>1852</v>
      </c>
      <c r="G222" t="s">
        <v>7027</v>
      </c>
      <c r="H222" t="s">
        <v>2574</v>
      </c>
      <c r="I222" t="b">
        <v>0</v>
      </c>
      <c r="J222">
        <v>41</v>
      </c>
      <c r="K222">
        <v>252</v>
      </c>
      <c r="L222">
        <v>14</v>
      </c>
      <c r="M222">
        <f>COUNTIF(H222:$H$2581,H222)</f>
        <v>6</v>
      </c>
    </row>
    <row r="223" spans="1:13" x14ac:dyDescent="0.2">
      <c r="A223">
        <v>868</v>
      </c>
      <c r="B223" t="s">
        <v>1091</v>
      </c>
      <c r="C223" t="s">
        <v>7760</v>
      </c>
      <c r="D223" t="s">
        <v>13</v>
      </c>
      <c r="E223" t="s">
        <v>7761</v>
      </c>
      <c r="F223" t="s">
        <v>1094</v>
      </c>
      <c r="G223" t="s">
        <v>7762</v>
      </c>
      <c r="H223" t="s">
        <v>2593</v>
      </c>
      <c r="I223" t="b">
        <v>1</v>
      </c>
      <c r="J223">
        <v>118</v>
      </c>
      <c r="K223">
        <v>869</v>
      </c>
      <c r="L223">
        <v>27</v>
      </c>
      <c r="M223">
        <f>COUNTIF(H223:$H$2581,H223)</f>
        <v>1</v>
      </c>
    </row>
    <row r="224" spans="1:13" x14ac:dyDescent="0.2">
      <c r="A224">
        <v>49</v>
      </c>
      <c r="B224" t="s">
        <v>2199</v>
      </c>
      <c r="C224" t="s">
        <v>8141</v>
      </c>
      <c r="D224" t="s">
        <v>54</v>
      </c>
      <c r="E224" t="s">
        <v>8142</v>
      </c>
      <c r="F224" t="s">
        <v>2202</v>
      </c>
      <c r="G224" t="s">
        <v>8143</v>
      </c>
      <c r="H224" t="s">
        <v>2597</v>
      </c>
      <c r="I224" t="s">
        <v>24</v>
      </c>
      <c r="J224">
        <v>7</v>
      </c>
      <c r="K224">
        <v>50</v>
      </c>
      <c r="L224">
        <v>30</v>
      </c>
      <c r="M224">
        <f>COUNTIF(H224:$H$2581,H224)</f>
        <v>1</v>
      </c>
    </row>
    <row r="225" spans="1:13" x14ac:dyDescent="0.2">
      <c r="A225">
        <v>57</v>
      </c>
      <c r="B225" t="s">
        <v>1357</v>
      </c>
      <c r="C225" t="s">
        <v>8708</v>
      </c>
      <c r="D225" t="s">
        <v>54</v>
      </c>
      <c r="E225" s="1" t="s">
        <v>8709</v>
      </c>
      <c r="F225" t="s">
        <v>1360</v>
      </c>
      <c r="G225" t="s">
        <v>8710</v>
      </c>
      <c r="H225" t="s">
        <v>2601</v>
      </c>
      <c r="I225" t="b">
        <v>0</v>
      </c>
      <c r="J225">
        <v>8</v>
      </c>
      <c r="K225">
        <v>58</v>
      </c>
      <c r="L225">
        <v>31</v>
      </c>
      <c r="M225">
        <f>COUNTIF(H225:$H$2581,H225)</f>
        <v>2</v>
      </c>
    </row>
    <row r="226" spans="1:13" x14ac:dyDescent="0.2">
      <c r="A226">
        <v>1114</v>
      </c>
      <c r="B226" t="s">
        <v>1892</v>
      </c>
      <c r="C226" t="s">
        <v>1893</v>
      </c>
      <c r="D226" t="s">
        <v>13</v>
      </c>
      <c r="E226" t="s">
        <v>1894</v>
      </c>
      <c r="F226" t="s">
        <v>1895</v>
      </c>
      <c r="G226" t="s">
        <v>1896</v>
      </c>
      <c r="H226" t="s">
        <v>2608</v>
      </c>
      <c r="I226" t="s">
        <v>24</v>
      </c>
      <c r="J226">
        <v>135</v>
      </c>
      <c r="K226">
        <v>1115</v>
      </c>
      <c r="L226">
        <v>10</v>
      </c>
      <c r="M226">
        <f>COUNTIF(H226:$H$2581,H226)</f>
        <v>1</v>
      </c>
    </row>
    <row r="227" spans="1:13" x14ac:dyDescent="0.2">
      <c r="A227">
        <v>726</v>
      </c>
      <c r="B227" t="s">
        <v>1349</v>
      </c>
      <c r="C227" t="s">
        <v>3541</v>
      </c>
      <c r="D227" t="s">
        <v>13</v>
      </c>
      <c r="E227" t="s">
        <v>3542</v>
      </c>
      <c r="F227" t="s">
        <v>1352</v>
      </c>
      <c r="G227" t="s">
        <v>3543</v>
      </c>
      <c r="H227" t="s">
        <v>2612</v>
      </c>
      <c r="I227" t="b">
        <v>1</v>
      </c>
      <c r="J227">
        <v>104</v>
      </c>
      <c r="K227">
        <v>727</v>
      </c>
      <c r="L227">
        <v>39</v>
      </c>
      <c r="M227">
        <f>COUNTIF(H227:$H$2581,H227)</f>
        <v>7</v>
      </c>
    </row>
    <row r="228" spans="1:13" x14ac:dyDescent="0.2">
      <c r="A228">
        <v>270</v>
      </c>
      <c r="B228" t="s">
        <v>1126</v>
      </c>
      <c r="C228" t="s">
        <v>3683</v>
      </c>
      <c r="D228" t="s">
        <v>33</v>
      </c>
      <c r="E228" t="s">
        <v>3684</v>
      </c>
      <c r="F228" t="s">
        <v>1129</v>
      </c>
      <c r="G228" t="s">
        <v>3685</v>
      </c>
      <c r="H228" t="s">
        <v>2634</v>
      </c>
      <c r="I228" t="b">
        <v>0</v>
      </c>
      <c r="J228">
        <v>43</v>
      </c>
      <c r="K228">
        <v>271</v>
      </c>
      <c r="L228">
        <v>22</v>
      </c>
      <c r="M228">
        <f>COUNTIF(H228:$H$2581,H228)</f>
        <v>1</v>
      </c>
    </row>
    <row r="229" spans="1:13" x14ac:dyDescent="0.2">
      <c r="A229">
        <v>1933</v>
      </c>
      <c r="B229" t="s">
        <v>439</v>
      </c>
      <c r="C229" t="s">
        <v>4536</v>
      </c>
      <c r="D229" t="s">
        <v>54</v>
      </c>
      <c r="E229" t="s">
        <v>4537</v>
      </c>
      <c r="F229" t="s">
        <v>442</v>
      </c>
      <c r="G229" t="s">
        <v>4538</v>
      </c>
      <c r="H229" t="s">
        <v>2638</v>
      </c>
      <c r="I229" t="b">
        <v>0</v>
      </c>
      <c r="J229">
        <v>224</v>
      </c>
      <c r="K229">
        <v>1934</v>
      </c>
      <c r="L229">
        <v>4</v>
      </c>
      <c r="M229">
        <f>COUNTIF(H229:$H$2581,H229)</f>
        <v>1</v>
      </c>
    </row>
    <row r="230" spans="1:13" x14ac:dyDescent="0.2">
      <c r="A230">
        <v>617</v>
      </c>
      <c r="B230" t="s">
        <v>1491</v>
      </c>
      <c r="C230" t="s">
        <v>5325</v>
      </c>
      <c r="D230" t="s">
        <v>54</v>
      </c>
      <c r="E230" t="s">
        <v>5326</v>
      </c>
      <c r="F230" t="s">
        <v>1494</v>
      </c>
      <c r="G230" t="s">
        <v>5327</v>
      </c>
      <c r="H230" t="s">
        <v>2642</v>
      </c>
      <c r="I230" t="b">
        <v>0</v>
      </c>
      <c r="J230">
        <v>91</v>
      </c>
      <c r="K230">
        <v>618</v>
      </c>
      <c r="L230">
        <v>24</v>
      </c>
      <c r="M230">
        <f>COUNTIF(H230:$H$2581,H230)</f>
        <v>1</v>
      </c>
    </row>
    <row r="231" spans="1:13" x14ac:dyDescent="0.2">
      <c r="A231">
        <v>973</v>
      </c>
      <c r="B231" t="s">
        <v>203</v>
      </c>
      <c r="C231" t="s">
        <v>5730</v>
      </c>
      <c r="D231" t="s">
        <v>54</v>
      </c>
      <c r="E231" t="s">
        <v>5731</v>
      </c>
      <c r="F231" t="s">
        <v>206</v>
      </c>
      <c r="G231" t="s">
        <v>5732</v>
      </c>
      <c r="H231" t="s">
        <v>2646</v>
      </c>
      <c r="I231" t="b">
        <v>1</v>
      </c>
      <c r="J231">
        <v>123</v>
      </c>
      <c r="K231">
        <v>974</v>
      </c>
      <c r="L231">
        <v>25</v>
      </c>
      <c r="M231">
        <f>COUNTIF(H231:$H$2581,H231)</f>
        <v>1</v>
      </c>
    </row>
    <row r="232" spans="1:13" x14ac:dyDescent="0.2">
      <c r="A232">
        <v>711</v>
      </c>
      <c r="B232" t="s">
        <v>730</v>
      </c>
      <c r="C232" t="s">
        <v>5890</v>
      </c>
      <c r="D232" t="s">
        <v>33</v>
      </c>
      <c r="E232" t="s">
        <v>5891</v>
      </c>
      <c r="F232" t="s">
        <v>733</v>
      </c>
      <c r="G232" t="s">
        <v>5892</v>
      </c>
      <c r="H232" t="s">
        <v>2650</v>
      </c>
      <c r="I232" t="s">
        <v>24</v>
      </c>
      <c r="J232">
        <v>103</v>
      </c>
      <c r="K232">
        <v>712</v>
      </c>
      <c r="L232">
        <v>124</v>
      </c>
      <c r="M232">
        <f>COUNTIF(H232:$H$2581,H232)</f>
        <v>1</v>
      </c>
    </row>
    <row r="233" spans="1:13" x14ac:dyDescent="0.2">
      <c r="A233">
        <v>1244</v>
      </c>
      <c r="B233" t="s">
        <v>1461</v>
      </c>
      <c r="C233" t="s">
        <v>6570</v>
      </c>
      <c r="D233" t="s">
        <v>33</v>
      </c>
      <c r="E233" t="s">
        <v>6571</v>
      </c>
      <c r="F233" t="s">
        <v>1464</v>
      </c>
      <c r="G233" t="s">
        <v>6572</v>
      </c>
      <c r="H233" t="s">
        <v>2656</v>
      </c>
      <c r="I233" t="b">
        <v>0</v>
      </c>
      <c r="J233">
        <v>152</v>
      </c>
      <c r="K233">
        <v>1245</v>
      </c>
      <c r="L233">
        <v>7</v>
      </c>
      <c r="M233">
        <f>COUNTIF(H233:$H$2581,H233)</f>
        <v>1</v>
      </c>
    </row>
    <row r="234" spans="1:13" x14ac:dyDescent="0.2">
      <c r="A234">
        <v>287</v>
      </c>
      <c r="B234" t="s">
        <v>2105</v>
      </c>
      <c r="C234" t="s">
        <v>7028</v>
      </c>
      <c r="D234" t="s">
        <v>54</v>
      </c>
      <c r="E234" t="s">
        <v>7029</v>
      </c>
      <c r="F234" t="s">
        <v>2108</v>
      </c>
      <c r="G234" t="s">
        <v>7030</v>
      </c>
      <c r="H234" t="s">
        <v>2660</v>
      </c>
      <c r="I234" t="s">
        <v>24</v>
      </c>
      <c r="J234">
        <v>44</v>
      </c>
      <c r="K234">
        <v>288</v>
      </c>
      <c r="L234">
        <v>14</v>
      </c>
      <c r="M234">
        <f>COUNTIF(H234:$H$2581,H234)</f>
        <v>3</v>
      </c>
    </row>
    <row r="235" spans="1:13" x14ac:dyDescent="0.2">
      <c r="A235">
        <v>1035</v>
      </c>
      <c r="B235" t="s">
        <v>1215</v>
      </c>
      <c r="C235" t="s">
        <v>7763</v>
      </c>
      <c r="D235" t="s">
        <v>13</v>
      </c>
      <c r="E235" t="s">
        <v>7764</v>
      </c>
      <c r="F235" t="s">
        <v>1218</v>
      </c>
      <c r="G235" t="s">
        <v>7765</v>
      </c>
      <c r="H235" t="s">
        <v>6</v>
      </c>
      <c r="I235" t="b">
        <v>1</v>
      </c>
      <c r="J235">
        <v>129</v>
      </c>
      <c r="K235">
        <v>1036</v>
      </c>
      <c r="L235">
        <v>27</v>
      </c>
      <c r="M235">
        <f>COUNTIF(H235:$H$2581,H235)</f>
        <v>1</v>
      </c>
    </row>
    <row r="236" spans="1:13" x14ac:dyDescent="0.2">
      <c r="A236">
        <v>241</v>
      </c>
      <c r="B236" t="s">
        <v>1120</v>
      </c>
      <c r="C236" t="s">
        <v>8144</v>
      </c>
      <c r="D236" t="s">
        <v>33</v>
      </c>
      <c r="E236" t="s">
        <v>8145</v>
      </c>
      <c r="F236" s="1" t="s">
        <v>1123</v>
      </c>
      <c r="G236" t="s">
        <v>8146</v>
      </c>
      <c r="H236" t="s">
        <v>2670</v>
      </c>
      <c r="I236" t="b">
        <v>0</v>
      </c>
      <c r="J236">
        <v>40</v>
      </c>
      <c r="K236">
        <v>242</v>
      </c>
      <c r="L236">
        <v>30</v>
      </c>
      <c r="M236">
        <f>COUNTIF(H236:$H$2581,H236)</f>
        <v>1</v>
      </c>
    </row>
    <row r="237" spans="1:13" x14ac:dyDescent="0.2">
      <c r="A237">
        <v>244</v>
      </c>
      <c r="B237" t="s">
        <v>1120</v>
      </c>
      <c r="C237" t="s">
        <v>8711</v>
      </c>
      <c r="D237" t="s">
        <v>54</v>
      </c>
      <c r="E237" t="s">
        <v>8712</v>
      </c>
      <c r="F237" s="1" t="s">
        <v>1123</v>
      </c>
      <c r="G237" t="s">
        <v>8713</v>
      </c>
      <c r="H237" t="s">
        <v>2674</v>
      </c>
      <c r="I237" t="b">
        <v>0</v>
      </c>
      <c r="J237">
        <v>40</v>
      </c>
      <c r="K237">
        <v>245</v>
      </c>
      <c r="L237">
        <v>31</v>
      </c>
      <c r="M237">
        <f>COUNTIF(H237:$H$2581,H237)</f>
        <v>1</v>
      </c>
    </row>
    <row r="238" spans="1:13" x14ac:dyDescent="0.2">
      <c r="A238">
        <v>1181</v>
      </c>
      <c r="B238" t="s">
        <v>1054</v>
      </c>
      <c r="C238" t="s">
        <v>1897</v>
      </c>
      <c r="D238" t="s">
        <v>13</v>
      </c>
      <c r="E238" t="s">
        <v>1898</v>
      </c>
      <c r="F238" t="s">
        <v>1057</v>
      </c>
      <c r="G238" t="s">
        <v>1899</v>
      </c>
      <c r="H238" t="s">
        <v>2680</v>
      </c>
      <c r="I238" t="s">
        <v>24</v>
      </c>
      <c r="J238">
        <v>145</v>
      </c>
      <c r="K238">
        <v>1182</v>
      </c>
      <c r="L238">
        <v>10</v>
      </c>
      <c r="M238">
        <f>COUNTIF(H238:$H$2581,H238)</f>
        <v>1</v>
      </c>
    </row>
    <row r="239" spans="1:13" x14ac:dyDescent="0.2">
      <c r="A239">
        <v>727</v>
      </c>
      <c r="B239" t="s">
        <v>1349</v>
      </c>
      <c r="C239" t="s">
        <v>3544</v>
      </c>
      <c r="D239" t="s">
        <v>13</v>
      </c>
      <c r="E239" t="s">
        <v>3545</v>
      </c>
      <c r="F239" t="s">
        <v>1352</v>
      </c>
      <c r="G239" t="s">
        <v>3546</v>
      </c>
      <c r="H239" t="s">
        <v>2684</v>
      </c>
      <c r="I239" t="b">
        <v>1</v>
      </c>
      <c r="J239">
        <v>104</v>
      </c>
      <c r="K239">
        <v>728</v>
      </c>
      <c r="L239">
        <v>39</v>
      </c>
      <c r="M239">
        <f>COUNTIF(H239:$H$2581,H239)</f>
        <v>1</v>
      </c>
    </row>
    <row r="240" spans="1:13" x14ac:dyDescent="0.2">
      <c r="A240">
        <v>342</v>
      </c>
      <c r="B240" t="s">
        <v>455</v>
      </c>
      <c r="C240" t="s">
        <v>3686</v>
      </c>
      <c r="D240" t="s">
        <v>13</v>
      </c>
      <c r="E240" t="s">
        <v>3687</v>
      </c>
      <c r="F240" t="s">
        <v>458</v>
      </c>
      <c r="G240" t="s">
        <v>3688</v>
      </c>
      <c r="H240" t="s">
        <v>2688</v>
      </c>
      <c r="I240" t="b">
        <v>0</v>
      </c>
      <c r="J240">
        <v>49</v>
      </c>
      <c r="K240">
        <v>343</v>
      </c>
      <c r="L240">
        <v>22</v>
      </c>
      <c r="M240">
        <f>COUNTIF(H240:$H$2581,H240)</f>
        <v>2</v>
      </c>
    </row>
    <row r="241" spans="1:13" x14ac:dyDescent="0.2">
      <c r="A241">
        <v>1934</v>
      </c>
      <c r="B241" t="s">
        <v>439</v>
      </c>
      <c r="C241" t="s">
        <v>4539</v>
      </c>
      <c r="D241" t="s">
        <v>33</v>
      </c>
      <c r="E241" s="1" t="s">
        <v>4540</v>
      </c>
      <c r="F241" t="s">
        <v>442</v>
      </c>
      <c r="G241" t="s">
        <v>4541</v>
      </c>
      <c r="H241" t="s">
        <v>2695</v>
      </c>
      <c r="I241" t="b">
        <v>0</v>
      </c>
      <c r="J241">
        <v>224</v>
      </c>
      <c r="K241">
        <v>1935</v>
      </c>
      <c r="L241">
        <v>4</v>
      </c>
      <c r="M241">
        <f>COUNTIF(H241:$H$2581,H241)</f>
        <v>1</v>
      </c>
    </row>
    <row r="242" spans="1:13" x14ac:dyDescent="0.2">
      <c r="A242">
        <v>618</v>
      </c>
      <c r="B242" t="s">
        <v>1491</v>
      </c>
      <c r="C242" t="s">
        <v>5328</v>
      </c>
      <c r="D242" t="s">
        <v>33</v>
      </c>
      <c r="E242" t="s">
        <v>5329</v>
      </c>
      <c r="F242" t="s">
        <v>1494</v>
      </c>
      <c r="G242" t="s">
        <v>5330</v>
      </c>
      <c r="H242" t="s">
        <v>2699</v>
      </c>
      <c r="I242" t="b">
        <v>0</v>
      </c>
      <c r="J242">
        <v>91</v>
      </c>
      <c r="K242">
        <v>619</v>
      </c>
      <c r="L242">
        <v>24</v>
      </c>
      <c r="M242">
        <f>COUNTIF(H242:$H$2581,H242)</f>
        <v>2</v>
      </c>
    </row>
    <row r="243" spans="1:13" x14ac:dyDescent="0.2">
      <c r="A243">
        <v>1032</v>
      </c>
      <c r="B243" t="s">
        <v>1215</v>
      </c>
      <c r="C243" t="s">
        <v>5733</v>
      </c>
      <c r="D243" t="s">
        <v>13</v>
      </c>
      <c r="E243" t="s">
        <v>5734</v>
      </c>
      <c r="F243" t="s">
        <v>1218</v>
      </c>
      <c r="G243" t="s">
        <v>5735</v>
      </c>
      <c r="H243" t="s">
        <v>2706</v>
      </c>
      <c r="I243" t="b">
        <v>1</v>
      </c>
      <c r="J243">
        <v>129</v>
      </c>
      <c r="K243">
        <v>1033</v>
      </c>
      <c r="L243">
        <v>25</v>
      </c>
      <c r="M243">
        <f>COUNTIF(H243:$H$2581,H243)</f>
        <v>2</v>
      </c>
    </row>
    <row r="244" spans="1:13" x14ac:dyDescent="0.2">
      <c r="A244">
        <v>744</v>
      </c>
      <c r="B244" t="s">
        <v>1450</v>
      </c>
      <c r="C244" t="s">
        <v>5893</v>
      </c>
      <c r="D244" t="s">
        <v>33</v>
      </c>
      <c r="E244" t="s">
        <v>5894</v>
      </c>
      <c r="F244" s="1" t="s">
        <v>1453</v>
      </c>
      <c r="G244" t="s">
        <v>5895</v>
      </c>
      <c r="H244" t="s">
        <v>2713</v>
      </c>
      <c r="I244" t="b">
        <v>0</v>
      </c>
      <c r="J244">
        <v>105</v>
      </c>
      <c r="K244">
        <v>745</v>
      </c>
      <c r="L244">
        <v>124</v>
      </c>
      <c r="M244">
        <f>COUNTIF(H244:$H$2581,H244)</f>
        <v>1</v>
      </c>
    </row>
    <row r="245" spans="1:13" x14ac:dyDescent="0.2">
      <c r="A245">
        <v>1257</v>
      </c>
      <c r="B245" t="s">
        <v>3822</v>
      </c>
      <c r="C245" t="s">
        <v>6573</v>
      </c>
      <c r="D245" t="s">
        <v>13</v>
      </c>
      <c r="E245" t="s">
        <v>6574</v>
      </c>
      <c r="F245" t="s">
        <v>3825</v>
      </c>
      <c r="G245" t="s">
        <v>6575</v>
      </c>
      <c r="H245" t="s">
        <v>2717</v>
      </c>
      <c r="I245" t="s">
        <v>24</v>
      </c>
      <c r="J245">
        <v>155</v>
      </c>
      <c r="K245">
        <v>1258</v>
      </c>
      <c r="L245">
        <v>7</v>
      </c>
      <c r="M245">
        <f>COUNTIF(H245:$H$2581,H245)</f>
        <v>4</v>
      </c>
    </row>
    <row r="246" spans="1:13" x14ac:dyDescent="0.2">
      <c r="A246">
        <v>351</v>
      </c>
      <c r="B246" t="s">
        <v>455</v>
      </c>
      <c r="C246" t="s">
        <v>7031</v>
      </c>
      <c r="D246" t="s">
        <v>13</v>
      </c>
      <c r="E246" t="s">
        <v>7032</v>
      </c>
      <c r="F246" t="s">
        <v>458</v>
      </c>
      <c r="G246" t="s">
        <v>7033</v>
      </c>
      <c r="H246" t="s">
        <v>2736</v>
      </c>
      <c r="I246" t="b">
        <v>0</v>
      </c>
      <c r="J246">
        <v>49</v>
      </c>
      <c r="K246">
        <v>352</v>
      </c>
      <c r="L246">
        <v>14</v>
      </c>
      <c r="M246">
        <f>COUNTIF(H246:$H$2581,H246)</f>
        <v>1</v>
      </c>
    </row>
    <row r="247" spans="1:13" x14ac:dyDescent="0.2">
      <c r="A247">
        <v>1068</v>
      </c>
      <c r="B247" t="s">
        <v>1884</v>
      </c>
      <c r="C247" t="s">
        <v>7766</v>
      </c>
      <c r="D247" t="s">
        <v>13</v>
      </c>
      <c r="E247" t="s">
        <v>7767</v>
      </c>
      <c r="F247" t="s">
        <v>1887</v>
      </c>
      <c r="G247" t="s">
        <v>7768</v>
      </c>
      <c r="H247" t="s">
        <v>2740</v>
      </c>
      <c r="I247" t="s">
        <v>24</v>
      </c>
      <c r="J247">
        <v>131</v>
      </c>
      <c r="K247">
        <v>1069</v>
      </c>
      <c r="L247">
        <v>27</v>
      </c>
      <c r="M247">
        <f>COUNTIF(H247:$H$2581,H247)</f>
        <v>1</v>
      </c>
    </row>
    <row r="248" spans="1:13" x14ac:dyDescent="0.2">
      <c r="A248">
        <v>365</v>
      </c>
      <c r="B248" t="s">
        <v>975</v>
      </c>
      <c r="C248" t="s">
        <v>8147</v>
      </c>
      <c r="D248" t="s">
        <v>33</v>
      </c>
      <c r="E248" t="s">
        <v>8148</v>
      </c>
      <c r="F248" s="1" t="s">
        <v>978</v>
      </c>
      <c r="G248" t="s">
        <v>8149</v>
      </c>
      <c r="H248" t="s">
        <v>2744</v>
      </c>
      <c r="I248" t="b">
        <v>1</v>
      </c>
      <c r="J248">
        <v>50</v>
      </c>
      <c r="K248">
        <v>366</v>
      </c>
      <c r="L248">
        <v>30</v>
      </c>
      <c r="M248">
        <f>COUNTIF(H248:$H$2581,H248)</f>
        <v>2</v>
      </c>
    </row>
    <row r="249" spans="1:13" x14ac:dyDescent="0.2">
      <c r="A249">
        <v>369</v>
      </c>
      <c r="B249" t="s">
        <v>975</v>
      </c>
      <c r="C249" t="s">
        <v>8714</v>
      </c>
      <c r="D249" t="s">
        <v>13</v>
      </c>
      <c r="E249" t="s">
        <v>8715</v>
      </c>
      <c r="F249" s="1" t="s">
        <v>978</v>
      </c>
      <c r="G249" t="s">
        <v>8716</v>
      </c>
      <c r="H249" t="s">
        <v>2751</v>
      </c>
      <c r="I249" t="b">
        <v>1</v>
      </c>
      <c r="J249">
        <v>50</v>
      </c>
      <c r="K249">
        <v>370</v>
      </c>
      <c r="L249">
        <v>31</v>
      </c>
      <c r="M249">
        <f>COUNTIF(H249:$H$2581,H249)</f>
        <v>1</v>
      </c>
    </row>
    <row r="250" spans="1:13" x14ac:dyDescent="0.2">
      <c r="A250">
        <v>1201</v>
      </c>
      <c r="B250" t="s">
        <v>1509</v>
      </c>
      <c r="C250" t="s">
        <v>1900</v>
      </c>
      <c r="D250" t="s">
        <v>54</v>
      </c>
      <c r="E250" t="s">
        <v>1901</v>
      </c>
      <c r="F250" t="s">
        <v>1512</v>
      </c>
      <c r="G250" t="s">
        <v>1902</v>
      </c>
      <c r="H250" t="s">
        <v>2755</v>
      </c>
      <c r="I250" t="b">
        <v>1</v>
      </c>
      <c r="J250">
        <v>147</v>
      </c>
      <c r="K250">
        <v>1202</v>
      </c>
      <c r="L250">
        <v>10</v>
      </c>
      <c r="M250">
        <f>COUNTIF(H250:$H$2581,H250)</f>
        <v>1</v>
      </c>
    </row>
    <row r="251" spans="1:13" x14ac:dyDescent="0.2">
      <c r="A251">
        <v>769</v>
      </c>
      <c r="B251" t="s">
        <v>368</v>
      </c>
      <c r="C251" t="s">
        <v>3547</v>
      </c>
      <c r="D251" t="s">
        <v>13</v>
      </c>
      <c r="E251" t="s">
        <v>3548</v>
      </c>
      <c r="F251" t="s">
        <v>371</v>
      </c>
      <c r="G251" t="s">
        <v>3549</v>
      </c>
      <c r="H251" t="s">
        <v>2759</v>
      </c>
      <c r="I251" t="s">
        <v>24</v>
      </c>
      <c r="J251">
        <v>109</v>
      </c>
      <c r="K251">
        <v>770</v>
      </c>
      <c r="L251">
        <v>39</v>
      </c>
      <c r="M251">
        <f>COUNTIF(H251:$H$2581,H251)</f>
        <v>1</v>
      </c>
    </row>
    <row r="252" spans="1:13" x14ac:dyDescent="0.2">
      <c r="A252">
        <v>418</v>
      </c>
      <c r="B252" t="s">
        <v>3258</v>
      </c>
      <c r="C252" t="s">
        <v>3689</v>
      </c>
      <c r="D252" t="s">
        <v>13</v>
      </c>
      <c r="E252" t="s">
        <v>3690</v>
      </c>
      <c r="F252" t="s">
        <v>3261</v>
      </c>
      <c r="G252" t="s">
        <v>3691</v>
      </c>
      <c r="H252" t="s">
        <v>2763</v>
      </c>
      <c r="I252" t="b">
        <v>0</v>
      </c>
      <c r="J252">
        <v>61</v>
      </c>
      <c r="K252">
        <v>419</v>
      </c>
      <c r="L252">
        <v>22</v>
      </c>
      <c r="M252">
        <f>COUNTIF(H252:$H$2581,H252)</f>
        <v>1</v>
      </c>
    </row>
    <row r="253" spans="1:13" x14ac:dyDescent="0.2">
      <c r="A253">
        <v>1957</v>
      </c>
      <c r="B253" t="s">
        <v>1472</v>
      </c>
      <c r="C253" t="s">
        <v>4542</v>
      </c>
      <c r="D253" t="s">
        <v>13</v>
      </c>
      <c r="E253" t="s">
        <v>4543</v>
      </c>
      <c r="F253" t="s">
        <v>1475</v>
      </c>
      <c r="G253" t="s">
        <v>4544</v>
      </c>
      <c r="H253" t="s">
        <v>2767</v>
      </c>
      <c r="I253" t="b">
        <v>0</v>
      </c>
      <c r="J253">
        <v>225</v>
      </c>
      <c r="K253">
        <v>1958</v>
      </c>
      <c r="L253">
        <v>4</v>
      </c>
      <c r="M253">
        <f>COUNTIF(H253:$H$2581,H253)</f>
        <v>1</v>
      </c>
    </row>
    <row r="254" spans="1:13" x14ac:dyDescent="0.2">
      <c r="A254">
        <v>708</v>
      </c>
      <c r="B254" t="s">
        <v>730</v>
      </c>
      <c r="C254" t="s">
        <v>5331</v>
      </c>
      <c r="D254" t="s">
        <v>13</v>
      </c>
      <c r="E254" t="s">
        <v>5332</v>
      </c>
      <c r="F254" t="s">
        <v>733</v>
      </c>
      <c r="G254" t="s">
        <v>5333</v>
      </c>
      <c r="H254" t="s">
        <v>2771</v>
      </c>
      <c r="I254" t="s">
        <v>24</v>
      </c>
      <c r="J254">
        <v>103</v>
      </c>
      <c r="K254">
        <v>709</v>
      </c>
      <c r="L254">
        <v>24</v>
      </c>
      <c r="M254">
        <f>COUNTIF(H254:$H$2581,H254)</f>
        <v>2</v>
      </c>
    </row>
    <row r="255" spans="1:13" x14ac:dyDescent="0.2">
      <c r="A255">
        <v>1043</v>
      </c>
      <c r="B255" t="s">
        <v>1456</v>
      </c>
      <c r="C255" t="s">
        <v>5736</v>
      </c>
      <c r="D255" t="s">
        <v>13</v>
      </c>
      <c r="E255" t="s">
        <v>5737</v>
      </c>
      <c r="F255" t="s">
        <v>1459</v>
      </c>
      <c r="G255" t="s">
        <v>5738</v>
      </c>
      <c r="H255" t="s">
        <v>2778</v>
      </c>
      <c r="I255" t="s">
        <v>24</v>
      </c>
      <c r="J255">
        <v>130</v>
      </c>
      <c r="K255">
        <v>1044</v>
      </c>
      <c r="L255">
        <v>25</v>
      </c>
      <c r="M255">
        <f>COUNTIF(H255:$H$2581,H255)</f>
        <v>1</v>
      </c>
    </row>
    <row r="256" spans="1:13" x14ac:dyDescent="0.2">
      <c r="A256">
        <v>838</v>
      </c>
      <c r="B256" t="s">
        <v>176</v>
      </c>
      <c r="C256" t="s">
        <v>5896</v>
      </c>
      <c r="D256" t="s">
        <v>13</v>
      </c>
      <c r="E256" t="s">
        <v>5897</v>
      </c>
      <c r="F256" t="s">
        <v>179</v>
      </c>
      <c r="G256" t="s">
        <v>5898</v>
      </c>
      <c r="H256" t="s">
        <v>2782</v>
      </c>
      <c r="I256" t="s">
        <v>24</v>
      </c>
      <c r="J256">
        <v>115</v>
      </c>
      <c r="K256">
        <v>839</v>
      </c>
      <c r="L256">
        <v>124</v>
      </c>
      <c r="M256">
        <f>COUNTIF(H256:$H$2581,H256)</f>
        <v>1</v>
      </c>
    </row>
    <row r="257" spans="1:13" x14ac:dyDescent="0.2">
      <c r="A257">
        <v>1270</v>
      </c>
      <c r="B257" t="s">
        <v>1085</v>
      </c>
      <c r="C257" t="s">
        <v>6576</v>
      </c>
      <c r="D257" t="s">
        <v>13</v>
      </c>
      <c r="E257" t="s">
        <v>6577</v>
      </c>
      <c r="F257" t="s">
        <v>1088</v>
      </c>
      <c r="G257" t="s">
        <v>6578</v>
      </c>
      <c r="H257" t="s">
        <v>2786</v>
      </c>
      <c r="I257" t="s">
        <v>24</v>
      </c>
      <c r="J257">
        <v>156</v>
      </c>
      <c r="K257">
        <v>1271</v>
      </c>
      <c r="L257">
        <v>7</v>
      </c>
      <c r="M257">
        <f>COUNTIF(H257:$H$2581,H257)</f>
        <v>1</v>
      </c>
    </row>
    <row r="258" spans="1:13" x14ac:dyDescent="0.2">
      <c r="A258">
        <v>364</v>
      </c>
      <c r="B258" t="s">
        <v>975</v>
      </c>
      <c r="C258" t="s">
        <v>7034</v>
      </c>
      <c r="D258" t="s">
        <v>13</v>
      </c>
      <c r="E258" t="s">
        <v>7035</v>
      </c>
      <c r="F258" s="1" t="s">
        <v>978</v>
      </c>
      <c r="G258" t="s">
        <v>7036</v>
      </c>
      <c r="H258" t="s">
        <v>2790</v>
      </c>
      <c r="I258" t="b">
        <v>1</v>
      </c>
      <c r="J258">
        <v>50</v>
      </c>
      <c r="K258">
        <v>365</v>
      </c>
      <c r="L258">
        <v>14</v>
      </c>
      <c r="M258">
        <f>COUNTIF(H258:$H$2581,H258)</f>
        <v>5</v>
      </c>
    </row>
    <row r="259" spans="1:13" x14ac:dyDescent="0.2">
      <c r="A259">
        <v>1069</v>
      </c>
      <c r="B259" t="s">
        <v>1884</v>
      </c>
      <c r="C259" t="s">
        <v>7769</v>
      </c>
      <c r="D259" t="s">
        <v>13</v>
      </c>
      <c r="E259" t="s">
        <v>7770</v>
      </c>
      <c r="F259" t="s">
        <v>1887</v>
      </c>
      <c r="G259" t="s">
        <v>7771</v>
      </c>
      <c r="H259" t="s">
        <v>2808</v>
      </c>
      <c r="I259" t="s">
        <v>24</v>
      </c>
      <c r="J259">
        <v>131</v>
      </c>
      <c r="K259">
        <v>1070</v>
      </c>
      <c r="L259">
        <v>27</v>
      </c>
      <c r="M259">
        <f>COUNTIF(H259:$H$2581,H259)</f>
        <v>17</v>
      </c>
    </row>
    <row r="260" spans="1:13" x14ac:dyDescent="0.2">
      <c r="A260">
        <v>492</v>
      </c>
      <c r="B260" t="s">
        <v>182</v>
      </c>
      <c r="C260" t="s">
        <v>8150</v>
      </c>
      <c r="D260" t="s">
        <v>13</v>
      </c>
      <c r="E260" t="s">
        <v>8151</v>
      </c>
      <c r="F260" t="s">
        <v>185</v>
      </c>
      <c r="G260" t="s">
        <v>8152</v>
      </c>
      <c r="H260" t="s">
        <v>2860</v>
      </c>
      <c r="I260" t="b">
        <v>1</v>
      </c>
      <c r="J260">
        <v>69</v>
      </c>
      <c r="K260">
        <v>493</v>
      </c>
      <c r="L260">
        <v>30</v>
      </c>
      <c r="M260">
        <f>COUNTIF(H260:$H$2581,H260)</f>
        <v>5</v>
      </c>
    </row>
    <row r="261" spans="1:13" x14ac:dyDescent="0.2">
      <c r="A261">
        <v>383</v>
      </c>
      <c r="B261" t="s">
        <v>1659</v>
      </c>
      <c r="C261" t="s">
        <v>8717</v>
      </c>
      <c r="D261" t="s">
        <v>54</v>
      </c>
      <c r="E261" t="s">
        <v>8718</v>
      </c>
      <c r="F261" t="s">
        <v>1662</v>
      </c>
      <c r="G261" t="s">
        <v>8719</v>
      </c>
      <c r="H261" t="s">
        <v>2878</v>
      </c>
      <c r="I261" t="b">
        <v>0</v>
      </c>
      <c r="J261">
        <v>52</v>
      </c>
      <c r="K261">
        <v>384</v>
      </c>
      <c r="L261">
        <v>31</v>
      </c>
      <c r="M261">
        <f>COUNTIF(H261:$H$2581,H261)</f>
        <v>2</v>
      </c>
    </row>
    <row r="262" spans="1:13" x14ac:dyDescent="0.2">
      <c r="A262">
        <v>2215</v>
      </c>
      <c r="B262" t="s">
        <v>165</v>
      </c>
      <c r="C262" t="s">
        <v>166</v>
      </c>
      <c r="D262" t="s">
        <v>54</v>
      </c>
      <c r="E262" t="s">
        <v>167</v>
      </c>
      <c r="F262" t="s">
        <v>168</v>
      </c>
      <c r="G262" t="s">
        <v>169</v>
      </c>
      <c r="H262" t="s">
        <v>2887</v>
      </c>
      <c r="I262" t="s">
        <v>24</v>
      </c>
      <c r="J262">
        <v>261</v>
      </c>
      <c r="K262">
        <v>2216</v>
      </c>
      <c r="L262">
        <v>45</v>
      </c>
      <c r="M262">
        <f>COUNTIF(H262:$H$2581,H262)</f>
        <v>1</v>
      </c>
    </row>
    <row r="263" spans="1:13" x14ac:dyDescent="0.2">
      <c r="A263">
        <v>1233</v>
      </c>
      <c r="B263" t="s">
        <v>1461</v>
      </c>
      <c r="C263" t="s">
        <v>1903</v>
      </c>
      <c r="D263" t="s">
        <v>33</v>
      </c>
      <c r="E263" t="s">
        <v>1904</v>
      </c>
      <c r="F263" t="s">
        <v>1464</v>
      </c>
      <c r="G263" t="s">
        <v>1905</v>
      </c>
      <c r="H263" t="s">
        <v>2891</v>
      </c>
      <c r="I263" t="b">
        <v>0</v>
      </c>
      <c r="J263">
        <v>152</v>
      </c>
      <c r="K263">
        <v>1234</v>
      </c>
      <c r="L263">
        <v>10</v>
      </c>
      <c r="M263">
        <f>COUNTIF(H263:$H$2581,H263)</f>
        <v>1</v>
      </c>
    </row>
    <row r="264" spans="1:13" x14ac:dyDescent="0.2">
      <c r="A264">
        <v>782</v>
      </c>
      <c r="B264" t="s">
        <v>373</v>
      </c>
      <c r="C264" t="s">
        <v>3550</v>
      </c>
      <c r="D264" t="s">
        <v>13</v>
      </c>
      <c r="E264" t="s">
        <v>3551</v>
      </c>
      <c r="F264" s="1" t="s">
        <v>376</v>
      </c>
      <c r="G264" t="s">
        <v>3552</v>
      </c>
      <c r="H264" t="s">
        <v>2895</v>
      </c>
      <c r="I264" t="s">
        <v>24</v>
      </c>
      <c r="J264">
        <v>111</v>
      </c>
      <c r="K264">
        <v>783</v>
      </c>
      <c r="L264">
        <v>39</v>
      </c>
      <c r="M264">
        <f>COUNTIF(H264:$H$2581,H264)</f>
        <v>3</v>
      </c>
    </row>
    <row r="265" spans="1:13" x14ac:dyDescent="0.2">
      <c r="A265">
        <v>485</v>
      </c>
      <c r="B265" t="s">
        <v>182</v>
      </c>
      <c r="C265" t="s">
        <v>3692</v>
      </c>
      <c r="D265" t="s">
        <v>13</v>
      </c>
      <c r="E265" t="s">
        <v>3693</v>
      </c>
      <c r="F265" t="s">
        <v>185</v>
      </c>
      <c r="G265" t="s">
        <v>3694</v>
      </c>
      <c r="H265" t="s">
        <v>2907</v>
      </c>
      <c r="I265" t="b">
        <v>1</v>
      </c>
      <c r="J265">
        <v>69</v>
      </c>
      <c r="K265">
        <v>486</v>
      </c>
      <c r="L265">
        <v>22</v>
      </c>
      <c r="M265">
        <f>COUNTIF(H265:$H$2581,H265)</f>
        <v>1</v>
      </c>
    </row>
    <row r="266" spans="1:13" x14ac:dyDescent="0.2">
      <c r="A266">
        <v>1974</v>
      </c>
      <c r="B266" t="s">
        <v>608</v>
      </c>
      <c r="C266" t="s">
        <v>4545</v>
      </c>
      <c r="D266" t="s">
        <v>13</v>
      </c>
      <c r="E266" t="s">
        <v>4546</v>
      </c>
      <c r="F266" t="s">
        <v>611</v>
      </c>
      <c r="G266" t="s">
        <v>4547</v>
      </c>
      <c r="H266" t="s">
        <v>2911</v>
      </c>
      <c r="I266" t="b">
        <v>1</v>
      </c>
      <c r="J266">
        <v>227</v>
      </c>
      <c r="K266">
        <v>1975</v>
      </c>
      <c r="L266">
        <v>4</v>
      </c>
      <c r="M266">
        <f>COUNTIF(H266:$H$2581,H266)</f>
        <v>5</v>
      </c>
    </row>
    <row r="267" spans="1:13" x14ac:dyDescent="0.2">
      <c r="A267">
        <v>735</v>
      </c>
      <c r="B267" t="s">
        <v>1349</v>
      </c>
      <c r="C267" t="s">
        <v>5334</v>
      </c>
      <c r="D267" t="s">
        <v>54</v>
      </c>
      <c r="E267" t="s">
        <v>5335</v>
      </c>
      <c r="F267" t="s">
        <v>1352</v>
      </c>
      <c r="G267" t="s">
        <v>5336</v>
      </c>
      <c r="H267" t="s">
        <v>2927</v>
      </c>
      <c r="I267" t="b">
        <v>1</v>
      </c>
      <c r="J267">
        <v>104</v>
      </c>
      <c r="K267">
        <v>736</v>
      </c>
      <c r="L267">
        <v>24</v>
      </c>
      <c r="M267">
        <f>COUNTIF(H267:$H$2581,H267)</f>
        <v>1</v>
      </c>
    </row>
    <row r="268" spans="1:13" x14ac:dyDescent="0.2">
      <c r="A268">
        <v>1062</v>
      </c>
      <c r="B268" t="s">
        <v>1884</v>
      </c>
      <c r="C268" t="s">
        <v>5739</v>
      </c>
      <c r="D268" t="s">
        <v>13</v>
      </c>
      <c r="E268" t="s">
        <v>5740</v>
      </c>
      <c r="F268" t="s">
        <v>1887</v>
      </c>
      <c r="G268" t="s">
        <v>5741</v>
      </c>
      <c r="H268" t="s">
        <v>2931</v>
      </c>
      <c r="I268" t="s">
        <v>24</v>
      </c>
      <c r="J268">
        <v>131</v>
      </c>
      <c r="K268">
        <v>1063</v>
      </c>
      <c r="L268">
        <v>25</v>
      </c>
      <c r="M268">
        <f>COUNTIF(H268:$H$2581,H268)</f>
        <v>1</v>
      </c>
    </row>
    <row r="269" spans="1:13" x14ac:dyDescent="0.2">
      <c r="A269">
        <v>936</v>
      </c>
      <c r="B269" t="s">
        <v>498</v>
      </c>
      <c r="C269" t="s">
        <v>5899</v>
      </c>
      <c r="D269" t="s">
        <v>54</v>
      </c>
      <c r="E269" t="s">
        <v>5900</v>
      </c>
      <c r="F269" t="s">
        <v>501</v>
      </c>
      <c r="G269" t="s">
        <v>5901</v>
      </c>
      <c r="H269" t="s">
        <v>2935</v>
      </c>
      <c r="I269" t="b">
        <v>0</v>
      </c>
      <c r="J269">
        <v>122</v>
      </c>
      <c r="K269">
        <v>937</v>
      </c>
      <c r="L269">
        <v>124</v>
      </c>
      <c r="M269">
        <f>COUNTIF(H269:$H$2581,H269)</f>
        <v>1</v>
      </c>
    </row>
    <row r="270" spans="1:13" x14ac:dyDescent="0.2">
      <c r="A270">
        <v>10</v>
      </c>
      <c r="B270" t="s">
        <v>303</v>
      </c>
      <c r="C270" t="s">
        <v>6245</v>
      </c>
      <c r="D270" t="s">
        <v>54</v>
      </c>
      <c r="E270" t="s">
        <v>6246</v>
      </c>
      <c r="F270" t="s">
        <v>306</v>
      </c>
      <c r="G270" t="s">
        <v>6247</v>
      </c>
      <c r="H270" t="s">
        <v>2939</v>
      </c>
      <c r="I270" t="s">
        <v>24</v>
      </c>
      <c r="J270">
        <v>3</v>
      </c>
      <c r="K270">
        <v>11</v>
      </c>
      <c r="L270">
        <v>9</v>
      </c>
      <c r="M270">
        <f>COUNTIF(H270:$H$2581,H270)</f>
        <v>1</v>
      </c>
    </row>
    <row r="271" spans="1:13" x14ac:dyDescent="0.2">
      <c r="A271">
        <v>1294</v>
      </c>
      <c r="B271" t="s">
        <v>1679</v>
      </c>
      <c r="C271" t="s">
        <v>6579</v>
      </c>
      <c r="D271" t="s">
        <v>13</v>
      </c>
      <c r="E271" t="s">
        <v>6580</v>
      </c>
      <c r="F271" t="s">
        <v>1682</v>
      </c>
      <c r="G271" t="s">
        <v>6581</v>
      </c>
      <c r="H271" t="s">
        <v>2943</v>
      </c>
      <c r="I271" t="b">
        <v>1</v>
      </c>
      <c r="J271">
        <v>159</v>
      </c>
      <c r="K271">
        <v>1295</v>
      </c>
      <c r="L271">
        <v>7</v>
      </c>
      <c r="M271">
        <f>COUNTIF(H271:$H$2581,H271)</f>
        <v>12</v>
      </c>
    </row>
    <row r="272" spans="1:13" x14ac:dyDescent="0.2">
      <c r="A272">
        <v>398</v>
      </c>
      <c r="B272" t="s">
        <v>1568</v>
      </c>
      <c r="C272" t="s">
        <v>7037</v>
      </c>
      <c r="D272" t="s">
        <v>13</v>
      </c>
      <c r="E272" t="s">
        <v>7038</v>
      </c>
      <c r="F272" t="s">
        <v>1571</v>
      </c>
      <c r="G272" t="s">
        <v>7039</v>
      </c>
      <c r="H272" t="s">
        <v>2980</v>
      </c>
      <c r="I272" t="s">
        <v>24</v>
      </c>
      <c r="J272">
        <v>55</v>
      </c>
      <c r="K272">
        <v>399</v>
      </c>
      <c r="L272">
        <v>14</v>
      </c>
      <c r="M272">
        <f>COUNTIF(H272:$H$2581,H272)</f>
        <v>1</v>
      </c>
    </row>
    <row r="273" spans="1:13" x14ac:dyDescent="0.2">
      <c r="A273">
        <v>1083</v>
      </c>
      <c r="B273" t="s">
        <v>2230</v>
      </c>
      <c r="C273" t="s">
        <v>7772</v>
      </c>
      <c r="D273" t="s">
        <v>54</v>
      </c>
      <c r="E273" t="s">
        <v>7773</v>
      </c>
      <c r="F273" t="s">
        <v>2233</v>
      </c>
      <c r="G273" t="s">
        <v>7774</v>
      </c>
      <c r="H273" t="s">
        <v>2984</v>
      </c>
      <c r="I273" t="s">
        <v>24</v>
      </c>
      <c r="J273">
        <v>132</v>
      </c>
      <c r="K273">
        <v>1084</v>
      </c>
      <c r="L273">
        <v>27</v>
      </c>
      <c r="M273">
        <f>COUNTIF(H273:$H$2581,H273)</f>
        <v>1</v>
      </c>
    </row>
    <row r="274" spans="1:13" x14ac:dyDescent="0.2">
      <c r="A274">
        <v>629</v>
      </c>
      <c r="B274" t="s">
        <v>1491</v>
      </c>
      <c r="C274" t="s">
        <v>8153</v>
      </c>
      <c r="D274" t="s">
        <v>54</v>
      </c>
      <c r="E274" t="s">
        <v>8154</v>
      </c>
      <c r="F274" t="s">
        <v>1494</v>
      </c>
      <c r="G274" t="s">
        <v>8155</v>
      </c>
      <c r="H274" t="s">
        <v>2988</v>
      </c>
      <c r="I274" t="b">
        <v>0</v>
      </c>
      <c r="J274">
        <v>91</v>
      </c>
      <c r="K274">
        <v>630</v>
      </c>
      <c r="L274">
        <v>30</v>
      </c>
      <c r="M274">
        <f>COUNTIF(H274:$H$2581,H274)</f>
        <v>2</v>
      </c>
    </row>
    <row r="275" spans="1:13" x14ac:dyDescent="0.2">
      <c r="A275">
        <v>423</v>
      </c>
      <c r="B275" t="s">
        <v>3258</v>
      </c>
      <c r="C275" t="s">
        <v>8720</v>
      </c>
      <c r="D275" t="s">
        <v>33</v>
      </c>
      <c r="E275" t="s">
        <v>8721</v>
      </c>
      <c r="F275" t="s">
        <v>3261</v>
      </c>
      <c r="G275" t="s">
        <v>8722</v>
      </c>
      <c r="H275" t="s">
        <v>2995</v>
      </c>
      <c r="I275" t="b">
        <v>0</v>
      </c>
      <c r="J275">
        <v>61</v>
      </c>
      <c r="K275">
        <v>424</v>
      </c>
      <c r="L275">
        <v>31</v>
      </c>
      <c r="M275">
        <f>COUNTIF(H275:$H$2581,H275)</f>
        <v>2</v>
      </c>
    </row>
    <row r="276" spans="1:13" x14ac:dyDescent="0.2">
      <c r="A276">
        <v>2152</v>
      </c>
      <c r="B276" t="s">
        <v>160</v>
      </c>
      <c r="C276" t="s">
        <v>161</v>
      </c>
      <c r="D276" t="s">
        <v>13</v>
      </c>
      <c r="E276" t="s">
        <v>162</v>
      </c>
      <c r="F276" t="s">
        <v>163</v>
      </c>
      <c r="G276" t="s">
        <v>164</v>
      </c>
      <c r="H276" t="s">
        <v>3002</v>
      </c>
      <c r="I276" t="b">
        <v>0</v>
      </c>
      <c r="J276">
        <v>251</v>
      </c>
      <c r="K276">
        <v>2153</v>
      </c>
      <c r="L276">
        <v>45</v>
      </c>
      <c r="M276">
        <f>COUNTIF(H276:$H$2581,H276)</f>
        <v>4</v>
      </c>
    </row>
    <row r="277" spans="1:13" x14ac:dyDescent="0.2">
      <c r="A277">
        <v>1266</v>
      </c>
      <c r="B277" t="s">
        <v>1085</v>
      </c>
      <c r="C277" t="s">
        <v>1906</v>
      </c>
      <c r="D277" t="s">
        <v>13</v>
      </c>
      <c r="E277" t="s">
        <v>1907</v>
      </c>
      <c r="F277" t="s">
        <v>1088</v>
      </c>
      <c r="G277" t="s">
        <v>1908</v>
      </c>
      <c r="H277" t="s">
        <v>3015</v>
      </c>
      <c r="I277" t="s">
        <v>24</v>
      </c>
      <c r="J277">
        <v>156</v>
      </c>
      <c r="K277">
        <v>1267</v>
      </c>
      <c r="L277">
        <v>10</v>
      </c>
      <c r="M277">
        <f>COUNTIF(H277:$H$2581,H277)</f>
        <v>3</v>
      </c>
    </row>
    <row r="278" spans="1:13" x14ac:dyDescent="0.2">
      <c r="A278">
        <v>277</v>
      </c>
      <c r="B278" t="s">
        <v>2105</v>
      </c>
      <c r="C278" t="s">
        <v>2327</v>
      </c>
      <c r="D278" t="s">
        <v>54</v>
      </c>
      <c r="E278" t="s">
        <v>2328</v>
      </c>
      <c r="F278" t="s">
        <v>2108</v>
      </c>
      <c r="G278" t="s">
        <v>2329</v>
      </c>
      <c r="H278" t="s">
        <v>3025</v>
      </c>
      <c r="I278" t="s">
        <v>24</v>
      </c>
      <c r="J278">
        <v>44</v>
      </c>
      <c r="K278">
        <v>278</v>
      </c>
      <c r="L278">
        <v>121</v>
      </c>
      <c r="M278">
        <f>COUNTIF(H278:$H$2581,H278)</f>
        <v>1</v>
      </c>
    </row>
    <row r="279" spans="1:13" x14ac:dyDescent="0.2">
      <c r="A279">
        <v>795</v>
      </c>
      <c r="B279" t="s">
        <v>116</v>
      </c>
      <c r="C279" t="s">
        <v>3223</v>
      </c>
      <c r="D279" t="s">
        <v>54</v>
      </c>
      <c r="E279" t="s">
        <v>3553</v>
      </c>
      <c r="F279" t="s">
        <v>119</v>
      </c>
      <c r="G279" t="s">
        <v>3554</v>
      </c>
      <c r="H279" t="s">
        <v>3028</v>
      </c>
      <c r="I279" t="s">
        <v>24</v>
      </c>
      <c r="J279">
        <v>112</v>
      </c>
      <c r="K279">
        <v>796</v>
      </c>
      <c r="L279">
        <v>39</v>
      </c>
      <c r="M279">
        <f>COUNTIF(H279:$H$2581,H279)</f>
        <v>1</v>
      </c>
    </row>
    <row r="280" spans="1:13" x14ac:dyDescent="0.2">
      <c r="A280">
        <v>514</v>
      </c>
      <c r="B280" t="s">
        <v>486</v>
      </c>
      <c r="C280" t="s">
        <v>3695</v>
      </c>
      <c r="D280" t="s">
        <v>33</v>
      </c>
      <c r="E280" s="1" t="s">
        <v>3696</v>
      </c>
      <c r="F280" t="s">
        <v>489</v>
      </c>
      <c r="G280" t="s">
        <v>3697</v>
      </c>
      <c r="H280" t="s">
        <v>3034</v>
      </c>
      <c r="I280" t="b">
        <v>0</v>
      </c>
      <c r="J280">
        <v>74</v>
      </c>
      <c r="K280">
        <v>515</v>
      </c>
      <c r="L280">
        <v>22</v>
      </c>
      <c r="M280">
        <f>COUNTIF(H280:$H$2581,H280)</f>
        <v>1</v>
      </c>
    </row>
    <row r="281" spans="1:13" x14ac:dyDescent="0.2">
      <c r="A281">
        <v>1978</v>
      </c>
      <c r="B281" t="s">
        <v>1621</v>
      </c>
      <c r="C281" t="s">
        <v>4548</v>
      </c>
      <c r="D281" t="s">
        <v>13</v>
      </c>
      <c r="E281" t="s">
        <v>4549</v>
      </c>
      <c r="F281" t="s">
        <v>1624</v>
      </c>
      <c r="G281" t="s">
        <v>4550</v>
      </c>
      <c r="H281" t="s">
        <v>3040</v>
      </c>
      <c r="I281" t="s">
        <v>24</v>
      </c>
      <c r="J281">
        <v>228</v>
      </c>
      <c r="K281">
        <v>1979</v>
      </c>
      <c r="L281">
        <v>4</v>
      </c>
      <c r="M281">
        <f>COUNTIF(H281:$H$2581,H281)</f>
        <v>2</v>
      </c>
    </row>
    <row r="282" spans="1:13" x14ac:dyDescent="0.2">
      <c r="A282">
        <v>878</v>
      </c>
      <c r="B282" t="s">
        <v>1192</v>
      </c>
      <c r="C282" t="s">
        <v>5337</v>
      </c>
      <c r="D282" t="s">
        <v>54</v>
      </c>
      <c r="E282" t="s">
        <v>5338</v>
      </c>
      <c r="F282" t="s">
        <v>1195</v>
      </c>
      <c r="G282" t="s">
        <v>5339</v>
      </c>
      <c r="H282" t="s">
        <v>3049</v>
      </c>
      <c r="I282" t="s">
        <v>24</v>
      </c>
      <c r="J282">
        <v>119</v>
      </c>
      <c r="K282">
        <v>879</v>
      </c>
      <c r="L282">
        <v>24</v>
      </c>
      <c r="M282">
        <f>COUNTIF(H282:$H$2581,H282)</f>
        <v>1</v>
      </c>
    </row>
    <row r="283" spans="1:13" x14ac:dyDescent="0.2">
      <c r="A283">
        <v>16</v>
      </c>
      <c r="B283" t="s">
        <v>1840</v>
      </c>
      <c r="C283" t="s">
        <v>5472</v>
      </c>
      <c r="D283" t="s">
        <v>13</v>
      </c>
      <c r="E283" t="s">
        <v>5473</v>
      </c>
      <c r="F283" t="s">
        <v>1843</v>
      </c>
      <c r="G283" t="s">
        <v>5474</v>
      </c>
      <c r="H283" t="s">
        <v>3053</v>
      </c>
      <c r="I283" t="s">
        <v>24</v>
      </c>
      <c r="J283">
        <v>4</v>
      </c>
      <c r="K283">
        <v>17</v>
      </c>
      <c r="L283">
        <v>13</v>
      </c>
      <c r="M283">
        <f>COUNTIF(H283:$H$2581,H283)</f>
        <v>2</v>
      </c>
    </row>
    <row r="284" spans="1:13" x14ac:dyDescent="0.2">
      <c r="A284">
        <v>1063</v>
      </c>
      <c r="B284" t="s">
        <v>1884</v>
      </c>
      <c r="C284" t="s">
        <v>5742</v>
      </c>
      <c r="D284" t="s">
        <v>13</v>
      </c>
      <c r="E284" t="s">
        <v>5743</v>
      </c>
      <c r="F284" t="s">
        <v>1887</v>
      </c>
      <c r="G284" t="s">
        <v>5744</v>
      </c>
      <c r="H284" t="s">
        <v>3059</v>
      </c>
      <c r="I284" t="s">
        <v>24</v>
      </c>
      <c r="J284">
        <v>131</v>
      </c>
      <c r="K284">
        <v>1064</v>
      </c>
      <c r="L284">
        <v>25</v>
      </c>
      <c r="M284">
        <f>COUNTIF(H284:$H$2581,H284)</f>
        <v>1</v>
      </c>
    </row>
    <row r="285" spans="1:13" x14ac:dyDescent="0.2">
      <c r="A285">
        <v>937</v>
      </c>
      <c r="B285" t="s">
        <v>498</v>
      </c>
      <c r="C285" t="s">
        <v>5899</v>
      </c>
      <c r="D285" t="s">
        <v>54</v>
      </c>
      <c r="E285" t="s">
        <v>5902</v>
      </c>
      <c r="F285" t="s">
        <v>501</v>
      </c>
      <c r="G285" t="s">
        <v>5903</v>
      </c>
      <c r="H285" t="s">
        <v>3063</v>
      </c>
      <c r="I285" t="b">
        <v>0</v>
      </c>
      <c r="J285">
        <v>122</v>
      </c>
      <c r="K285">
        <v>938</v>
      </c>
      <c r="L285">
        <v>124</v>
      </c>
      <c r="M285">
        <f>COUNTIF(H285:$H$2581,H285)</f>
        <v>1</v>
      </c>
    </row>
    <row r="286" spans="1:13" x14ac:dyDescent="0.2">
      <c r="A286">
        <v>67</v>
      </c>
      <c r="B286" t="s">
        <v>25</v>
      </c>
      <c r="C286" t="s">
        <v>6249</v>
      </c>
      <c r="D286" t="s">
        <v>54</v>
      </c>
      <c r="E286" s="1" t="s">
        <v>6250</v>
      </c>
      <c r="F286" t="s">
        <v>28</v>
      </c>
      <c r="G286" t="s">
        <v>6251</v>
      </c>
      <c r="H286" t="s">
        <v>3067</v>
      </c>
      <c r="I286" t="b">
        <v>1</v>
      </c>
      <c r="J286">
        <v>11</v>
      </c>
      <c r="K286">
        <v>68</v>
      </c>
      <c r="L286">
        <v>9</v>
      </c>
      <c r="M286">
        <f>COUNTIF(H286:$H$2581,H286)</f>
        <v>2</v>
      </c>
    </row>
    <row r="287" spans="1:13" x14ac:dyDescent="0.2">
      <c r="A287">
        <v>1308</v>
      </c>
      <c r="B287" t="s">
        <v>277</v>
      </c>
      <c r="C287" t="s">
        <v>6582</v>
      </c>
      <c r="D287" t="s">
        <v>54</v>
      </c>
      <c r="E287" t="s">
        <v>6583</v>
      </c>
      <c r="F287" t="s">
        <v>280</v>
      </c>
      <c r="G287" t="s">
        <v>6584</v>
      </c>
      <c r="H287" t="s">
        <v>3074</v>
      </c>
      <c r="I287" t="s">
        <v>24</v>
      </c>
      <c r="J287">
        <v>160</v>
      </c>
      <c r="K287">
        <v>1309</v>
      </c>
      <c r="L287">
        <v>7</v>
      </c>
      <c r="M287">
        <f>COUNTIF(H287:$H$2581,H287)</f>
        <v>1</v>
      </c>
    </row>
    <row r="288" spans="1:13" x14ac:dyDescent="0.2">
      <c r="A288">
        <v>475</v>
      </c>
      <c r="B288" t="s">
        <v>928</v>
      </c>
      <c r="C288" t="s">
        <v>7040</v>
      </c>
      <c r="D288" t="s">
        <v>54</v>
      </c>
      <c r="E288" t="s">
        <v>7041</v>
      </c>
      <c r="F288" t="s">
        <v>931</v>
      </c>
      <c r="G288" t="s">
        <v>7042</v>
      </c>
      <c r="H288" t="s">
        <v>3078</v>
      </c>
      <c r="I288" t="b">
        <v>0</v>
      </c>
      <c r="J288">
        <v>67</v>
      </c>
      <c r="K288">
        <v>476</v>
      </c>
      <c r="L288">
        <v>14</v>
      </c>
      <c r="M288">
        <f>COUNTIF(H288:$H$2581,H288)</f>
        <v>1</v>
      </c>
    </row>
    <row r="289" spans="1:13" x14ac:dyDescent="0.2">
      <c r="A289">
        <v>1098</v>
      </c>
      <c r="B289" t="s">
        <v>1075</v>
      </c>
      <c r="C289" t="s">
        <v>7775</v>
      </c>
      <c r="D289" t="s">
        <v>54</v>
      </c>
      <c r="E289" t="s">
        <v>7776</v>
      </c>
      <c r="F289" t="s">
        <v>1078</v>
      </c>
      <c r="G289" t="s">
        <v>7777</v>
      </c>
      <c r="H289" t="s">
        <v>3082</v>
      </c>
      <c r="I289" t="s">
        <v>24</v>
      </c>
      <c r="J289">
        <v>133</v>
      </c>
      <c r="K289">
        <v>1099</v>
      </c>
      <c r="L289">
        <v>27</v>
      </c>
      <c r="M289">
        <f>COUNTIF(H289:$H$2581,H289)</f>
        <v>1</v>
      </c>
    </row>
    <row r="290" spans="1:13" x14ac:dyDescent="0.2">
      <c r="A290">
        <v>646</v>
      </c>
      <c r="B290" t="s">
        <v>237</v>
      </c>
      <c r="C290" t="s">
        <v>8156</v>
      </c>
      <c r="D290" t="s">
        <v>13</v>
      </c>
      <c r="E290" t="s">
        <v>8157</v>
      </c>
      <c r="F290" t="s">
        <v>240</v>
      </c>
      <c r="G290" t="s">
        <v>8158</v>
      </c>
      <c r="H290" t="s">
        <v>3088</v>
      </c>
      <c r="I290" t="b">
        <v>1</v>
      </c>
      <c r="J290">
        <v>92</v>
      </c>
      <c r="K290">
        <v>647</v>
      </c>
      <c r="L290">
        <v>30</v>
      </c>
      <c r="M290">
        <f>COUNTIF(H290:$H$2581,H290)</f>
        <v>4</v>
      </c>
    </row>
    <row r="291" spans="1:13" x14ac:dyDescent="0.2">
      <c r="A291">
        <v>517</v>
      </c>
      <c r="B291" t="s">
        <v>486</v>
      </c>
      <c r="C291" t="s">
        <v>8723</v>
      </c>
      <c r="D291" t="s">
        <v>33</v>
      </c>
      <c r="E291" t="s">
        <v>8724</v>
      </c>
      <c r="F291" t="s">
        <v>489</v>
      </c>
      <c r="G291" t="s">
        <v>8725</v>
      </c>
      <c r="H291" t="s">
        <v>3103</v>
      </c>
      <c r="I291" t="b">
        <v>0</v>
      </c>
      <c r="J291">
        <v>74</v>
      </c>
      <c r="K291">
        <v>518</v>
      </c>
      <c r="L291">
        <v>31</v>
      </c>
      <c r="M291">
        <f>COUNTIF(H291:$H$2581,H291)</f>
        <v>1</v>
      </c>
    </row>
    <row r="292" spans="1:13" x14ac:dyDescent="0.2">
      <c r="A292">
        <v>2145</v>
      </c>
      <c r="B292" t="s">
        <v>157</v>
      </c>
      <c r="C292" t="s">
        <v>89</v>
      </c>
      <c r="D292" t="s">
        <v>54</v>
      </c>
      <c r="E292" t="s">
        <v>158</v>
      </c>
      <c r="F292" t="s">
        <v>159</v>
      </c>
      <c r="G292" t="s">
        <v>92</v>
      </c>
      <c r="H292" t="s">
        <v>3107</v>
      </c>
      <c r="I292" t="s">
        <v>24</v>
      </c>
      <c r="J292">
        <v>250</v>
      </c>
      <c r="K292">
        <v>2146</v>
      </c>
      <c r="L292">
        <v>45</v>
      </c>
      <c r="M292">
        <f>COUNTIF(H292:$H$2581,H292)</f>
        <v>1</v>
      </c>
    </row>
    <row r="293" spans="1:13" x14ac:dyDescent="0.2">
      <c r="A293">
        <v>1282</v>
      </c>
      <c r="B293" t="s">
        <v>1221</v>
      </c>
      <c r="C293" t="s">
        <v>1909</v>
      </c>
      <c r="D293" t="s">
        <v>13</v>
      </c>
      <c r="E293" t="s">
        <v>1910</v>
      </c>
      <c r="F293" t="s">
        <v>1224</v>
      </c>
      <c r="G293" t="s">
        <v>1911</v>
      </c>
      <c r="H293" t="s">
        <v>3111</v>
      </c>
      <c r="I293" t="b">
        <v>1</v>
      </c>
      <c r="J293">
        <v>158</v>
      </c>
      <c r="K293">
        <v>1283</v>
      </c>
      <c r="L293">
        <v>10</v>
      </c>
      <c r="M293">
        <f>COUNTIF(H293:$H$2581,H293)</f>
        <v>1</v>
      </c>
    </row>
    <row r="294" spans="1:13" x14ac:dyDescent="0.2">
      <c r="A294">
        <v>338</v>
      </c>
      <c r="B294" t="s">
        <v>455</v>
      </c>
      <c r="C294" t="s">
        <v>2331</v>
      </c>
      <c r="D294" t="s">
        <v>13</v>
      </c>
      <c r="E294" t="s">
        <v>2332</v>
      </c>
      <c r="F294" t="s">
        <v>458</v>
      </c>
      <c r="G294" t="s">
        <v>2333</v>
      </c>
      <c r="H294" t="s">
        <v>3114</v>
      </c>
      <c r="I294" t="b">
        <v>0</v>
      </c>
      <c r="J294">
        <v>49</v>
      </c>
      <c r="K294">
        <v>339</v>
      </c>
      <c r="L294">
        <v>121</v>
      </c>
      <c r="M294">
        <f>COUNTIF(H294:$H$2581,H294)</f>
        <v>1</v>
      </c>
    </row>
    <row r="295" spans="1:13" x14ac:dyDescent="0.2">
      <c r="A295">
        <v>816</v>
      </c>
      <c r="B295" t="s">
        <v>594</v>
      </c>
      <c r="C295" t="s">
        <v>3555</v>
      </c>
      <c r="D295" t="s">
        <v>54</v>
      </c>
      <c r="E295" t="s">
        <v>3556</v>
      </c>
      <c r="F295" t="s">
        <v>597</v>
      </c>
      <c r="G295" t="s">
        <v>3557</v>
      </c>
      <c r="H295" t="s">
        <v>3118</v>
      </c>
      <c r="I295" t="b">
        <v>1</v>
      </c>
      <c r="J295">
        <v>114</v>
      </c>
      <c r="K295">
        <v>817</v>
      </c>
      <c r="L295">
        <v>39</v>
      </c>
      <c r="M295">
        <f>COUNTIF(H295:$H$2581,H295)</f>
        <v>2</v>
      </c>
    </row>
    <row r="296" spans="1:13" x14ac:dyDescent="0.2">
      <c r="A296">
        <v>612</v>
      </c>
      <c r="B296" t="s">
        <v>1491</v>
      </c>
      <c r="C296" t="s">
        <v>3698</v>
      </c>
      <c r="D296" t="s">
        <v>33</v>
      </c>
      <c r="E296" t="s">
        <v>3699</v>
      </c>
      <c r="F296" t="s">
        <v>1494</v>
      </c>
      <c r="G296" t="s">
        <v>3700</v>
      </c>
      <c r="H296" t="s">
        <v>3125</v>
      </c>
      <c r="I296" t="b">
        <v>0</v>
      </c>
      <c r="J296">
        <v>91</v>
      </c>
      <c r="K296">
        <v>613</v>
      </c>
      <c r="L296">
        <v>22</v>
      </c>
      <c r="M296">
        <f>COUNTIF(H296:$H$2581,H296)</f>
        <v>1</v>
      </c>
    </row>
    <row r="297" spans="1:13" x14ac:dyDescent="0.2">
      <c r="A297">
        <v>1989</v>
      </c>
      <c r="B297" t="s">
        <v>1793</v>
      </c>
      <c r="C297" t="s">
        <v>4551</v>
      </c>
      <c r="D297" t="s">
        <v>13</v>
      </c>
      <c r="E297" t="s">
        <v>4552</v>
      </c>
      <c r="F297" t="s">
        <v>1796</v>
      </c>
      <c r="G297" t="s">
        <v>4553</v>
      </c>
      <c r="H297" t="s">
        <v>3129</v>
      </c>
      <c r="I297" t="b">
        <v>1</v>
      </c>
      <c r="J297">
        <v>230</v>
      </c>
      <c r="K297">
        <v>1990</v>
      </c>
      <c r="L297">
        <v>4</v>
      </c>
      <c r="M297">
        <f>COUNTIF(H297:$H$2581,H297)</f>
        <v>1</v>
      </c>
    </row>
    <row r="298" spans="1:13" x14ac:dyDescent="0.2">
      <c r="A298">
        <v>897</v>
      </c>
      <c r="B298" t="s">
        <v>198</v>
      </c>
      <c r="C298" t="s">
        <v>5340</v>
      </c>
      <c r="D298" t="s">
        <v>54</v>
      </c>
      <c r="E298" t="s">
        <v>5341</v>
      </c>
      <c r="F298" t="s">
        <v>201</v>
      </c>
      <c r="G298" t="s">
        <v>5342</v>
      </c>
      <c r="H298" t="s">
        <v>3133</v>
      </c>
      <c r="I298" t="b">
        <v>0</v>
      </c>
      <c r="J298">
        <v>120</v>
      </c>
      <c r="K298">
        <v>898</v>
      </c>
      <c r="L298">
        <v>24</v>
      </c>
      <c r="M298">
        <f>COUNTIF(H298:$H$2581,H298)</f>
        <v>1</v>
      </c>
    </row>
    <row r="299" spans="1:13" x14ac:dyDescent="0.2">
      <c r="A299">
        <v>44</v>
      </c>
      <c r="B299" t="s">
        <v>2199</v>
      </c>
      <c r="C299" t="s">
        <v>5476</v>
      </c>
      <c r="D299" t="s">
        <v>13</v>
      </c>
      <c r="E299" t="s">
        <v>5477</v>
      </c>
      <c r="F299" t="s">
        <v>2202</v>
      </c>
      <c r="G299" t="s">
        <v>5478</v>
      </c>
      <c r="H299" t="s">
        <v>3137</v>
      </c>
      <c r="I299" t="s">
        <v>24</v>
      </c>
      <c r="J299">
        <v>7</v>
      </c>
      <c r="K299">
        <v>45</v>
      </c>
      <c r="L299">
        <v>13</v>
      </c>
      <c r="M299">
        <f>COUNTIF(H299:$H$2581,H299)</f>
        <v>1</v>
      </c>
    </row>
    <row r="300" spans="1:13" x14ac:dyDescent="0.2">
      <c r="A300">
        <v>66</v>
      </c>
      <c r="B300" t="s">
        <v>25</v>
      </c>
      <c r="C300" t="s">
        <v>5560</v>
      </c>
      <c r="D300" t="s">
        <v>13</v>
      </c>
      <c r="E300" t="s">
        <v>5561</v>
      </c>
      <c r="F300" t="s">
        <v>28</v>
      </c>
      <c r="G300" t="s">
        <v>5562</v>
      </c>
      <c r="H300" t="s">
        <v>3141</v>
      </c>
      <c r="I300" t="b">
        <v>1</v>
      </c>
      <c r="J300">
        <v>11</v>
      </c>
      <c r="K300">
        <v>67</v>
      </c>
      <c r="L300">
        <v>50</v>
      </c>
      <c r="M300">
        <f>COUNTIF(H300:$H$2581,H300)</f>
        <v>1</v>
      </c>
    </row>
    <row r="301" spans="1:13" x14ac:dyDescent="0.2">
      <c r="A301">
        <v>1094</v>
      </c>
      <c r="B301" t="s">
        <v>1075</v>
      </c>
      <c r="C301" t="s">
        <v>5745</v>
      </c>
      <c r="D301" t="s">
        <v>54</v>
      </c>
      <c r="E301" t="s">
        <v>5746</v>
      </c>
      <c r="F301" t="s">
        <v>1078</v>
      </c>
      <c r="G301" t="s">
        <v>5747</v>
      </c>
      <c r="H301" t="s">
        <v>3145</v>
      </c>
      <c r="I301" t="s">
        <v>24</v>
      </c>
      <c r="J301">
        <v>133</v>
      </c>
      <c r="K301">
        <v>1095</v>
      </c>
      <c r="L301">
        <v>25</v>
      </c>
      <c r="M301">
        <f>COUNTIF(H301:$H$2581,H301)</f>
        <v>1</v>
      </c>
    </row>
    <row r="302" spans="1:13" x14ac:dyDescent="0.2">
      <c r="A302">
        <v>1033</v>
      </c>
      <c r="B302" t="s">
        <v>1215</v>
      </c>
      <c r="C302" t="s">
        <v>5904</v>
      </c>
      <c r="D302" t="s">
        <v>13</v>
      </c>
      <c r="E302" t="s">
        <v>5905</v>
      </c>
      <c r="F302" t="s">
        <v>1218</v>
      </c>
      <c r="G302" t="s">
        <v>5906</v>
      </c>
      <c r="H302" t="s">
        <v>3149</v>
      </c>
      <c r="I302" t="b">
        <v>1</v>
      </c>
      <c r="J302">
        <v>129</v>
      </c>
      <c r="K302">
        <v>1034</v>
      </c>
      <c r="L302">
        <v>124</v>
      </c>
      <c r="M302">
        <f>COUNTIF(H302:$H$2581,H302)</f>
        <v>1</v>
      </c>
    </row>
    <row r="303" spans="1:13" x14ac:dyDescent="0.2">
      <c r="A303">
        <v>82</v>
      </c>
      <c r="B303" t="s">
        <v>31</v>
      </c>
      <c r="C303" t="s">
        <v>6252</v>
      </c>
      <c r="D303" t="s">
        <v>54</v>
      </c>
      <c r="E303" t="s">
        <v>6253</v>
      </c>
      <c r="F303" t="s">
        <v>35</v>
      </c>
      <c r="G303" t="s">
        <v>6254</v>
      </c>
      <c r="H303" t="s">
        <v>3153</v>
      </c>
      <c r="I303" t="b">
        <v>0</v>
      </c>
      <c r="J303">
        <v>13</v>
      </c>
      <c r="K303">
        <v>83</v>
      </c>
      <c r="L303">
        <v>9</v>
      </c>
      <c r="M303">
        <f>COUNTIF(H303:$H$2581,H303)</f>
        <v>2</v>
      </c>
    </row>
    <row r="304" spans="1:13" x14ac:dyDescent="0.2">
      <c r="A304">
        <v>1316</v>
      </c>
      <c r="B304" t="s">
        <v>1915</v>
      </c>
      <c r="C304" t="s">
        <v>6585</v>
      </c>
      <c r="D304" t="s">
        <v>13</v>
      </c>
      <c r="E304" t="s">
        <v>6586</v>
      </c>
      <c r="F304" t="s">
        <v>1918</v>
      </c>
      <c r="G304" t="s">
        <v>6587</v>
      </c>
      <c r="H304" t="s">
        <v>3162</v>
      </c>
      <c r="I304" t="s">
        <v>24</v>
      </c>
      <c r="J304">
        <v>161</v>
      </c>
      <c r="K304">
        <v>1317</v>
      </c>
      <c r="L304">
        <v>7</v>
      </c>
      <c r="M304">
        <f>COUNTIF(H304:$H$2581,H304)</f>
        <v>2</v>
      </c>
    </row>
    <row r="305" spans="1:13" x14ac:dyDescent="0.2">
      <c r="A305">
        <v>285</v>
      </c>
      <c r="B305" t="s">
        <v>2105</v>
      </c>
      <c r="C305" t="s">
        <v>6832</v>
      </c>
      <c r="D305" t="s">
        <v>54</v>
      </c>
      <c r="E305" t="s">
        <v>6833</v>
      </c>
      <c r="F305" t="s">
        <v>2108</v>
      </c>
      <c r="G305" t="s">
        <v>6834</v>
      </c>
      <c r="H305" t="s">
        <v>3169</v>
      </c>
      <c r="I305" t="s">
        <v>24</v>
      </c>
      <c r="J305">
        <v>44</v>
      </c>
      <c r="K305">
        <v>286</v>
      </c>
      <c r="L305">
        <v>125</v>
      </c>
      <c r="M305">
        <f>COUNTIF(H305:$H$2581,H305)</f>
        <v>5</v>
      </c>
    </row>
    <row r="306" spans="1:13" x14ac:dyDescent="0.2">
      <c r="A306">
        <v>476</v>
      </c>
      <c r="B306" t="s">
        <v>928</v>
      </c>
      <c r="C306" t="s">
        <v>7043</v>
      </c>
      <c r="D306" t="s">
        <v>54</v>
      </c>
      <c r="E306" t="s">
        <v>7044</v>
      </c>
      <c r="F306" t="s">
        <v>931</v>
      </c>
      <c r="G306" t="s">
        <v>7045</v>
      </c>
      <c r="H306" t="s">
        <v>3187</v>
      </c>
      <c r="I306" t="b">
        <v>0</v>
      </c>
      <c r="J306">
        <v>67</v>
      </c>
      <c r="K306">
        <v>477</v>
      </c>
      <c r="L306">
        <v>14</v>
      </c>
      <c r="M306">
        <f>COUNTIF(H306:$H$2581,H306)</f>
        <v>1</v>
      </c>
    </row>
    <row r="307" spans="1:13" x14ac:dyDescent="0.2">
      <c r="A307">
        <v>1176</v>
      </c>
      <c r="B307" t="s">
        <v>1665</v>
      </c>
      <c r="C307" t="s">
        <v>7778</v>
      </c>
      <c r="D307" t="s">
        <v>13</v>
      </c>
      <c r="E307" t="s">
        <v>7779</v>
      </c>
      <c r="F307" t="s">
        <v>1668</v>
      </c>
      <c r="G307" t="s">
        <v>7780</v>
      </c>
      <c r="H307" t="s">
        <v>3191</v>
      </c>
      <c r="I307" t="b">
        <v>1</v>
      </c>
      <c r="J307">
        <v>144</v>
      </c>
      <c r="K307">
        <v>1177</v>
      </c>
      <c r="L307">
        <v>27</v>
      </c>
      <c r="M307">
        <f>COUNTIF(H307:$H$2581,H307)</f>
        <v>1</v>
      </c>
    </row>
    <row r="308" spans="1:13" x14ac:dyDescent="0.2">
      <c r="A308">
        <v>736</v>
      </c>
      <c r="B308" t="s">
        <v>1349</v>
      </c>
      <c r="C308" t="s">
        <v>8159</v>
      </c>
      <c r="D308" t="s">
        <v>54</v>
      </c>
      <c r="E308" t="s">
        <v>8160</v>
      </c>
      <c r="F308" t="s">
        <v>1352</v>
      </c>
      <c r="G308" t="s">
        <v>8161</v>
      </c>
      <c r="H308" t="s">
        <v>3195</v>
      </c>
      <c r="I308" t="b">
        <v>1</v>
      </c>
      <c r="J308">
        <v>104</v>
      </c>
      <c r="K308">
        <v>737</v>
      </c>
      <c r="L308">
        <v>30</v>
      </c>
      <c r="M308">
        <f>COUNTIF(H308:$H$2581,H308)</f>
        <v>1</v>
      </c>
    </row>
    <row r="309" spans="1:13" x14ac:dyDescent="0.2">
      <c r="A309">
        <v>543</v>
      </c>
      <c r="B309" t="s">
        <v>188</v>
      </c>
      <c r="C309" t="s">
        <v>8726</v>
      </c>
      <c r="D309" t="s">
        <v>54</v>
      </c>
      <c r="E309" t="s">
        <v>8727</v>
      </c>
      <c r="F309" t="s">
        <v>191</v>
      </c>
      <c r="G309" t="s">
        <v>8728</v>
      </c>
      <c r="H309" t="s">
        <v>3199</v>
      </c>
      <c r="I309" t="b">
        <v>0</v>
      </c>
      <c r="J309">
        <v>80</v>
      </c>
      <c r="K309">
        <v>544</v>
      </c>
      <c r="L309">
        <v>31</v>
      </c>
      <c r="M309">
        <f>COUNTIF(H309:$H$2581,H309)</f>
        <v>1</v>
      </c>
    </row>
    <row r="310" spans="1:13" x14ac:dyDescent="0.2">
      <c r="A310">
        <v>2144</v>
      </c>
      <c r="B310" t="s">
        <v>152</v>
      </c>
      <c r="C310" t="s">
        <v>153</v>
      </c>
      <c r="D310" t="s">
        <v>54</v>
      </c>
      <c r="E310" t="s">
        <v>154</v>
      </c>
      <c r="F310" t="s">
        <v>155</v>
      </c>
      <c r="G310" t="s">
        <v>156</v>
      </c>
      <c r="H310" t="s">
        <v>3203</v>
      </c>
      <c r="I310" t="s">
        <v>24</v>
      </c>
      <c r="J310">
        <v>249</v>
      </c>
      <c r="K310">
        <v>2145</v>
      </c>
      <c r="L310">
        <v>45</v>
      </c>
      <c r="M310">
        <f>COUNTIF(H310:$H$2581,H310)</f>
        <v>1</v>
      </c>
    </row>
    <row r="311" spans="1:13" x14ac:dyDescent="0.2">
      <c r="A311">
        <v>2545</v>
      </c>
      <c r="B311" t="s">
        <v>396</v>
      </c>
      <c r="C311" t="s">
        <v>331</v>
      </c>
      <c r="D311" t="s">
        <v>54</v>
      </c>
      <c r="E311" t="s">
        <v>397</v>
      </c>
      <c r="F311" t="s">
        <v>398</v>
      </c>
      <c r="G311" t="s">
        <v>334</v>
      </c>
      <c r="H311" t="s">
        <v>3207</v>
      </c>
      <c r="I311" t="b">
        <v>1</v>
      </c>
      <c r="J311">
        <v>295</v>
      </c>
      <c r="K311">
        <v>2546</v>
      </c>
      <c r="L311">
        <v>1</v>
      </c>
      <c r="M311">
        <f>COUNTIF(H311:$H$2581,H311)</f>
        <v>4</v>
      </c>
    </row>
    <row r="312" spans="1:13" x14ac:dyDescent="0.2">
      <c r="A312">
        <v>336</v>
      </c>
      <c r="B312" t="s">
        <v>455</v>
      </c>
      <c r="C312" t="s">
        <v>1240</v>
      </c>
      <c r="D312" t="s">
        <v>54</v>
      </c>
      <c r="E312" t="s">
        <v>1241</v>
      </c>
      <c r="F312" t="s">
        <v>458</v>
      </c>
      <c r="G312" t="s">
        <v>1242</v>
      </c>
      <c r="H312" t="s">
        <v>3222</v>
      </c>
      <c r="I312" t="b">
        <v>0</v>
      </c>
      <c r="J312">
        <v>49</v>
      </c>
      <c r="K312">
        <v>337</v>
      </c>
      <c r="L312">
        <v>157</v>
      </c>
      <c r="M312">
        <f>COUNTIF(H312:$H$2581,H312)</f>
        <v>1</v>
      </c>
    </row>
    <row r="313" spans="1:13" x14ac:dyDescent="0.2">
      <c r="A313">
        <v>1290</v>
      </c>
      <c r="B313" t="s">
        <v>1679</v>
      </c>
      <c r="C313" t="s">
        <v>1912</v>
      </c>
      <c r="D313" t="s">
        <v>13</v>
      </c>
      <c r="E313" t="s">
        <v>1913</v>
      </c>
      <c r="F313" t="s">
        <v>1682</v>
      </c>
      <c r="G313" t="s">
        <v>1914</v>
      </c>
      <c r="H313" t="s">
        <v>3226</v>
      </c>
      <c r="I313" t="b">
        <v>1</v>
      </c>
      <c r="J313">
        <v>159</v>
      </c>
      <c r="K313">
        <v>1291</v>
      </c>
      <c r="L313">
        <v>10</v>
      </c>
      <c r="M313">
        <f>COUNTIF(H313:$H$2581,H313)</f>
        <v>1</v>
      </c>
    </row>
    <row r="314" spans="1:13" x14ac:dyDescent="0.2">
      <c r="A314">
        <v>388</v>
      </c>
      <c r="B314" t="s">
        <v>1568</v>
      </c>
      <c r="C314" t="s">
        <v>2334</v>
      </c>
      <c r="D314" t="s">
        <v>13</v>
      </c>
      <c r="E314" t="s">
        <v>2335</v>
      </c>
      <c r="F314" t="s">
        <v>1571</v>
      </c>
      <c r="G314" t="s">
        <v>2336</v>
      </c>
      <c r="H314" t="s">
        <v>3230</v>
      </c>
      <c r="I314" t="s">
        <v>24</v>
      </c>
      <c r="J314">
        <v>55</v>
      </c>
      <c r="K314">
        <v>389</v>
      </c>
      <c r="L314">
        <v>121</v>
      </c>
      <c r="M314">
        <f>COUNTIF(H314:$H$2581,H314)</f>
        <v>1</v>
      </c>
    </row>
    <row r="315" spans="1:13" x14ac:dyDescent="0.2">
      <c r="A315">
        <v>1008</v>
      </c>
      <c r="B315" t="s">
        <v>1268</v>
      </c>
      <c r="C315" t="s">
        <v>3558</v>
      </c>
      <c r="D315" t="s">
        <v>54</v>
      </c>
      <c r="E315" s="1" t="s">
        <v>3559</v>
      </c>
      <c r="F315" t="s">
        <v>1271</v>
      </c>
      <c r="G315" t="s">
        <v>3560</v>
      </c>
      <c r="H315" t="s">
        <v>3234</v>
      </c>
      <c r="I315" t="s">
        <v>24</v>
      </c>
      <c r="J315">
        <v>126</v>
      </c>
      <c r="K315">
        <v>1009</v>
      </c>
      <c r="L315">
        <v>39</v>
      </c>
      <c r="M315">
        <f>COUNTIF(H315:$H$2581,H315)</f>
        <v>1</v>
      </c>
    </row>
    <row r="316" spans="1:13" x14ac:dyDescent="0.2">
      <c r="A316">
        <v>659</v>
      </c>
      <c r="B316" t="s">
        <v>2346</v>
      </c>
      <c r="C316" t="s">
        <v>3701</v>
      </c>
      <c r="D316" t="s">
        <v>13</v>
      </c>
      <c r="E316" t="s">
        <v>3702</v>
      </c>
      <c r="F316" t="s">
        <v>2349</v>
      </c>
      <c r="G316" t="s">
        <v>3703</v>
      </c>
      <c r="H316" t="s">
        <v>3238</v>
      </c>
      <c r="I316" t="s">
        <v>24</v>
      </c>
      <c r="J316">
        <v>97</v>
      </c>
      <c r="K316">
        <v>660</v>
      </c>
      <c r="L316">
        <v>22</v>
      </c>
      <c r="M316">
        <f>COUNTIF(H316:$H$2581,H316)</f>
        <v>1</v>
      </c>
    </row>
    <row r="317" spans="1:13" x14ac:dyDescent="0.2">
      <c r="A317">
        <v>2014</v>
      </c>
      <c r="B317" t="s">
        <v>444</v>
      </c>
      <c r="C317" t="s">
        <v>4554</v>
      </c>
      <c r="D317" t="s">
        <v>54</v>
      </c>
      <c r="E317" t="s">
        <v>4555</v>
      </c>
      <c r="F317" t="s">
        <v>447</v>
      </c>
      <c r="G317" t="s">
        <v>4556</v>
      </c>
      <c r="H317" t="s">
        <v>3242</v>
      </c>
      <c r="I317" t="s">
        <v>24</v>
      </c>
      <c r="J317">
        <v>233</v>
      </c>
      <c r="K317">
        <v>2015</v>
      </c>
      <c r="L317">
        <v>4</v>
      </c>
      <c r="M317">
        <f>COUNTIF(H317:$H$2581,H317)</f>
        <v>1</v>
      </c>
    </row>
    <row r="318" spans="1:13" x14ac:dyDescent="0.2">
      <c r="A318">
        <v>898</v>
      </c>
      <c r="B318" t="s">
        <v>198</v>
      </c>
      <c r="C318" t="s">
        <v>5343</v>
      </c>
      <c r="D318" t="s">
        <v>33</v>
      </c>
      <c r="E318" t="s">
        <v>5344</v>
      </c>
      <c r="F318" t="s">
        <v>201</v>
      </c>
      <c r="G318" t="s">
        <v>5345</v>
      </c>
      <c r="H318" t="s">
        <v>3246</v>
      </c>
      <c r="I318" t="b">
        <v>0</v>
      </c>
      <c r="J318">
        <v>120</v>
      </c>
      <c r="K318">
        <v>899</v>
      </c>
      <c r="L318">
        <v>24</v>
      </c>
      <c r="M318">
        <f>COUNTIF(H318:$H$2581,H318)</f>
        <v>1</v>
      </c>
    </row>
    <row r="319" spans="1:13" x14ac:dyDescent="0.2">
      <c r="A319">
        <v>76</v>
      </c>
      <c r="B319" t="s">
        <v>1424</v>
      </c>
      <c r="C319" t="s">
        <v>5479</v>
      </c>
      <c r="D319" t="s">
        <v>54</v>
      </c>
      <c r="E319" t="s">
        <v>5480</v>
      </c>
      <c r="F319" t="s">
        <v>1427</v>
      </c>
      <c r="G319" t="s">
        <v>5481</v>
      </c>
      <c r="H319" t="s">
        <v>3250</v>
      </c>
      <c r="I319" t="b">
        <v>1</v>
      </c>
      <c r="J319">
        <v>12</v>
      </c>
      <c r="K319">
        <v>77</v>
      </c>
      <c r="L319">
        <v>13</v>
      </c>
      <c r="M319">
        <f>COUNTIF(H319:$H$2581,H319)</f>
        <v>1</v>
      </c>
    </row>
    <row r="320" spans="1:13" x14ac:dyDescent="0.2">
      <c r="A320">
        <v>95</v>
      </c>
      <c r="B320" t="s">
        <v>311</v>
      </c>
      <c r="C320" t="s">
        <v>5564</v>
      </c>
      <c r="D320" t="s">
        <v>54</v>
      </c>
      <c r="E320" t="s">
        <v>5565</v>
      </c>
      <c r="F320" s="1" t="s">
        <v>314</v>
      </c>
      <c r="G320" t="s">
        <v>5566</v>
      </c>
      <c r="H320" t="s">
        <v>3254</v>
      </c>
      <c r="I320" t="s">
        <v>24</v>
      </c>
      <c r="J320">
        <v>14</v>
      </c>
      <c r="K320">
        <v>96</v>
      </c>
      <c r="L320">
        <v>50</v>
      </c>
      <c r="M320">
        <f>COUNTIF(H320:$H$2581,H320)</f>
        <v>22</v>
      </c>
    </row>
    <row r="321" spans="1:13" x14ac:dyDescent="0.2">
      <c r="A321">
        <v>1156</v>
      </c>
      <c r="B321" t="s">
        <v>1725</v>
      </c>
      <c r="C321" t="s">
        <v>5748</v>
      </c>
      <c r="D321" t="s">
        <v>33</v>
      </c>
      <c r="E321" t="s">
        <v>5749</v>
      </c>
      <c r="F321" t="s">
        <v>1728</v>
      </c>
      <c r="G321" t="s">
        <v>5750</v>
      </c>
      <c r="H321" t="s">
        <v>3323</v>
      </c>
      <c r="I321" t="b">
        <v>0</v>
      </c>
      <c r="J321">
        <v>141</v>
      </c>
      <c r="K321">
        <v>1157</v>
      </c>
      <c r="L321">
        <v>25</v>
      </c>
      <c r="M321">
        <f>COUNTIF(H321:$H$2581,H321)</f>
        <v>1</v>
      </c>
    </row>
    <row r="322" spans="1:13" x14ac:dyDescent="0.2">
      <c r="A322">
        <v>1110</v>
      </c>
      <c r="B322" t="s">
        <v>1103</v>
      </c>
      <c r="C322" t="s">
        <v>5907</v>
      </c>
      <c r="D322" t="s">
        <v>54</v>
      </c>
      <c r="E322" t="s">
        <v>5908</v>
      </c>
      <c r="F322" t="s">
        <v>1106</v>
      </c>
      <c r="G322" t="s">
        <v>5909</v>
      </c>
      <c r="H322" t="s">
        <v>3327</v>
      </c>
      <c r="I322" t="s">
        <v>24</v>
      </c>
      <c r="J322">
        <v>134</v>
      </c>
      <c r="K322">
        <v>1111</v>
      </c>
      <c r="L322">
        <v>124</v>
      </c>
      <c r="M322">
        <f>COUNTIF(H322:$H$2581,H322)</f>
        <v>2</v>
      </c>
    </row>
    <row r="323" spans="1:13" x14ac:dyDescent="0.2">
      <c r="A323">
        <v>96</v>
      </c>
      <c r="B323" t="s">
        <v>311</v>
      </c>
      <c r="C323" t="s">
        <v>6255</v>
      </c>
      <c r="D323" t="s">
        <v>54</v>
      </c>
      <c r="E323" t="s">
        <v>6256</v>
      </c>
      <c r="F323" s="1" t="s">
        <v>314</v>
      </c>
      <c r="G323" t="s">
        <v>6257</v>
      </c>
      <c r="H323" t="s">
        <v>3334</v>
      </c>
      <c r="I323" t="s">
        <v>24</v>
      </c>
      <c r="J323">
        <v>14</v>
      </c>
      <c r="K323">
        <v>97</v>
      </c>
      <c r="L323">
        <v>9</v>
      </c>
      <c r="M323">
        <f>COUNTIF(H323:$H$2581,H323)</f>
        <v>1</v>
      </c>
    </row>
    <row r="324" spans="1:13" x14ac:dyDescent="0.2">
      <c r="A324">
        <v>1425</v>
      </c>
      <c r="B324" t="s">
        <v>4462</v>
      </c>
      <c r="C324" t="s">
        <v>6588</v>
      </c>
      <c r="D324" t="s">
        <v>13</v>
      </c>
      <c r="E324" t="s">
        <v>6589</v>
      </c>
      <c r="F324" t="s">
        <v>4465</v>
      </c>
      <c r="G324" t="s">
        <v>6590</v>
      </c>
      <c r="H324" t="s">
        <v>3338</v>
      </c>
      <c r="I324" t="s">
        <v>24</v>
      </c>
      <c r="J324">
        <v>171</v>
      </c>
      <c r="K324">
        <v>1426</v>
      </c>
      <c r="L324">
        <v>7</v>
      </c>
      <c r="M324">
        <f>COUNTIF(H324:$H$2581,H324)</f>
        <v>3</v>
      </c>
    </row>
    <row r="325" spans="1:13" x14ac:dyDescent="0.2">
      <c r="A325">
        <v>349</v>
      </c>
      <c r="B325" t="s">
        <v>455</v>
      </c>
      <c r="C325" t="s">
        <v>6836</v>
      </c>
      <c r="D325" t="s">
        <v>13</v>
      </c>
      <c r="E325" t="s">
        <v>6837</v>
      </c>
      <c r="F325" t="s">
        <v>458</v>
      </c>
      <c r="G325" t="s">
        <v>6838</v>
      </c>
      <c r="H325" t="s">
        <v>3346</v>
      </c>
      <c r="I325" t="b">
        <v>0</v>
      </c>
      <c r="J325">
        <v>49</v>
      </c>
      <c r="K325">
        <v>350</v>
      </c>
      <c r="L325">
        <v>125</v>
      </c>
      <c r="M325">
        <f>COUNTIF(H325:$H$2581,H325)</f>
        <v>1</v>
      </c>
    </row>
    <row r="326" spans="1:13" x14ac:dyDescent="0.2">
      <c r="A326">
        <v>643</v>
      </c>
      <c r="B326" t="s">
        <v>237</v>
      </c>
      <c r="C326" t="s">
        <v>7046</v>
      </c>
      <c r="D326" t="s">
        <v>13</v>
      </c>
      <c r="E326" t="s">
        <v>7047</v>
      </c>
      <c r="F326" t="s">
        <v>240</v>
      </c>
      <c r="G326" t="s">
        <v>7048</v>
      </c>
      <c r="H326" t="s">
        <v>3350</v>
      </c>
      <c r="I326" t="b">
        <v>1</v>
      </c>
      <c r="J326">
        <v>92</v>
      </c>
      <c r="K326">
        <v>644</v>
      </c>
      <c r="L326">
        <v>14</v>
      </c>
      <c r="M326">
        <f>COUNTIF(H326:$H$2581,H326)</f>
        <v>1</v>
      </c>
    </row>
    <row r="327" spans="1:13" x14ac:dyDescent="0.2">
      <c r="A327">
        <v>1207</v>
      </c>
      <c r="B327" t="s">
        <v>1509</v>
      </c>
      <c r="C327" t="s">
        <v>7781</v>
      </c>
      <c r="D327" t="s">
        <v>13</v>
      </c>
      <c r="E327" t="s">
        <v>7782</v>
      </c>
      <c r="F327" t="s">
        <v>1512</v>
      </c>
      <c r="G327" t="s">
        <v>7783</v>
      </c>
      <c r="H327" t="s">
        <v>3354</v>
      </c>
      <c r="I327" t="b">
        <v>1</v>
      </c>
      <c r="J327">
        <v>147</v>
      </c>
      <c r="K327">
        <v>1208</v>
      </c>
      <c r="L327">
        <v>27</v>
      </c>
      <c r="M327">
        <f>COUNTIF(H327:$H$2581,H327)</f>
        <v>6</v>
      </c>
    </row>
    <row r="328" spans="1:13" x14ac:dyDescent="0.2">
      <c r="A328">
        <v>830</v>
      </c>
      <c r="B328" t="s">
        <v>594</v>
      </c>
      <c r="C328" t="s">
        <v>8162</v>
      </c>
      <c r="D328" t="s">
        <v>13</v>
      </c>
      <c r="E328" t="s">
        <v>8163</v>
      </c>
      <c r="F328" t="s">
        <v>597</v>
      </c>
      <c r="G328" t="s">
        <v>8164</v>
      </c>
      <c r="H328" t="s">
        <v>3377</v>
      </c>
      <c r="I328" t="b">
        <v>1</v>
      </c>
      <c r="J328">
        <v>114</v>
      </c>
      <c r="K328">
        <v>831</v>
      </c>
      <c r="L328">
        <v>30</v>
      </c>
      <c r="M328">
        <f>COUNTIF(H328:$H$2581,H328)</f>
        <v>1</v>
      </c>
    </row>
    <row r="329" spans="1:13" x14ac:dyDescent="0.2">
      <c r="A329">
        <v>648</v>
      </c>
      <c r="B329" t="s">
        <v>237</v>
      </c>
      <c r="C329" t="s">
        <v>8729</v>
      </c>
      <c r="D329" t="s">
        <v>13</v>
      </c>
      <c r="E329" t="s">
        <v>8730</v>
      </c>
      <c r="F329" t="s">
        <v>240</v>
      </c>
      <c r="G329" t="s">
        <v>8731</v>
      </c>
      <c r="H329" t="s">
        <v>3381</v>
      </c>
      <c r="I329" t="b">
        <v>1</v>
      </c>
      <c r="J329">
        <v>92</v>
      </c>
      <c r="K329">
        <v>649</v>
      </c>
      <c r="L329">
        <v>31</v>
      </c>
      <c r="M329">
        <f>COUNTIF(H329:$H$2581,H329)</f>
        <v>7</v>
      </c>
    </row>
    <row r="330" spans="1:13" x14ac:dyDescent="0.2">
      <c r="A330">
        <v>2134</v>
      </c>
      <c r="B330" t="s">
        <v>147</v>
      </c>
      <c r="C330" t="s">
        <v>148</v>
      </c>
      <c r="D330" t="s">
        <v>54</v>
      </c>
      <c r="E330" s="1" t="s">
        <v>149</v>
      </c>
      <c r="F330" t="s">
        <v>150</v>
      </c>
      <c r="G330" t="s">
        <v>151</v>
      </c>
      <c r="H330" t="s">
        <v>3403</v>
      </c>
      <c r="I330" t="b">
        <v>1</v>
      </c>
      <c r="J330">
        <v>248</v>
      </c>
      <c r="K330">
        <v>2135</v>
      </c>
      <c r="L330">
        <v>45</v>
      </c>
      <c r="M330">
        <f>COUNTIF(H330:$H$2581,H330)</f>
        <v>1</v>
      </c>
    </row>
    <row r="331" spans="1:13" x14ac:dyDescent="0.2">
      <c r="A331">
        <v>2217</v>
      </c>
      <c r="B331" t="s">
        <v>165</v>
      </c>
      <c r="C331" t="s">
        <v>393</v>
      </c>
      <c r="D331" t="s">
        <v>33</v>
      </c>
      <c r="E331" t="s">
        <v>394</v>
      </c>
      <c r="F331" t="s">
        <v>168</v>
      </c>
      <c r="G331" t="s">
        <v>395</v>
      </c>
      <c r="H331" t="s">
        <v>3407</v>
      </c>
      <c r="I331" t="s">
        <v>24</v>
      </c>
      <c r="J331">
        <v>261</v>
      </c>
      <c r="K331">
        <v>2218</v>
      </c>
      <c r="L331">
        <v>1</v>
      </c>
      <c r="M331">
        <f>COUNTIF(H331:$H$2581,H331)</f>
        <v>1</v>
      </c>
    </row>
    <row r="332" spans="1:13" x14ac:dyDescent="0.2">
      <c r="A332">
        <v>402</v>
      </c>
      <c r="B332" t="s">
        <v>1244</v>
      </c>
      <c r="C332" t="s">
        <v>1245</v>
      </c>
      <c r="D332" t="s">
        <v>54</v>
      </c>
      <c r="E332" t="s">
        <v>1246</v>
      </c>
      <c r="F332" t="s">
        <v>1247</v>
      </c>
      <c r="G332" t="s">
        <v>1248</v>
      </c>
      <c r="H332" t="s">
        <v>3411</v>
      </c>
      <c r="I332" t="b">
        <v>0</v>
      </c>
      <c r="J332">
        <v>57</v>
      </c>
      <c r="K332">
        <v>403</v>
      </c>
      <c r="L332">
        <v>157</v>
      </c>
      <c r="M332">
        <f>COUNTIF(H332:$H$2581,H332)</f>
        <v>1</v>
      </c>
    </row>
    <row r="333" spans="1:13" x14ac:dyDescent="0.2">
      <c r="A333">
        <v>174</v>
      </c>
      <c r="B333" t="s">
        <v>78</v>
      </c>
      <c r="C333" t="s">
        <v>1731</v>
      </c>
      <c r="D333" t="s">
        <v>54</v>
      </c>
      <c r="E333" t="s">
        <v>1732</v>
      </c>
      <c r="F333" t="s">
        <v>81</v>
      </c>
      <c r="G333" t="s">
        <v>1733</v>
      </c>
      <c r="H333" t="s">
        <v>3415</v>
      </c>
      <c r="I333" t="b">
        <v>1</v>
      </c>
      <c r="J333">
        <v>33</v>
      </c>
      <c r="K333">
        <v>175</v>
      </c>
      <c r="L333">
        <v>84</v>
      </c>
      <c r="M333">
        <f>COUNTIF(H333:$H$2581,H333)</f>
        <v>1</v>
      </c>
    </row>
    <row r="334" spans="1:13" x14ac:dyDescent="0.2">
      <c r="A334">
        <v>1309</v>
      </c>
      <c r="B334" t="s">
        <v>1915</v>
      </c>
      <c r="C334" t="s">
        <v>1916</v>
      </c>
      <c r="D334" t="s">
        <v>13</v>
      </c>
      <c r="E334" t="s">
        <v>1917</v>
      </c>
      <c r="F334" t="s">
        <v>1918</v>
      </c>
      <c r="G334" t="s">
        <v>1919</v>
      </c>
      <c r="H334" t="s">
        <v>3419</v>
      </c>
      <c r="I334" t="s">
        <v>24</v>
      </c>
      <c r="J334">
        <v>161</v>
      </c>
      <c r="K334">
        <v>1310</v>
      </c>
      <c r="L334">
        <v>10</v>
      </c>
      <c r="M334">
        <f>COUNTIF(H334:$H$2581,H334)</f>
        <v>1</v>
      </c>
    </row>
    <row r="335" spans="1:13" x14ac:dyDescent="0.2">
      <c r="A335">
        <v>413</v>
      </c>
      <c r="B335" t="s">
        <v>1857</v>
      </c>
      <c r="C335" t="s">
        <v>2337</v>
      </c>
      <c r="D335" t="s">
        <v>13</v>
      </c>
      <c r="E335" t="s">
        <v>2338</v>
      </c>
      <c r="F335" t="s">
        <v>1860</v>
      </c>
      <c r="G335" t="s">
        <v>2339</v>
      </c>
      <c r="H335" t="s">
        <v>3423</v>
      </c>
      <c r="I335" t="s">
        <v>24</v>
      </c>
      <c r="J335">
        <v>60</v>
      </c>
      <c r="K335">
        <v>414</v>
      </c>
      <c r="L335">
        <v>121</v>
      </c>
      <c r="M335">
        <f>COUNTIF(H335:$H$2581,H335)</f>
        <v>15</v>
      </c>
    </row>
    <row r="336" spans="1:13" x14ac:dyDescent="0.2">
      <c r="A336">
        <v>1019</v>
      </c>
      <c r="B336" t="s">
        <v>3182</v>
      </c>
      <c r="C336" t="s">
        <v>3561</v>
      </c>
      <c r="D336" t="s">
        <v>13</v>
      </c>
      <c r="E336" t="s">
        <v>3562</v>
      </c>
      <c r="F336" t="s">
        <v>3185</v>
      </c>
      <c r="G336" t="s">
        <v>3563</v>
      </c>
      <c r="H336" t="s">
        <v>3469</v>
      </c>
      <c r="I336" t="s">
        <v>24</v>
      </c>
      <c r="J336">
        <v>127</v>
      </c>
      <c r="K336">
        <v>1020</v>
      </c>
      <c r="L336">
        <v>39</v>
      </c>
      <c r="M336">
        <f>COUNTIF(H336:$H$2581,H336)</f>
        <v>2</v>
      </c>
    </row>
    <row r="337" spans="1:13" x14ac:dyDescent="0.2">
      <c r="A337">
        <v>684</v>
      </c>
      <c r="B337" t="s">
        <v>3704</v>
      </c>
      <c r="C337" t="s">
        <v>3705</v>
      </c>
      <c r="D337" t="s">
        <v>54</v>
      </c>
      <c r="E337" t="s">
        <v>3706</v>
      </c>
      <c r="F337" t="s">
        <v>3707</v>
      </c>
      <c r="G337" t="s">
        <v>3708</v>
      </c>
      <c r="H337" t="s">
        <v>3476</v>
      </c>
      <c r="I337" t="s">
        <v>24</v>
      </c>
      <c r="J337">
        <v>101</v>
      </c>
      <c r="K337">
        <v>685</v>
      </c>
      <c r="L337">
        <v>22</v>
      </c>
      <c r="M337">
        <f>COUNTIF(H337:$H$2581,H337)</f>
        <v>1</v>
      </c>
    </row>
    <row r="338" spans="1:13" x14ac:dyDescent="0.2">
      <c r="A338">
        <v>2015</v>
      </c>
      <c r="B338" t="s">
        <v>444</v>
      </c>
      <c r="C338" t="s">
        <v>4557</v>
      </c>
      <c r="D338" t="s">
        <v>54</v>
      </c>
      <c r="E338" t="s">
        <v>4558</v>
      </c>
      <c r="F338" t="s">
        <v>447</v>
      </c>
      <c r="G338" t="s">
        <v>4559</v>
      </c>
      <c r="H338" t="s">
        <v>3480</v>
      </c>
      <c r="I338" t="s">
        <v>24</v>
      </c>
      <c r="J338">
        <v>233</v>
      </c>
      <c r="K338">
        <v>2016</v>
      </c>
      <c r="L338">
        <v>4</v>
      </c>
      <c r="M338">
        <f>COUNTIF(H338:$H$2581,H338)</f>
        <v>1</v>
      </c>
    </row>
    <row r="339" spans="1:13" x14ac:dyDescent="0.2">
      <c r="A339">
        <v>970</v>
      </c>
      <c r="B339" t="s">
        <v>203</v>
      </c>
      <c r="C339" t="s">
        <v>5346</v>
      </c>
      <c r="D339" t="s">
        <v>13</v>
      </c>
      <c r="E339" t="s">
        <v>5347</v>
      </c>
      <c r="F339" t="s">
        <v>206</v>
      </c>
      <c r="G339" t="s">
        <v>5348</v>
      </c>
      <c r="H339" t="s">
        <v>3484</v>
      </c>
      <c r="I339" t="b">
        <v>1</v>
      </c>
      <c r="J339">
        <v>123</v>
      </c>
      <c r="K339">
        <v>971</v>
      </c>
      <c r="L339">
        <v>24</v>
      </c>
      <c r="M339">
        <f>COUNTIF(H339:$H$2581,H339)</f>
        <v>52</v>
      </c>
    </row>
    <row r="340" spans="1:13" x14ac:dyDescent="0.2">
      <c r="A340">
        <v>184</v>
      </c>
      <c r="B340" t="s">
        <v>557</v>
      </c>
      <c r="C340" t="s">
        <v>5482</v>
      </c>
      <c r="D340" t="s">
        <v>13</v>
      </c>
      <c r="E340" t="s">
        <v>5483</v>
      </c>
      <c r="F340" t="s">
        <v>560</v>
      </c>
      <c r="G340" t="s">
        <v>5484</v>
      </c>
      <c r="H340" t="s">
        <v>3646</v>
      </c>
      <c r="I340" t="s">
        <v>24</v>
      </c>
      <c r="J340">
        <v>34</v>
      </c>
      <c r="K340">
        <v>185</v>
      </c>
      <c r="L340">
        <v>13</v>
      </c>
      <c r="M340">
        <f>COUNTIF(H340:$H$2581,H340)</f>
        <v>1</v>
      </c>
    </row>
    <row r="341" spans="1:13" x14ac:dyDescent="0.2">
      <c r="A341">
        <v>406</v>
      </c>
      <c r="B341" t="s">
        <v>1244</v>
      </c>
      <c r="C341" t="s">
        <v>5567</v>
      </c>
      <c r="D341" t="s">
        <v>54</v>
      </c>
      <c r="E341" t="s">
        <v>5568</v>
      </c>
      <c r="F341" t="s">
        <v>1247</v>
      </c>
      <c r="G341" t="s">
        <v>5569</v>
      </c>
      <c r="H341" t="s">
        <v>3650</v>
      </c>
      <c r="I341" t="b">
        <v>0</v>
      </c>
      <c r="J341">
        <v>57</v>
      </c>
      <c r="K341">
        <v>407</v>
      </c>
      <c r="L341">
        <v>50</v>
      </c>
      <c r="M341">
        <f>COUNTIF(H341:$H$2581,H341)</f>
        <v>2</v>
      </c>
    </row>
    <row r="342" spans="1:13" x14ac:dyDescent="0.2">
      <c r="A342">
        <v>1175</v>
      </c>
      <c r="B342" t="s">
        <v>1665</v>
      </c>
      <c r="C342" t="s">
        <v>5751</v>
      </c>
      <c r="D342" t="s">
        <v>13</v>
      </c>
      <c r="E342" t="s">
        <v>5752</v>
      </c>
      <c r="F342" t="s">
        <v>1668</v>
      </c>
      <c r="G342" t="s">
        <v>5753</v>
      </c>
      <c r="H342" t="s">
        <v>3656</v>
      </c>
      <c r="I342" t="b">
        <v>1</v>
      </c>
      <c r="J342">
        <v>144</v>
      </c>
      <c r="K342">
        <v>1176</v>
      </c>
      <c r="L342">
        <v>25</v>
      </c>
      <c r="M342">
        <f>COUNTIF(H342:$H$2581,H342)</f>
        <v>2</v>
      </c>
    </row>
    <row r="343" spans="1:13" x14ac:dyDescent="0.2">
      <c r="A343">
        <v>1132</v>
      </c>
      <c r="B343" t="s">
        <v>1186</v>
      </c>
      <c r="C343" t="s">
        <v>5910</v>
      </c>
      <c r="D343" t="s">
        <v>33</v>
      </c>
      <c r="E343" t="s">
        <v>5911</v>
      </c>
      <c r="F343" t="s">
        <v>1189</v>
      </c>
      <c r="G343" t="s">
        <v>5912</v>
      </c>
      <c r="H343" t="s">
        <v>3663</v>
      </c>
      <c r="I343" t="b">
        <v>0</v>
      </c>
      <c r="J343">
        <v>137</v>
      </c>
      <c r="K343">
        <v>1133</v>
      </c>
      <c r="L343">
        <v>124</v>
      </c>
      <c r="M343">
        <f>COUNTIF(H343:$H$2581,H343)</f>
        <v>3</v>
      </c>
    </row>
    <row r="344" spans="1:13" x14ac:dyDescent="0.2">
      <c r="A344">
        <v>113</v>
      </c>
      <c r="B344" t="s">
        <v>42</v>
      </c>
      <c r="C344" t="s">
        <v>6258</v>
      </c>
      <c r="D344" t="s">
        <v>13</v>
      </c>
      <c r="E344" t="s">
        <v>6259</v>
      </c>
      <c r="F344" t="s">
        <v>45</v>
      </c>
      <c r="G344" t="s">
        <v>6260</v>
      </c>
      <c r="H344" t="s">
        <v>3673</v>
      </c>
      <c r="I344" t="b">
        <v>1</v>
      </c>
      <c r="J344">
        <v>19</v>
      </c>
      <c r="K344">
        <v>114</v>
      </c>
      <c r="L344">
        <v>9</v>
      </c>
      <c r="M344">
        <f>COUNTIF(H344:$H$2581,H344)</f>
        <v>37</v>
      </c>
    </row>
    <row r="345" spans="1:13" x14ac:dyDescent="0.2">
      <c r="A345">
        <v>1431</v>
      </c>
      <c r="B345" t="s">
        <v>3029</v>
      </c>
      <c r="C345" t="s">
        <v>6591</v>
      </c>
      <c r="D345" t="s">
        <v>13</v>
      </c>
      <c r="E345" t="s">
        <v>6592</v>
      </c>
      <c r="F345" t="s">
        <v>3032</v>
      </c>
      <c r="G345" t="s">
        <v>6593</v>
      </c>
      <c r="H345" t="s">
        <v>3788</v>
      </c>
      <c r="I345" t="s">
        <v>24</v>
      </c>
      <c r="J345">
        <v>172</v>
      </c>
      <c r="K345">
        <v>1432</v>
      </c>
      <c r="L345">
        <v>7</v>
      </c>
      <c r="M345">
        <f>COUNTIF(H345:$H$2581,H345)</f>
        <v>1</v>
      </c>
    </row>
    <row r="346" spans="1:13" x14ac:dyDescent="0.2">
      <c r="A346">
        <v>397</v>
      </c>
      <c r="B346" t="s">
        <v>1568</v>
      </c>
      <c r="C346" t="s">
        <v>4121</v>
      </c>
      <c r="D346" t="s">
        <v>13</v>
      </c>
      <c r="E346" t="s">
        <v>6839</v>
      </c>
      <c r="F346" t="s">
        <v>1571</v>
      </c>
      <c r="G346" t="s">
        <v>6840</v>
      </c>
      <c r="H346" t="s">
        <v>3792</v>
      </c>
      <c r="I346" t="s">
        <v>24</v>
      </c>
      <c r="J346">
        <v>55</v>
      </c>
      <c r="K346">
        <v>398</v>
      </c>
      <c r="L346">
        <v>125</v>
      </c>
      <c r="M346">
        <f>COUNTIF(H346:$H$2581,H346)</f>
        <v>1</v>
      </c>
    </row>
    <row r="347" spans="1:13" x14ac:dyDescent="0.2">
      <c r="A347">
        <v>713</v>
      </c>
      <c r="B347" t="s">
        <v>730</v>
      </c>
      <c r="C347" t="s">
        <v>7049</v>
      </c>
      <c r="D347" t="s">
        <v>13</v>
      </c>
      <c r="E347" t="s">
        <v>7050</v>
      </c>
      <c r="F347" t="s">
        <v>733</v>
      </c>
      <c r="G347" t="s">
        <v>7051</v>
      </c>
      <c r="H347" t="s">
        <v>3796</v>
      </c>
      <c r="I347" t="s">
        <v>24</v>
      </c>
      <c r="J347">
        <v>103</v>
      </c>
      <c r="K347">
        <v>714</v>
      </c>
      <c r="L347">
        <v>14</v>
      </c>
      <c r="M347">
        <f>COUNTIF(H347:$H$2581,H347)</f>
        <v>1</v>
      </c>
    </row>
    <row r="348" spans="1:13" x14ac:dyDescent="0.2">
      <c r="A348">
        <v>1259</v>
      </c>
      <c r="B348" t="s">
        <v>3822</v>
      </c>
      <c r="C348" t="s">
        <v>7784</v>
      </c>
      <c r="D348" t="s">
        <v>13</v>
      </c>
      <c r="E348" t="s">
        <v>7785</v>
      </c>
      <c r="F348" t="s">
        <v>3825</v>
      </c>
      <c r="G348" t="s">
        <v>7786</v>
      </c>
      <c r="H348" t="s">
        <v>3800</v>
      </c>
      <c r="I348" t="s">
        <v>24</v>
      </c>
      <c r="J348">
        <v>155</v>
      </c>
      <c r="K348">
        <v>1260</v>
      </c>
      <c r="L348">
        <v>27</v>
      </c>
      <c r="M348">
        <f>COUNTIF(H348:$H$2581,H348)</f>
        <v>1</v>
      </c>
    </row>
    <row r="349" spans="1:13" x14ac:dyDescent="0.2">
      <c r="A349">
        <v>847</v>
      </c>
      <c r="B349" t="s">
        <v>3157</v>
      </c>
      <c r="C349" t="s">
        <v>8165</v>
      </c>
      <c r="D349" t="s">
        <v>54</v>
      </c>
      <c r="E349" t="s">
        <v>8166</v>
      </c>
      <c r="F349" t="s">
        <v>3160</v>
      </c>
      <c r="G349" t="s">
        <v>8167</v>
      </c>
      <c r="H349" t="s">
        <v>3804</v>
      </c>
      <c r="I349" t="s">
        <v>24</v>
      </c>
      <c r="J349">
        <v>116</v>
      </c>
      <c r="K349">
        <v>848</v>
      </c>
      <c r="L349">
        <v>30</v>
      </c>
      <c r="M349">
        <f>COUNTIF(H349:$H$2581,H349)</f>
        <v>1</v>
      </c>
    </row>
    <row r="350" spans="1:13" x14ac:dyDescent="0.2">
      <c r="A350">
        <v>831</v>
      </c>
      <c r="B350" t="s">
        <v>594</v>
      </c>
      <c r="C350" t="s">
        <v>8732</v>
      </c>
      <c r="D350" t="s">
        <v>54</v>
      </c>
      <c r="E350" t="s">
        <v>8733</v>
      </c>
      <c r="F350" t="s">
        <v>597</v>
      </c>
      <c r="G350" t="s">
        <v>8734</v>
      </c>
      <c r="H350" t="s">
        <v>3808</v>
      </c>
      <c r="I350" t="b">
        <v>1</v>
      </c>
      <c r="J350">
        <v>114</v>
      </c>
      <c r="K350">
        <v>832</v>
      </c>
      <c r="L350">
        <v>31</v>
      </c>
      <c r="M350">
        <f>COUNTIF(H350:$H$2581,H350)</f>
        <v>1</v>
      </c>
    </row>
    <row r="351" spans="1:13" x14ac:dyDescent="0.2">
      <c r="A351">
        <v>2129</v>
      </c>
      <c r="B351" t="s">
        <v>142</v>
      </c>
      <c r="C351" t="s">
        <v>143</v>
      </c>
      <c r="D351" t="s">
        <v>54</v>
      </c>
      <c r="E351" t="s">
        <v>144</v>
      </c>
      <c r="F351" t="s">
        <v>145</v>
      </c>
      <c r="G351" t="s">
        <v>146</v>
      </c>
      <c r="H351" t="s">
        <v>3812</v>
      </c>
      <c r="I351" t="b">
        <v>1</v>
      </c>
      <c r="J351">
        <v>247</v>
      </c>
      <c r="K351">
        <v>2130</v>
      </c>
      <c r="L351">
        <v>45</v>
      </c>
      <c r="M351">
        <f>COUNTIF(H351:$H$2581,H351)</f>
        <v>17</v>
      </c>
    </row>
    <row r="352" spans="1:13" x14ac:dyDescent="0.2">
      <c r="A352">
        <v>2216</v>
      </c>
      <c r="B352" t="s">
        <v>165</v>
      </c>
      <c r="C352" t="s">
        <v>390</v>
      </c>
      <c r="D352" t="s">
        <v>13</v>
      </c>
      <c r="E352" t="s">
        <v>391</v>
      </c>
      <c r="F352" t="s">
        <v>168</v>
      </c>
      <c r="G352" t="s">
        <v>392</v>
      </c>
      <c r="H352" t="s">
        <v>3866</v>
      </c>
      <c r="I352" t="s">
        <v>24</v>
      </c>
      <c r="J352">
        <v>261</v>
      </c>
      <c r="K352">
        <v>2217</v>
      </c>
      <c r="L352">
        <v>1</v>
      </c>
      <c r="M352">
        <f>COUNTIF(H352:$H$2581,H352)</f>
        <v>1</v>
      </c>
    </row>
    <row r="353" spans="1:13" x14ac:dyDescent="0.2">
      <c r="A353">
        <v>411</v>
      </c>
      <c r="B353" t="s">
        <v>1249</v>
      </c>
      <c r="C353" t="s">
        <v>1250</v>
      </c>
      <c r="D353" t="s">
        <v>54</v>
      </c>
      <c r="E353" t="s">
        <v>1251</v>
      </c>
      <c r="F353" t="s">
        <v>1252</v>
      </c>
      <c r="G353" t="s">
        <v>1253</v>
      </c>
      <c r="H353" t="s">
        <v>3870</v>
      </c>
      <c r="I353" t="s">
        <v>24</v>
      </c>
      <c r="J353">
        <v>59</v>
      </c>
      <c r="K353">
        <v>412</v>
      </c>
      <c r="L353">
        <v>157</v>
      </c>
      <c r="M353">
        <f>COUNTIF(H353:$H$2581,H353)</f>
        <v>11</v>
      </c>
    </row>
    <row r="354" spans="1:13" x14ac:dyDescent="0.2">
      <c r="A354">
        <v>267</v>
      </c>
      <c r="B354" t="s">
        <v>1126</v>
      </c>
      <c r="C354" t="s">
        <v>1735</v>
      </c>
      <c r="D354" t="s">
        <v>33</v>
      </c>
      <c r="E354" t="s">
        <v>1736</v>
      </c>
      <c r="F354" t="s">
        <v>1129</v>
      </c>
      <c r="G354" t="s">
        <v>1737</v>
      </c>
      <c r="H354" t="s">
        <v>3904</v>
      </c>
      <c r="I354" t="b">
        <v>0</v>
      </c>
      <c r="J354">
        <v>43</v>
      </c>
      <c r="K354">
        <v>268</v>
      </c>
      <c r="L354">
        <v>84</v>
      </c>
      <c r="M354">
        <f>COUNTIF(H354:$H$2581,H354)</f>
        <v>1</v>
      </c>
    </row>
    <row r="355" spans="1:13" x14ac:dyDescent="0.2">
      <c r="A355">
        <v>1433</v>
      </c>
      <c r="B355" t="s">
        <v>461</v>
      </c>
      <c r="C355" t="s">
        <v>1920</v>
      </c>
      <c r="D355" t="s">
        <v>54</v>
      </c>
      <c r="E355" t="s">
        <v>1921</v>
      </c>
      <c r="F355" t="s">
        <v>464</v>
      </c>
      <c r="G355" t="s">
        <v>1922</v>
      </c>
      <c r="H355" t="s">
        <v>3908</v>
      </c>
      <c r="I355" t="s">
        <v>24</v>
      </c>
      <c r="J355">
        <v>173</v>
      </c>
      <c r="K355">
        <v>1434</v>
      </c>
      <c r="L355">
        <v>10</v>
      </c>
      <c r="M355">
        <f>COUNTIF(H355:$H$2581,H355)</f>
        <v>1</v>
      </c>
    </row>
    <row r="356" spans="1:13" x14ac:dyDescent="0.2">
      <c r="A356">
        <v>635</v>
      </c>
      <c r="B356" t="s">
        <v>237</v>
      </c>
      <c r="C356" t="s">
        <v>2340</v>
      </c>
      <c r="D356" t="s">
        <v>54</v>
      </c>
      <c r="E356" t="s">
        <v>2341</v>
      </c>
      <c r="F356" t="s">
        <v>240</v>
      </c>
      <c r="G356" t="s">
        <v>2342</v>
      </c>
      <c r="H356" t="s">
        <v>3912</v>
      </c>
      <c r="I356" t="b">
        <v>1</v>
      </c>
      <c r="J356">
        <v>92</v>
      </c>
      <c r="K356">
        <v>636</v>
      </c>
      <c r="L356">
        <v>121</v>
      </c>
      <c r="M356">
        <f>COUNTIF(H356:$H$2581,H356)</f>
        <v>1</v>
      </c>
    </row>
    <row r="357" spans="1:13" x14ac:dyDescent="0.2">
      <c r="A357">
        <v>1054</v>
      </c>
      <c r="B357" t="s">
        <v>1884</v>
      </c>
      <c r="C357" t="s">
        <v>3564</v>
      </c>
      <c r="D357" t="s">
        <v>13</v>
      </c>
      <c r="E357" t="s">
        <v>3565</v>
      </c>
      <c r="F357" t="s">
        <v>1887</v>
      </c>
      <c r="G357" t="s">
        <v>3566</v>
      </c>
      <c r="H357" t="s">
        <v>3916</v>
      </c>
      <c r="I357" t="s">
        <v>24</v>
      </c>
      <c r="J357">
        <v>131</v>
      </c>
      <c r="K357">
        <v>1055</v>
      </c>
      <c r="L357">
        <v>39</v>
      </c>
      <c r="M357">
        <f>COUNTIF(H357:$H$2581,H357)</f>
        <v>1</v>
      </c>
    </row>
    <row r="358" spans="1:13" x14ac:dyDescent="0.2">
      <c r="A358">
        <v>891</v>
      </c>
      <c r="B358" t="s">
        <v>198</v>
      </c>
      <c r="C358" t="s">
        <v>3709</v>
      </c>
      <c r="D358" t="s">
        <v>54</v>
      </c>
      <c r="E358" t="s">
        <v>3710</v>
      </c>
      <c r="F358" t="s">
        <v>201</v>
      </c>
      <c r="G358" t="s">
        <v>3711</v>
      </c>
      <c r="H358" t="s">
        <v>3920</v>
      </c>
      <c r="I358" t="b">
        <v>0</v>
      </c>
      <c r="J358">
        <v>120</v>
      </c>
      <c r="K358">
        <v>892</v>
      </c>
      <c r="L358">
        <v>22</v>
      </c>
      <c r="M358">
        <f>COUNTIF(H358:$H$2581,H358)</f>
        <v>2</v>
      </c>
    </row>
    <row r="359" spans="1:13" x14ac:dyDescent="0.2">
      <c r="A359">
        <v>2016</v>
      </c>
      <c r="B359" t="s">
        <v>444</v>
      </c>
      <c r="C359" t="s">
        <v>4560</v>
      </c>
      <c r="D359" t="s">
        <v>54</v>
      </c>
      <c r="E359" t="s">
        <v>4561</v>
      </c>
      <c r="F359" t="s">
        <v>447</v>
      </c>
      <c r="G359" t="s">
        <v>4562</v>
      </c>
      <c r="H359" t="s">
        <v>3927</v>
      </c>
      <c r="I359" t="s">
        <v>24</v>
      </c>
      <c r="J359">
        <v>233</v>
      </c>
      <c r="K359">
        <v>2017</v>
      </c>
      <c r="L359">
        <v>4</v>
      </c>
      <c r="M359">
        <f>COUNTIF(H359:$H$2581,H359)</f>
        <v>5</v>
      </c>
    </row>
    <row r="360" spans="1:13" x14ac:dyDescent="0.2">
      <c r="A360">
        <v>971</v>
      </c>
      <c r="B360" t="s">
        <v>203</v>
      </c>
      <c r="C360" t="s">
        <v>5349</v>
      </c>
      <c r="D360" t="s">
        <v>13</v>
      </c>
      <c r="E360" t="s">
        <v>5350</v>
      </c>
      <c r="F360" t="s">
        <v>206</v>
      </c>
      <c r="G360" t="s">
        <v>5351</v>
      </c>
      <c r="H360" t="s">
        <v>3943</v>
      </c>
      <c r="I360" t="b">
        <v>1</v>
      </c>
      <c r="J360">
        <v>123</v>
      </c>
      <c r="K360">
        <v>972</v>
      </c>
      <c r="L360">
        <v>24</v>
      </c>
      <c r="M360">
        <f>COUNTIF(H360:$H$2581,H360)</f>
        <v>1</v>
      </c>
    </row>
    <row r="361" spans="1:13" x14ac:dyDescent="0.2">
      <c r="A361">
        <v>200</v>
      </c>
      <c r="B361" t="s">
        <v>346</v>
      </c>
      <c r="C361" t="s">
        <v>5485</v>
      </c>
      <c r="D361" t="s">
        <v>13</v>
      </c>
      <c r="E361" t="s">
        <v>5486</v>
      </c>
      <c r="F361" t="s">
        <v>349</v>
      </c>
      <c r="G361" t="s">
        <v>5487</v>
      </c>
      <c r="H361" t="s">
        <v>3947</v>
      </c>
      <c r="I361" t="b">
        <v>0</v>
      </c>
      <c r="J361">
        <v>36</v>
      </c>
      <c r="K361">
        <v>201</v>
      </c>
      <c r="L361">
        <v>13</v>
      </c>
      <c r="M361">
        <f>COUNTIF(H361:$H$2581,H361)</f>
        <v>1</v>
      </c>
    </row>
    <row r="362" spans="1:13" x14ac:dyDescent="0.2">
      <c r="A362">
        <v>501</v>
      </c>
      <c r="B362" t="s">
        <v>1738</v>
      </c>
      <c r="C362" t="s">
        <v>5570</v>
      </c>
      <c r="D362" t="s">
        <v>54</v>
      </c>
      <c r="E362" t="s">
        <v>5571</v>
      </c>
      <c r="F362" t="s">
        <v>1741</v>
      </c>
      <c r="G362" t="s">
        <v>5572</v>
      </c>
      <c r="H362" t="s">
        <v>3951</v>
      </c>
      <c r="I362" t="b">
        <v>0</v>
      </c>
      <c r="J362">
        <v>71</v>
      </c>
      <c r="K362">
        <v>502</v>
      </c>
      <c r="L362">
        <v>50</v>
      </c>
      <c r="M362">
        <f>COUNTIF(H362:$H$2581,H362)</f>
        <v>13</v>
      </c>
    </row>
    <row r="363" spans="1:13" x14ac:dyDescent="0.2">
      <c r="A363">
        <v>1206</v>
      </c>
      <c r="B363" t="s">
        <v>1509</v>
      </c>
      <c r="C363" t="s">
        <v>5754</v>
      </c>
      <c r="D363" t="s">
        <v>13</v>
      </c>
      <c r="E363" s="1" t="s">
        <v>5755</v>
      </c>
      <c r="F363" t="s">
        <v>1512</v>
      </c>
      <c r="G363" t="s">
        <v>5756</v>
      </c>
      <c r="H363" t="s">
        <v>3991</v>
      </c>
      <c r="I363" t="b">
        <v>1</v>
      </c>
      <c r="J363">
        <v>147</v>
      </c>
      <c r="K363">
        <v>1207</v>
      </c>
      <c r="L363">
        <v>25</v>
      </c>
      <c r="M363">
        <f>COUNTIF(H363:$H$2581,H363)</f>
        <v>7</v>
      </c>
    </row>
    <row r="364" spans="1:13" x14ac:dyDescent="0.2">
      <c r="A364">
        <v>1157</v>
      </c>
      <c r="B364" t="s">
        <v>1725</v>
      </c>
      <c r="C364" t="s">
        <v>5913</v>
      </c>
      <c r="D364" t="s">
        <v>33</v>
      </c>
      <c r="E364" t="s">
        <v>5914</v>
      </c>
      <c r="F364" t="s">
        <v>1728</v>
      </c>
      <c r="G364" t="s">
        <v>5915</v>
      </c>
      <c r="H364" t="s">
        <v>4015</v>
      </c>
      <c r="I364" t="b">
        <v>0</v>
      </c>
      <c r="J364">
        <v>141</v>
      </c>
      <c r="K364">
        <v>1158</v>
      </c>
      <c r="L364">
        <v>124</v>
      </c>
      <c r="M364">
        <f>COUNTIF(H364:$H$2581,H364)</f>
        <v>20</v>
      </c>
    </row>
    <row r="365" spans="1:13" x14ac:dyDescent="0.2">
      <c r="A365">
        <v>116</v>
      </c>
      <c r="B365" t="s">
        <v>47</v>
      </c>
      <c r="C365" t="s">
        <v>6261</v>
      </c>
      <c r="D365" t="s">
        <v>13</v>
      </c>
      <c r="E365" t="s">
        <v>6262</v>
      </c>
      <c r="F365" t="s">
        <v>50</v>
      </c>
      <c r="G365" t="s">
        <v>6263</v>
      </c>
      <c r="H365" t="s">
        <v>4076</v>
      </c>
      <c r="I365" t="s">
        <v>24</v>
      </c>
      <c r="J365">
        <v>20</v>
      </c>
      <c r="K365">
        <v>117</v>
      </c>
      <c r="L365">
        <v>9</v>
      </c>
      <c r="M365">
        <f>COUNTIF(H365:$H$2581,H365)</f>
        <v>1</v>
      </c>
    </row>
    <row r="366" spans="1:13" x14ac:dyDescent="0.2">
      <c r="A366">
        <v>1434</v>
      </c>
      <c r="B366" t="s">
        <v>461</v>
      </c>
      <c r="C366" t="s">
        <v>6594</v>
      </c>
      <c r="D366" t="s">
        <v>13</v>
      </c>
      <c r="E366" t="s">
        <v>6595</v>
      </c>
      <c r="F366" t="s">
        <v>464</v>
      </c>
      <c r="G366" t="s">
        <v>6596</v>
      </c>
      <c r="H366" t="s">
        <v>4080</v>
      </c>
      <c r="I366" t="s">
        <v>24</v>
      </c>
      <c r="J366">
        <v>173</v>
      </c>
      <c r="K366">
        <v>1435</v>
      </c>
      <c r="L366">
        <v>7</v>
      </c>
      <c r="M366">
        <f>COUNTIF(H366:$H$2581,H366)</f>
        <v>1</v>
      </c>
    </row>
    <row r="367" spans="1:13" x14ac:dyDescent="0.2">
      <c r="A367">
        <v>450</v>
      </c>
      <c r="B367" t="s">
        <v>778</v>
      </c>
      <c r="C367" t="s">
        <v>6841</v>
      </c>
      <c r="D367" t="s">
        <v>13</v>
      </c>
      <c r="E367" t="s">
        <v>6842</v>
      </c>
      <c r="F367" t="s">
        <v>781</v>
      </c>
      <c r="G367" t="s">
        <v>6843</v>
      </c>
      <c r="H367" t="s">
        <v>4084</v>
      </c>
      <c r="I367" t="b">
        <v>0</v>
      </c>
      <c r="J367">
        <v>64</v>
      </c>
      <c r="K367">
        <v>451</v>
      </c>
      <c r="L367">
        <v>125</v>
      </c>
      <c r="M367">
        <f>COUNTIF(H367:$H$2581,H367)</f>
        <v>1</v>
      </c>
    </row>
    <row r="368" spans="1:13" x14ac:dyDescent="0.2">
      <c r="A368">
        <v>841</v>
      </c>
      <c r="B368" t="s">
        <v>176</v>
      </c>
      <c r="C368" t="s">
        <v>7052</v>
      </c>
      <c r="D368" t="s">
        <v>13</v>
      </c>
      <c r="E368" t="s">
        <v>7053</v>
      </c>
      <c r="F368" t="s">
        <v>179</v>
      </c>
      <c r="G368" t="s">
        <v>7054</v>
      </c>
      <c r="H368" t="s">
        <v>4088</v>
      </c>
      <c r="I368" t="s">
        <v>24</v>
      </c>
      <c r="J368">
        <v>115</v>
      </c>
      <c r="K368">
        <v>842</v>
      </c>
      <c r="L368">
        <v>14</v>
      </c>
      <c r="M368">
        <f>COUNTIF(H368:$H$2581,H368)</f>
        <v>1</v>
      </c>
    </row>
    <row r="369" spans="1:13" x14ac:dyDescent="0.2">
      <c r="A369">
        <v>1297</v>
      </c>
      <c r="B369" t="s">
        <v>1679</v>
      </c>
      <c r="C369" t="s">
        <v>7787</v>
      </c>
      <c r="D369" t="s">
        <v>13</v>
      </c>
      <c r="E369" t="s">
        <v>7788</v>
      </c>
      <c r="F369" t="s">
        <v>1682</v>
      </c>
      <c r="G369" t="s">
        <v>7789</v>
      </c>
      <c r="H369" t="s">
        <v>4092</v>
      </c>
      <c r="I369" t="b">
        <v>1</v>
      </c>
      <c r="J369">
        <v>159</v>
      </c>
      <c r="K369">
        <v>1298</v>
      </c>
      <c r="L369">
        <v>27</v>
      </c>
      <c r="M369">
        <f>COUNTIF(H369:$H$2581,H369)</f>
        <v>1</v>
      </c>
    </row>
    <row r="370" spans="1:13" x14ac:dyDescent="0.2">
      <c r="A370">
        <v>856</v>
      </c>
      <c r="B370" t="s">
        <v>193</v>
      </c>
      <c r="C370" t="s">
        <v>8168</v>
      </c>
      <c r="D370" t="s">
        <v>54</v>
      </c>
      <c r="E370" t="s">
        <v>8169</v>
      </c>
      <c r="F370" t="s">
        <v>196</v>
      </c>
      <c r="G370" t="s">
        <v>8170</v>
      </c>
      <c r="H370" t="s">
        <v>4096</v>
      </c>
      <c r="I370" t="s">
        <v>24</v>
      </c>
      <c r="J370">
        <v>117</v>
      </c>
      <c r="K370">
        <v>857</v>
      </c>
      <c r="L370">
        <v>30</v>
      </c>
      <c r="M370">
        <f>COUNTIF(H370:$H$2581,H370)</f>
        <v>1</v>
      </c>
    </row>
    <row r="371" spans="1:13" x14ac:dyDescent="0.2">
      <c r="A371">
        <v>832</v>
      </c>
      <c r="B371" t="s">
        <v>594</v>
      </c>
      <c r="C371" t="s">
        <v>8735</v>
      </c>
      <c r="D371" t="s">
        <v>13</v>
      </c>
      <c r="E371" t="s">
        <v>8736</v>
      </c>
      <c r="F371" t="s">
        <v>597</v>
      </c>
      <c r="G371" t="s">
        <v>8737</v>
      </c>
      <c r="H371" t="s">
        <v>4100</v>
      </c>
      <c r="I371" t="b">
        <v>1</v>
      </c>
      <c r="J371">
        <v>114</v>
      </c>
      <c r="K371">
        <v>833</v>
      </c>
      <c r="L371">
        <v>31</v>
      </c>
      <c r="M371">
        <f>COUNTIF(H371:$H$2581,H371)</f>
        <v>1</v>
      </c>
    </row>
    <row r="372" spans="1:13" x14ac:dyDescent="0.2">
      <c r="A372">
        <v>2124</v>
      </c>
      <c r="B372" t="s">
        <v>139</v>
      </c>
      <c r="C372" t="s">
        <v>38</v>
      </c>
      <c r="D372" t="s">
        <v>13</v>
      </c>
      <c r="E372" t="s">
        <v>140</v>
      </c>
      <c r="F372" t="s">
        <v>141</v>
      </c>
      <c r="G372" t="s">
        <v>41</v>
      </c>
      <c r="H372" t="s">
        <v>4104</v>
      </c>
      <c r="I372" t="b">
        <v>1</v>
      </c>
      <c r="J372">
        <v>245</v>
      </c>
      <c r="K372">
        <v>2125</v>
      </c>
      <c r="L372">
        <v>45</v>
      </c>
      <c r="M372">
        <f>COUNTIF(H372:$H$2581,H372)</f>
        <v>2</v>
      </c>
    </row>
    <row r="373" spans="1:13" x14ac:dyDescent="0.2">
      <c r="A373">
        <v>2146</v>
      </c>
      <c r="B373" t="s">
        <v>157</v>
      </c>
      <c r="C373" t="s">
        <v>351</v>
      </c>
      <c r="D373" t="s">
        <v>13</v>
      </c>
      <c r="E373" t="s">
        <v>389</v>
      </c>
      <c r="F373" t="s">
        <v>159</v>
      </c>
      <c r="G373" t="s">
        <v>353</v>
      </c>
      <c r="H373" t="s">
        <v>4111</v>
      </c>
      <c r="I373" t="s">
        <v>24</v>
      </c>
      <c r="J373">
        <v>250</v>
      </c>
      <c r="K373">
        <v>2147</v>
      </c>
      <c r="L373">
        <v>1</v>
      </c>
      <c r="M373">
        <f>COUNTIF(H373:$H$2581,H373)</f>
        <v>4</v>
      </c>
    </row>
    <row r="374" spans="1:13" x14ac:dyDescent="0.2">
      <c r="A374">
        <v>556</v>
      </c>
      <c r="B374" t="s">
        <v>1254</v>
      </c>
      <c r="C374" t="s">
        <v>1255</v>
      </c>
      <c r="D374" t="s">
        <v>33</v>
      </c>
      <c r="E374" t="s">
        <v>1256</v>
      </c>
      <c r="F374" t="s">
        <v>1257</v>
      </c>
      <c r="G374" t="s">
        <v>1258</v>
      </c>
      <c r="H374" t="s">
        <v>4124</v>
      </c>
      <c r="I374" t="s">
        <v>24</v>
      </c>
      <c r="J374">
        <v>83</v>
      </c>
      <c r="K374">
        <v>557</v>
      </c>
      <c r="L374">
        <v>157</v>
      </c>
      <c r="M374">
        <f>COUNTIF(H374:$H$2581,H374)</f>
        <v>1</v>
      </c>
    </row>
    <row r="375" spans="1:13" x14ac:dyDescent="0.2">
      <c r="A375">
        <v>498</v>
      </c>
      <c r="B375" t="s">
        <v>1738</v>
      </c>
      <c r="C375" t="s">
        <v>1739</v>
      </c>
      <c r="D375" t="s">
        <v>54</v>
      </c>
      <c r="E375" t="s">
        <v>1740</v>
      </c>
      <c r="F375" t="s">
        <v>1741</v>
      </c>
      <c r="G375" t="s">
        <v>1742</v>
      </c>
      <c r="H375" t="s">
        <v>4128</v>
      </c>
      <c r="I375" t="b">
        <v>0</v>
      </c>
      <c r="J375">
        <v>71</v>
      </c>
      <c r="K375">
        <v>499</v>
      </c>
      <c r="L375">
        <v>84</v>
      </c>
      <c r="M375">
        <f>COUNTIF(H375:$H$2581,H375)</f>
        <v>3</v>
      </c>
    </row>
    <row r="376" spans="1:13" x14ac:dyDescent="0.2">
      <c r="A376">
        <v>1465</v>
      </c>
      <c r="B376" t="s">
        <v>736</v>
      </c>
      <c r="C376" t="s">
        <v>1923</v>
      </c>
      <c r="D376" t="s">
        <v>13</v>
      </c>
      <c r="E376" t="s">
        <v>1924</v>
      </c>
      <c r="F376" t="s">
        <v>739</v>
      </c>
      <c r="G376" t="s">
        <v>1925</v>
      </c>
      <c r="H376" t="s">
        <v>4137</v>
      </c>
      <c r="I376" t="s">
        <v>24</v>
      </c>
      <c r="J376">
        <v>178</v>
      </c>
      <c r="K376">
        <v>1466</v>
      </c>
      <c r="L376">
        <v>10</v>
      </c>
      <c r="M376">
        <f>COUNTIF(H376:$H$2581,H376)</f>
        <v>3</v>
      </c>
    </row>
    <row r="377" spans="1:13" x14ac:dyDescent="0.2">
      <c r="A377">
        <v>636</v>
      </c>
      <c r="B377" t="s">
        <v>237</v>
      </c>
      <c r="C377" t="s">
        <v>2343</v>
      </c>
      <c r="D377" t="s">
        <v>13</v>
      </c>
      <c r="E377" t="s">
        <v>2344</v>
      </c>
      <c r="F377" t="s">
        <v>240</v>
      </c>
      <c r="G377" t="s">
        <v>2345</v>
      </c>
      <c r="H377" t="s">
        <v>4146</v>
      </c>
      <c r="I377" t="b">
        <v>1</v>
      </c>
      <c r="J377">
        <v>92</v>
      </c>
      <c r="K377">
        <v>637</v>
      </c>
      <c r="L377">
        <v>121</v>
      </c>
      <c r="M377">
        <f>COUNTIF(H377:$H$2581,H377)</f>
        <v>1</v>
      </c>
    </row>
    <row r="378" spans="1:13" x14ac:dyDescent="0.2">
      <c r="A378">
        <v>1075</v>
      </c>
      <c r="B378" t="s">
        <v>2230</v>
      </c>
      <c r="C378" t="s">
        <v>3567</v>
      </c>
      <c r="D378" t="s">
        <v>54</v>
      </c>
      <c r="E378" t="s">
        <v>3568</v>
      </c>
      <c r="F378" t="s">
        <v>2233</v>
      </c>
      <c r="G378" t="s">
        <v>3569</v>
      </c>
      <c r="H378" t="s">
        <v>4150</v>
      </c>
      <c r="I378" t="s">
        <v>24</v>
      </c>
      <c r="J378">
        <v>132</v>
      </c>
      <c r="K378">
        <v>1076</v>
      </c>
      <c r="L378">
        <v>39</v>
      </c>
      <c r="M378">
        <f>COUNTIF(H378:$H$2581,H378)</f>
        <v>4</v>
      </c>
    </row>
    <row r="379" spans="1:13" x14ac:dyDescent="0.2">
      <c r="A379">
        <v>892</v>
      </c>
      <c r="B379" t="s">
        <v>198</v>
      </c>
      <c r="C379" t="s">
        <v>3709</v>
      </c>
      <c r="D379" t="s">
        <v>54</v>
      </c>
      <c r="E379" t="s">
        <v>3712</v>
      </c>
      <c r="F379" t="s">
        <v>201</v>
      </c>
      <c r="G379" t="s">
        <v>3713</v>
      </c>
      <c r="H379" t="s">
        <v>4163</v>
      </c>
      <c r="I379" t="b">
        <v>0</v>
      </c>
      <c r="J379">
        <v>120</v>
      </c>
      <c r="K379">
        <v>893</v>
      </c>
      <c r="L379">
        <v>22</v>
      </c>
      <c r="M379">
        <f>COUNTIF(H379:$H$2581,H379)</f>
        <v>20</v>
      </c>
    </row>
    <row r="380" spans="1:13" x14ac:dyDescent="0.2">
      <c r="A380">
        <v>2043</v>
      </c>
      <c r="B380" t="s">
        <v>1313</v>
      </c>
      <c r="C380" t="s">
        <v>4563</v>
      </c>
      <c r="D380" t="s">
        <v>13</v>
      </c>
      <c r="E380" t="s">
        <v>4564</v>
      </c>
      <c r="F380" t="s">
        <v>1316</v>
      </c>
      <c r="G380" t="s">
        <v>4565</v>
      </c>
      <c r="H380" t="s">
        <v>4223</v>
      </c>
      <c r="I380" t="s">
        <v>24</v>
      </c>
      <c r="J380">
        <v>238</v>
      </c>
      <c r="K380">
        <v>2044</v>
      </c>
      <c r="L380">
        <v>4</v>
      </c>
      <c r="M380">
        <f>COUNTIF(H380:$H$2581,H380)</f>
        <v>2</v>
      </c>
    </row>
    <row r="381" spans="1:13" x14ac:dyDescent="0.2">
      <c r="A381">
        <v>972</v>
      </c>
      <c r="B381" t="s">
        <v>203</v>
      </c>
      <c r="C381" t="s">
        <v>5352</v>
      </c>
      <c r="D381" t="s">
        <v>54</v>
      </c>
      <c r="E381" t="s">
        <v>5353</v>
      </c>
      <c r="F381" t="s">
        <v>206</v>
      </c>
      <c r="G381" t="s">
        <v>5354</v>
      </c>
      <c r="H381" t="s">
        <v>4230</v>
      </c>
      <c r="I381" t="b">
        <v>1</v>
      </c>
      <c r="J381">
        <v>123</v>
      </c>
      <c r="K381">
        <v>973</v>
      </c>
      <c r="L381">
        <v>24</v>
      </c>
      <c r="M381">
        <f>COUNTIF(H381:$H$2581,H381)</f>
        <v>1</v>
      </c>
    </row>
    <row r="382" spans="1:13" x14ac:dyDescent="0.2">
      <c r="A382">
        <v>231</v>
      </c>
      <c r="B382" t="s">
        <v>1120</v>
      </c>
      <c r="C382" t="s">
        <v>5488</v>
      </c>
      <c r="D382" t="s">
        <v>13</v>
      </c>
      <c r="E382" t="s">
        <v>5489</v>
      </c>
      <c r="F382" s="1" t="s">
        <v>1123</v>
      </c>
      <c r="G382" t="s">
        <v>5490</v>
      </c>
      <c r="H382" t="s">
        <v>4234</v>
      </c>
      <c r="I382" t="b">
        <v>0</v>
      </c>
      <c r="J382">
        <v>40</v>
      </c>
      <c r="K382">
        <v>232</v>
      </c>
      <c r="L382">
        <v>13</v>
      </c>
      <c r="M382">
        <f>COUNTIF(H382:$H$2581,H382)</f>
        <v>134</v>
      </c>
    </row>
    <row r="383" spans="1:13" x14ac:dyDescent="0.2">
      <c r="A383">
        <v>565</v>
      </c>
      <c r="B383" t="s">
        <v>2797</v>
      </c>
      <c r="C383" t="s">
        <v>5573</v>
      </c>
      <c r="D383" t="s">
        <v>33</v>
      </c>
      <c r="E383" t="s">
        <v>5574</v>
      </c>
      <c r="F383" t="s">
        <v>2800</v>
      </c>
      <c r="G383" t="s">
        <v>5575</v>
      </c>
      <c r="H383" t="s">
        <v>4639</v>
      </c>
      <c r="I383" t="s">
        <v>24</v>
      </c>
      <c r="J383">
        <v>84</v>
      </c>
      <c r="K383">
        <v>566</v>
      </c>
      <c r="L383">
        <v>50</v>
      </c>
      <c r="M383">
        <f>COUNTIF(H383:$H$2581,H383)</f>
        <v>2</v>
      </c>
    </row>
    <row r="384" spans="1:13" x14ac:dyDescent="0.2">
      <c r="A384">
        <v>1241</v>
      </c>
      <c r="B384" t="s">
        <v>1461</v>
      </c>
      <c r="C384" t="s">
        <v>5757</v>
      </c>
      <c r="D384" t="s">
        <v>33</v>
      </c>
      <c r="E384" t="s">
        <v>5758</v>
      </c>
      <c r="F384" t="s">
        <v>1464</v>
      </c>
      <c r="G384" t="s">
        <v>5759</v>
      </c>
      <c r="H384" t="s">
        <v>4646</v>
      </c>
      <c r="I384" t="b">
        <v>0</v>
      </c>
      <c r="J384">
        <v>152</v>
      </c>
      <c r="K384">
        <v>1242</v>
      </c>
      <c r="L384">
        <v>25</v>
      </c>
      <c r="M384">
        <f>COUNTIF(H384:$H$2581,H384)</f>
        <v>3</v>
      </c>
    </row>
    <row r="385" spans="1:13" x14ac:dyDescent="0.2">
      <c r="A385">
        <v>1195</v>
      </c>
      <c r="B385" t="s">
        <v>2485</v>
      </c>
      <c r="C385" t="s">
        <v>5916</v>
      </c>
      <c r="D385" t="s">
        <v>13</v>
      </c>
      <c r="E385" t="s">
        <v>5917</v>
      </c>
      <c r="F385" t="s">
        <v>2488</v>
      </c>
      <c r="G385" t="s">
        <v>5918</v>
      </c>
      <c r="H385" t="s">
        <v>4656</v>
      </c>
      <c r="I385" t="b">
        <v>0</v>
      </c>
      <c r="J385">
        <v>146</v>
      </c>
      <c r="K385">
        <v>1196</v>
      </c>
      <c r="L385">
        <v>124</v>
      </c>
      <c r="M385">
        <f>COUNTIF(H385:$H$2581,H385)</f>
        <v>14</v>
      </c>
    </row>
    <row r="386" spans="1:13" x14ac:dyDescent="0.2">
      <c r="A386">
        <v>125</v>
      </c>
      <c r="B386" t="s">
        <v>52</v>
      </c>
      <c r="C386" t="s">
        <v>6264</v>
      </c>
      <c r="D386" t="s">
        <v>54</v>
      </c>
      <c r="E386" t="s">
        <v>6265</v>
      </c>
      <c r="F386" t="s">
        <v>56</v>
      </c>
      <c r="G386" t="s">
        <v>6266</v>
      </c>
      <c r="H386" t="s">
        <v>4701</v>
      </c>
      <c r="I386" t="b">
        <v>0</v>
      </c>
      <c r="J386">
        <v>22</v>
      </c>
      <c r="K386">
        <v>126</v>
      </c>
      <c r="L386">
        <v>9</v>
      </c>
      <c r="M386">
        <f>COUNTIF(H386:$H$2581,H386)</f>
        <v>1</v>
      </c>
    </row>
    <row r="387" spans="1:13" x14ac:dyDescent="0.2">
      <c r="A387">
        <v>1447</v>
      </c>
      <c r="B387" t="s">
        <v>2882</v>
      </c>
      <c r="C387" t="s">
        <v>6597</v>
      </c>
      <c r="D387" t="s">
        <v>13</v>
      </c>
      <c r="E387" t="s">
        <v>6598</v>
      </c>
      <c r="F387" t="s">
        <v>2885</v>
      </c>
      <c r="G387" t="s">
        <v>6599</v>
      </c>
      <c r="H387" t="s">
        <v>4705</v>
      </c>
      <c r="I387" t="b">
        <v>1</v>
      </c>
      <c r="J387">
        <v>175</v>
      </c>
      <c r="K387">
        <v>1448</v>
      </c>
      <c r="L387">
        <v>7</v>
      </c>
      <c r="M387">
        <f>COUNTIF(H387:$H$2581,H387)</f>
        <v>1</v>
      </c>
    </row>
    <row r="388" spans="1:13" x14ac:dyDescent="0.2">
      <c r="A388">
        <v>881</v>
      </c>
      <c r="B388" t="s">
        <v>1192</v>
      </c>
      <c r="C388" t="s">
        <v>6844</v>
      </c>
      <c r="D388" t="s">
        <v>13</v>
      </c>
      <c r="E388" t="s">
        <v>6845</v>
      </c>
      <c r="F388" t="s">
        <v>1195</v>
      </c>
      <c r="G388" t="s">
        <v>6846</v>
      </c>
      <c r="H388" t="s">
        <v>4709</v>
      </c>
      <c r="I388" t="s">
        <v>24</v>
      </c>
      <c r="J388">
        <v>119</v>
      </c>
      <c r="K388">
        <v>882</v>
      </c>
      <c r="L388">
        <v>125</v>
      </c>
      <c r="M388">
        <f>COUNTIF(H388:$H$2581,H388)</f>
        <v>1</v>
      </c>
    </row>
    <row r="389" spans="1:13" x14ac:dyDescent="0.2">
      <c r="A389">
        <v>906</v>
      </c>
      <c r="B389" t="s">
        <v>198</v>
      </c>
      <c r="C389" t="s">
        <v>7055</v>
      </c>
      <c r="D389" t="s">
        <v>54</v>
      </c>
      <c r="E389" t="s">
        <v>7056</v>
      </c>
      <c r="F389" t="s">
        <v>201</v>
      </c>
      <c r="G389" t="s">
        <v>7057</v>
      </c>
      <c r="H389" t="s">
        <v>4713</v>
      </c>
      <c r="I389" t="b">
        <v>0</v>
      </c>
      <c r="J389">
        <v>120</v>
      </c>
      <c r="K389">
        <v>907</v>
      </c>
      <c r="L389">
        <v>14</v>
      </c>
      <c r="M389">
        <f>COUNTIF(H389:$H$2581,H389)</f>
        <v>1</v>
      </c>
    </row>
    <row r="390" spans="1:13" x14ac:dyDescent="0.2">
      <c r="A390">
        <v>1318</v>
      </c>
      <c r="B390" t="s">
        <v>1915</v>
      </c>
      <c r="C390" t="s">
        <v>7790</v>
      </c>
      <c r="D390" t="s">
        <v>13</v>
      </c>
      <c r="E390" t="s">
        <v>7791</v>
      </c>
      <c r="F390" t="s">
        <v>1918</v>
      </c>
      <c r="G390" t="s">
        <v>7792</v>
      </c>
      <c r="H390" t="s">
        <v>4717</v>
      </c>
      <c r="I390" t="s">
        <v>24</v>
      </c>
      <c r="J390">
        <v>161</v>
      </c>
      <c r="K390">
        <v>1319</v>
      </c>
      <c r="L390">
        <v>27</v>
      </c>
      <c r="M390">
        <f>COUNTIF(H390:$H$2581,H390)</f>
        <v>4</v>
      </c>
    </row>
    <row r="391" spans="1:13" x14ac:dyDescent="0.2">
      <c r="A391">
        <v>869</v>
      </c>
      <c r="B391" t="s">
        <v>1091</v>
      </c>
      <c r="C391" t="s">
        <v>8171</v>
      </c>
      <c r="D391" t="s">
        <v>54</v>
      </c>
      <c r="E391" t="s">
        <v>8172</v>
      </c>
      <c r="F391" t="s">
        <v>1094</v>
      </c>
      <c r="G391" t="s">
        <v>8173</v>
      </c>
      <c r="H391" t="s">
        <v>4730</v>
      </c>
      <c r="I391" t="b">
        <v>1</v>
      </c>
      <c r="J391">
        <v>118</v>
      </c>
      <c r="K391">
        <v>870</v>
      </c>
      <c r="L391">
        <v>30</v>
      </c>
      <c r="M391">
        <f>COUNTIF(H391:$H$2581,H391)</f>
        <v>2</v>
      </c>
    </row>
    <row r="392" spans="1:13" x14ac:dyDescent="0.2">
      <c r="A392">
        <v>990</v>
      </c>
      <c r="B392" t="s">
        <v>203</v>
      </c>
      <c r="C392" t="s">
        <v>8738</v>
      </c>
      <c r="D392" t="s">
        <v>54</v>
      </c>
      <c r="E392" t="s">
        <v>8739</v>
      </c>
      <c r="F392" t="s">
        <v>206</v>
      </c>
      <c r="G392" t="s">
        <v>8740</v>
      </c>
      <c r="H392" t="s">
        <v>4737</v>
      </c>
      <c r="I392" t="b">
        <v>1</v>
      </c>
      <c r="J392">
        <v>123</v>
      </c>
      <c r="K392">
        <v>991</v>
      </c>
      <c r="L392">
        <v>31</v>
      </c>
      <c r="M392">
        <f>COUNTIF(H392:$H$2581,H392)</f>
        <v>1</v>
      </c>
    </row>
    <row r="393" spans="1:13" x14ac:dyDescent="0.2">
      <c r="A393">
        <v>2029</v>
      </c>
      <c r="B393" t="s">
        <v>134</v>
      </c>
      <c r="C393" t="s">
        <v>135</v>
      </c>
      <c r="D393" t="s">
        <v>54</v>
      </c>
      <c r="E393" s="1" t="s">
        <v>136</v>
      </c>
      <c r="F393" t="s">
        <v>137</v>
      </c>
      <c r="G393" t="s">
        <v>138</v>
      </c>
      <c r="H393" t="s">
        <v>4741</v>
      </c>
      <c r="I393" t="s">
        <v>24</v>
      </c>
      <c r="J393">
        <v>235</v>
      </c>
      <c r="K393">
        <v>2030</v>
      </c>
      <c r="L393">
        <v>45</v>
      </c>
      <c r="M393">
        <f>COUNTIF(H393:$H$2581,H393)</f>
        <v>1</v>
      </c>
    </row>
    <row r="394" spans="1:13" x14ac:dyDescent="0.2">
      <c r="A394">
        <v>2136</v>
      </c>
      <c r="B394" t="s">
        <v>147</v>
      </c>
      <c r="C394" t="s">
        <v>386</v>
      </c>
      <c r="D394" t="s">
        <v>13</v>
      </c>
      <c r="E394" t="s">
        <v>387</v>
      </c>
      <c r="F394" t="s">
        <v>150</v>
      </c>
      <c r="G394" t="s">
        <v>388</v>
      </c>
      <c r="H394" t="s">
        <v>4745</v>
      </c>
      <c r="I394" t="b">
        <v>1</v>
      </c>
      <c r="J394">
        <v>248</v>
      </c>
      <c r="K394">
        <v>2137</v>
      </c>
      <c r="L394">
        <v>1</v>
      </c>
      <c r="M394">
        <f>COUNTIF(H394:$H$2581,H394)</f>
        <v>2</v>
      </c>
    </row>
    <row r="395" spans="1:13" x14ac:dyDescent="0.2">
      <c r="A395">
        <v>688</v>
      </c>
      <c r="B395" t="s">
        <v>1131</v>
      </c>
      <c r="C395" t="s">
        <v>1259</v>
      </c>
      <c r="D395" t="s">
        <v>13</v>
      </c>
      <c r="E395" t="s">
        <v>1260</v>
      </c>
      <c r="F395" s="1" t="s">
        <v>1134</v>
      </c>
      <c r="G395" t="s">
        <v>1261</v>
      </c>
      <c r="H395" t="s">
        <v>4752</v>
      </c>
      <c r="I395" t="b">
        <v>0</v>
      </c>
      <c r="J395">
        <v>102</v>
      </c>
      <c r="K395">
        <v>689</v>
      </c>
      <c r="L395">
        <v>157</v>
      </c>
      <c r="M395">
        <f>COUNTIF(H395:$H$2581,H395)</f>
        <v>1</v>
      </c>
    </row>
    <row r="396" spans="1:13" x14ac:dyDescent="0.2">
      <c r="A396">
        <v>535</v>
      </c>
      <c r="B396" t="s">
        <v>188</v>
      </c>
      <c r="C396" t="s">
        <v>1743</v>
      </c>
      <c r="D396" t="s">
        <v>54</v>
      </c>
      <c r="E396" t="s">
        <v>1744</v>
      </c>
      <c r="F396" t="s">
        <v>191</v>
      </c>
      <c r="G396" t="s">
        <v>1745</v>
      </c>
      <c r="H396" t="s">
        <v>4756</v>
      </c>
      <c r="I396" t="b">
        <v>0</v>
      </c>
      <c r="J396">
        <v>80</v>
      </c>
      <c r="K396">
        <v>536</v>
      </c>
      <c r="L396">
        <v>84</v>
      </c>
      <c r="M396">
        <f>COUNTIF(H396:$H$2581,H396)</f>
        <v>1</v>
      </c>
    </row>
    <row r="397" spans="1:13" x14ac:dyDescent="0.2">
      <c r="A397">
        <v>1476</v>
      </c>
      <c r="B397" t="s">
        <v>1773</v>
      </c>
      <c r="C397" t="s">
        <v>1926</v>
      </c>
      <c r="D397" t="s">
        <v>13</v>
      </c>
      <c r="E397" t="s">
        <v>1927</v>
      </c>
      <c r="F397" t="s">
        <v>1776</v>
      </c>
      <c r="G397" t="s">
        <v>1928</v>
      </c>
      <c r="H397" t="s">
        <v>4760</v>
      </c>
      <c r="I397" t="b">
        <v>0</v>
      </c>
      <c r="J397">
        <v>180</v>
      </c>
      <c r="K397">
        <v>1477</v>
      </c>
      <c r="L397">
        <v>10</v>
      </c>
      <c r="M397">
        <f>COUNTIF(H397:$H$2581,H397)</f>
        <v>1</v>
      </c>
    </row>
    <row r="398" spans="1:13" x14ac:dyDescent="0.2">
      <c r="A398">
        <v>658</v>
      </c>
      <c r="B398" t="s">
        <v>2346</v>
      </c>
      <c r="C398" t="s">
        <v>2347</v>
      </c>
      <c r="D398" t="s">
        <v>13</v>
      </c>
      <c r="E398" t="s">
        <v>2348</v>
      </c>
      <c r="F398" t="s">
        <v>2349</v>
      </c>
      <c r="G398" t="s">
        <v>2350</v>
      </c>
      <c r="H398" t="s">
        <v>4766</v>
      </c>
      <c r="I398" t="s">
        <v>24</v>
      </c>
      <c r="J398">
        <v>97</v>
      </c>
      <c r="K398">
        <v>659</v>
      </c>
      <c r="L398">
        <v>121</v>
      </c>
      <c r="M398">
        <f>COUNTIF(H398:$H$2581,H398)</f>
        <v>2</v>
      </c>
    </row>
    <row r="399" spans="1:13" x14ac:dyDescent="0.2">
      <c r="A399">
        <v>1125</v>
      </c>
      <c r="B399" t="s">
        <v>625</v>
      </c>
      <c r="C399" t="s">
        <v>3570</v>
      </c>
      <c r="D399" t="s">
        <v>13</v>
      </c>
      <c r="E399" t="s">
        <v>3571</v>
      </c>
      <c r="F399" t="s">
        <v>628</v>
      </c>
      <c r="G399" t="s">
        <v>3572</v>
      </c>
      <c r="H399" t="s">
        <v>4773</v>
      </c>
      <c r="I399" t="b">
        <v>1</v>
      </c>
      <c r="J399">
        <v>136</v>
      </c>
      <c r="K399">
        <v>1126</v>
      </c>
      <c r="L399">
        <v>39</v>
      </c>
      <c r="M399">
        <f>COUNTIF(H399:$H$2581,H399)</f>
        <v>1</v>
      </c>
    </row>
    <row r="400" spans="1:13" x14ac:dyDescent="0.2">
      <c r="A400">
        <v>893</v>
      </c>
      <c r="B400" t="s">
        <v>198</v>
      </c>
      <c r="C400" t="s">
        <v>3714</v>
      </c>
      <c r="D400" t="s">
        <v>54</v>
      </c>
      <c r="E400" t="s">
        <v>3715</v>
      </c>
      <c r="F400" t="s">
        <v>201</v>
      </c>
      <c r="G400" t="s">
        <v>3716</v>
      </c>
      <c r="H400" t="s">
        <v>4777</v>
      </c>
      <c r="I400" t="b">
        <v>0</v>
      </c>
      <c r="J400">
        <v>120</v>
      </c>
      <c r="K400">
        <v>894</v>
      </c>
      <c r="L400">
        <v>22</v>
      </c>
      <c r="M400">
        <f>COUNTIF(H400:$H$2581,H400)</f>
        <v>2</v>
      </c>
    </row>
    <row r="401" spans="1:13" x14ac:dyDescent="0.2">
      <c r="A401">
        <v>2053</v>
      </c>
      <c r="B401" t="s">
        <v>1798</v>
      </c>
      <c r="C401" t="s">
        <v>4566</v>
      </c>
      <c r="D401" t="s">
        <v>13</v>
      </c>
      <c r="E401" t="s">
        <v>4567</v>
      </c>
      <c r="F401" t="s">
        <v>1801</v>
      </c>
      <c r="G401" t="s">
        <v>4568</v>
      </c>
      <c r="H401" t="s">
        <v>4786</v>
      </c>
      <c r="I401" t="b">
        <v>1</v>
      </c>
      <c r="J401">
        <v>239</v>
      </c>
      <c r="K401">
        <v>2054</v>
      </c>
      <c r="L401">
        <v>4</v>
      </c>
      <c r="M401">
        <f>COUNTIF(H401:$H$2581,H401)</f>
        <v>1</v>
      </c>
    </row>
    <row r="402" spans="1:13" x14ac:dyDescent="0.2">
      <c r="A402">
        <v>281</v>
      </c>
      <c r="B402" t="s">
        <v>2105</v>
      </c>
      <c r="C402" t="s">
        <v>4965</v>
      </c>
      <c r="D402" t="s">
        <v>54</v>
      </c>
      <c r="E402" t="s">
        <v>4966</v>
      </c>
      <c r="F402" t="s">
        <v>2108</v>
      </c>
      <c r="G402" t="s">
        <v>4967</v>
      </c>
      <c r="H402" t="s">
        <v>4790</v>
      </c>
      <c r="I402" t="s">
        <v>24</v>
      </c>
      <c r="J402">
        <v>44</v>
      </c>
      <c r="K402">
        <v>282</v>
      </c>
      <c r="L402">
        <v>123</v>
      </c>
      <c r="M402">
        <f>COUNTIF(H402:$H$2581,H402)</f>
        <v>3</v>
      </c>
    </row>
    <row r="403" spans="1:13" x14ac:dyDescent="0.2">
      <c r="A403">
        <v>1161</v>
      </c>
      <c r="B403" t="s">
        <v>3573</v>
      </c>
      <c r="C403" t="s">
        <v>5355</v>
      </c>
      <c r="D403" t="s">
        <v>54</v>
      </c>
      <c r="E403" t="s">
        <v>5356</v>
      </c>
      <c r="F403" t="s">
        <v>3576</v>
      </c>
      <c r="G403" t="s">
        <v>5357</v>
      </c>
      <c r="H403" t="s">
        <v>4800</v>
      </c>
      <c r="I403" t="s">
        <v>24</v>
      </c>
      <c r="J403">
        <v>142</v>
      </c>
      <c r="K403">
        <v>1162</v>
      </c>
      <c r="L403">
        <v>24</v>
      </c>
      <c r="M403">
        <f>COUNTIF(H403:$H$2581,H403)</f>
        <v>1</v>
      </c>
    </row>
    <row r="404" spans="1:13" x14ac:dyDescent="0.2">
      <c r="A404">
        <v>261</v>
      </c>
      <c r="B404" t="s">
        <v>1503</v>
      </c>
      <c r="C404" t="s">
        <v>5491</v>
      </c>
      <c r="D404" t="s">
        <v>33</v>
      </c>
      <c r="E404" t="s">
        <v>5492</v>
      </c>
      <c r="F404" t="s">
        <v>1506</v>
      </c>
      <c r="G404" t="s">
        <v>5493</v>
      </c>
      <c r="H404" t="s">
        <v>4804</v>
      </c>
      <c r="I404" t="b">
        <v>0</v>
      </c>
      <c r="J404">
        <v>42</v>
      </c>
      <c r="K404">
        <v>262</v>
      </c>
      <c r="L404">
        <v>13</v>
      </c>
      <c r="M404">
        <f>COUNTIF(H404:$H$2581,H404)</f>
        <v>1</v>
      </c>
    </row>
    <row r="405" spans="1:13" x14ac:dyDescent="0.2">
      <c r="A405">
        <v>619</v>
      </c>
      <c r="B405" t="s">
        <v>1491</v>
      </c>
      <c r="C405" t="s">
        <v>5576</v>
      </c>
      <c r="D405" t="s">
        <v>54</v>
      </c>
      <c r="E405" t="s">
        <v>5577</v>
      </c>
      <c r="F405" t="s">
        <v>1494</v>
      </c>
      <c r="G405" t="s">
        <v>5578</v>
      </c>
      <c r="H405" t="s">
        <v>4808</v>
      </c>
      <c r="I405" t="b">
        <v>0</v>
      </c>
      <c r="J405">
        <v>91</v>
      </c>
      <c r="K405">
        <v>620</v>
      </c>
      <c r="L405">
        <v>50</v>
      </c>
      <c r="M405">
        <f>COUNTIF(H405:$H$2581,H405)</f>
        <v>1</v>
      </c>
    </row>
    <row r="406" spans="1:13" x14ac:dyDescent="0.2">
      <c r="A406">
        <v>1256</v>
      </c>
      <c r="B406" t="s">
        <v>3822</v>
      </c>
      <c r="C406" t="s">
        <v>5760</v>
      </c>
      <c r="D406" t="s">
        <v>13</v>
      </c>
      <c r="E406" t="s">
        <v>5761</v>
      </c>
      <c r="F406" t="s">
        <v>3825</v>
      </c>
      <c r="G406" t="s">
        <v>5762</v>
      </c>
      <c r="H406" t="s">
        <v>4812</v>
      </c>
      <c r="I406" t="s">
        <v>24</v>
      </c>
      <c r="J406">
        <v>155</v>
      </c>
      <c r="K406">
        <v>1257</v>
      </c>
      <c r="L406">
        <v>25</v>
      </c>
      <c r="M406">
        <f>COUNTIF(H406:$H$2581,H406)</f>
        <v>1</v>
      </c>
    </row>
    <row r="407" spans="1:13" x14ac:dyDescent="0.2">
      <c r="A407">
        <v>1242</v>
      </c>
      <c r="B407" t="s">
        <v>1461</v>
      </c>
      <c r="C407" t="s">
        <v>5919</v>
      </c>
      <c r="D407" t="s">
        <v>33</v>
      </c>
      <c r="E407" t="s">
        <v>5920</v>
      </c>
      <c r="F407" t="s">
        <v>1464</v>
      </c>
      <c r="G407" t="s">
        <v>5921</v>
      </c>
      <c r="H407" t="s">
        <v>4816</v>
      </c>
      <c r="I407" t="b">
        <v>0</v>
      </c>
      <c r="J407">
        <v>152</v>
      </c>
      <c r="K407">
        <v>1243</v>
      </c>
      <c r="L407">
        <v>124</v>
      </c>
      <c r="M407">
        <f>COUNTIF(H407:$H$2581,H407)</f>
        <v>1</v>
      </c>
    </row>
    <row r="408" spans="1:13" x14ac:dyDescent="0.2">
      <c r="A408">
        <v>166</v>
      </c>
      <c r="B408" t="s">
        <v>6267</v>
      </c>
      <c r="C408" t="s">
        <v>6268</v>
      </c>
      <c r="D408" t="s">
        <v>13</v>
      </c>
      <c r="E408" t="s">
        <v>6269</v>
      </c>
      <c r="F408" t="s">
        <v>6270</v>
      </c>
      <c r="G408" t="s">
        <v>6271</v>
      </c>
      <c r="H408" t="s">
        <v>4820</v>
      </c>
      <c r="I408" t="s">
        <v>24</v>
      </c>
      <c r="J408">
        <v>31</v>
      </c>
      <c r="K408">
        <v>167</v>
      </c>
      <c r="L408">
        <v>9</v>
      </c>
      <c r="M408">
        <f>COUNTIF(H408:$H$2581,H408)</f>
        <v>1</v>
      </c>
    </row>
    <row r="409" spans="1:13" x14ac:dyDescent="0.2">
      <c r="A409">
        <v>1470</v>
      </c>
      <c r="B409" t="s">
        <v>736</v>
      </c>
      <c r="C409" t="s">
        <v>6600</v>
      </c>
      <c r="D409" t="s">
        <v>13</v>
      </c>
      <c r="E409" t="s">
        <v>6601</v>
      </c>
      <c r="F409" t="s">
        <v>739</v>
      </c>
      <c r="G409" t="s">
        <v>6602</v>
      </c>
      <c r="H409" t="s">
        <v>4824</v>
      </c>
      <c r="I409" t="s">
        <v>24</v>
      </c>
      <c r="J409">
        <v>178</v>
      </c>
      <c r="K409">
        <v>1471</v>
      </c>
      <c r="L409">
        <v>7</v>
      </c>
      <c r="M409">
        <f>COUNTIF(H409:$H$2581,H409)</f>
        <v>7</v>
      </c>
    </row>
    <row r="410" spans="1:13" x14ac:dyDescent="0.2">
      <c r="A410">
        <v>925</v>
      </c>
      <c r="B410" t="s">
        <v>271</v>
      </c>
      <c r="C410" t="s">
        <v>6847</v>
      </c>
      <c r="D410" t="s">
        <v>54</v>
      </c>
      <c r="E410" t="s">
        <v>6848</v>
      </c>
      <c r="F410" t="s">
        <v>274</v>
      </c>
      <c r="G410" t="s">
        <v>6849</v>
      </c>
      <c r="H410" t="s">
        <v>4844</v>
      </c>
      <c r="I410" t="s">
        <v>24</v>
      </c>
      <c r="J410">
        <v>121</v>
      </c>
      <c r="K410">
        <v>926</v>
      </c>
      <c r="L410">
        <v>125</v>
      </c>
      <c r="M410">
        <f>COUNTIF(H410:$H$2581,H410)</f>
        <v>1</v>
      </c>
    </row>
    <row r="411" spans="1:13" x14ac:dyDescent="0.2">
      <c r="A411">
        <v>926</v>
      </c>
      <c r="B411" t="s">
        <v>271</v>
      </c>
      <c r="C411" t="s">
        <v>7058</v>
      </c>
      <c r="D411" t="s">
        <v>54</v>
      </c>
      <c r="E411" t="s">
        <v>7059</v>
      </c>
      <c r="F411" t="s">
        <v>274</v>
      </c>
      <c r="G411" t="s">
        <v>7060</v>
      </c>
      <c r="H411" t="s">
        <v>4848</v>
      </c>
      <c r="I411" t="s">
        <v>24</v>
      </c>
      <c r="J411">
        <v>121</v>
      </c>
      <c r="K411">
        <v>927</v>
      </c>
      <c r="L411">
        <v>14</v>
      </c>
      <c r="M411">
        <f>COUNTIF(H411:$H$2581,H411)</f>
        <v>1</v>
      </c>
    </row>
    <row r="412" spans="1:13" x14ac:dyDescent="0.2">
      <c r="A412">
        <v>1342</v>
      </c>
      <c r="B412" t="s">
        <v>2235</v>
      </c>
      <c r="C412" t="s">
        <v>7793</v>
      </c>
      <c r="D412" t="s">
        <v>54</v>
      </c>
      <c r="E412" t="s">
        <v>7794</v>
      </c>
      <c r="F412" t="s">
        <v>2238</v>
      </c>
      <c r="G412" t="s">
        <v>7795</v>
      </c>
      <c r="H412" t="s">
        <v>4852</v>
      </c>
      <c r="I412" t="b">
        <v>0</v>
      </c>
      <c r="J412">
        <v>163</v>
      </c>
      <c r="K412">
        <v>1343</v>
      </c>
      <c r="L412">
        <v>27</v>
      </c>
      <c r="M412">
        <f>COUNTIF(H412:$H$2581,H412)</f>
        <v>8</v>
      </c>
    </row>
    <row r="413" spans="1:13" x14ac:dyDescent="0.2">
      <c r="A413">
        <v>884</v>
      </c>
      <c r="B413" t="s">
        <v>1192</v>
      </c>
      <c r="C413" t="s">
        <v>8174</v>
      </c>
      <c r="D413" t="s">
        <v>54</v>
      </c>
      <c r="E413" t="s">
        <v>8175</v>
      </c>
      <c r="F413" t="s">
        <v>1195</v>
      </c>
      <c r="G413" t="s">
        <v>8176</v>
      </c>
      <c r="H413" t="s">
        <v>4877</v>
      </c>
      <c r="I413" t="s">
        <v>24</v>
      </c>
      <c r="J413">
        <v>119</v>
      </c>
      <c r="K413">
        <v>885</v>
      </c>
      <c r="L413">
        <v>30</v>
      </c>
      <c r="M413">
        <f>COUNTIF(H413:$H$2581,H413)</f>
        <v>17</v>
      </c>
    </row>
    <row r="414" spans="1:13" x14ac:dyDescent="0.2">
      <c r="A414">
        <v>991</v>
      </c>
      <c r="B414" t="s">
        <v>203</v>
      </c>
      <c r="C414" t="s">
        <v>8741</v>
      </c>
      <c r="D414" t="s">
        <v>13</v>
      </c>
      <c r="E414" t="s">
        <v>8742</v>
      </c>
      <c r="F414" t="s">
        <v>206</v>
      </c>
      <c r="G414" t="s">
        <v>8743</v>
      </c>
      <c r="H414" t="s">
        <v>4929</v>
      </c>
      <c r="I414" t="b">
        <v>1</v>
      </c>
      <c r="J414">
        <v>123</v>
      </c>
      <c r="K414">
        <v>992</v>
      </c>
      <c r="L414">
        <v>31</v>
      </c>
      <c r="M414">
        <f>COUNTIF(H414:$H$2581,H414)</f>
        <v>1</v>
      </c>
    </row>
    <row r="415" spans="1:13" x14ac:dyDescent="0.2">
      <c r="A415">
        <v>1683</v>
      </c>
      <c r="B415" t="s">
        <v>129</v>
      </c>
      <c r="C415" t="s">
        <v>130</v>
      </c>
      <c r="D415" t="s">
        <v>54</v>
      </c>
      <c r="E415" t="s">
        <v>131</v>
      </c>
      <c r="F415" t="s">
        <v>132</v>
      </c>
      <c r="G415" t="s">
        <v>133</v>
      </c>
      <c r="H415" t="s">
        <v>4933</v>
      </c>
      <c r="I415" t="b">
        <v>1</v>
      </c>
      <c r="J415">
        <v>204</v>
      </c>
      <c r="K415">
        <v>1684</v>
      </c>
      <c r="L415">
        <v>45</v>
      </c>
      <c r="M415">
        <f>COUNTIF(H415:$H$2581,H415)</f>
        <v>1</v>
      </c>
    </row>
    <row r="416" spans="1:13" x14ac:dyDescent="0.2">
      <c r="A416">
        <v>1963</v>
      </c>
      <c r="B416" t="s">
        <v>381</v>
      </c>
      <c r="C416" t="s">
        <v>382</v>
      </c>
      <c r="D416" t="s">
        <v>13</v>
      </c>
      <c r="E416" t="s">
        <v>383</v>
      </c>
      <c r="F416" t="s">
        <v>384</v>
      </c>
      <c r="G416" t="s">
        <v>385</v>
      </c>
      <c r="H416" t="s">
        <v>4937</v>
      </c>
      <c r="I416" t="s">
        <v>24</v>
      </c>
      <c r="J416">
        <v>226</v>
      </c>
      <c r="K416">
        <v>1964</v>
      </c>
      <c r="L416">
        <v>1</v>
      </c>
      <c r="M416">
        <f>COUNTIF(H416:$H$2581,H416)</f>
        <v>3</v>
      </c>
    </row>
    <row r="417" spans="1:13" x14ac:dyDescent="0.2">
      <c r="A417">
        <v>701</v>
      </c>
      <c r="B417" t="s">
        <v>730</v>
      </c>
      <c r="C417" t="s">
        <v>1262</v>
      </c>
      <c r="D417" t="s">
        <v>33</v>
      </c>
      <c r="E417" t="s">
        <v>1263</v>
      </c>
      <c r="F417" t="s">
        <v>733</v>
      </c>
      <c r="G417" t="s">
        <v>1264</v>
      </c>
      <c r="H417" t="s">
        <v>4947</v>
      </c>
      <c r="I417" t="s">
        <v>24</v>
      </c>
      <c r="J417">
        <v>103</v>
      </c>
      <c r="K417">
        <v>702</v>
      </c>
      <c r="L417">
        <v>157</v>
      </c>
      <c r="M417">
        <f>COUNTIF(H417:$H$2581,H417)</f>
        <v>1</v>
      </c>
    </row>
    <row r="418" spans="1:13" x14ac:dyDescent="0.2">
      <c r="A418">
        <v>593</v>
      </c>
      <c r="B418" t="s">
        <v>1097</v>
      </c>
      <c r="C418" t="s">
        <v>1746</v>
      </c>
      <c r="D418" t="s">
        <v>33</v>
      </c>
      <c r="E418" t="s">
        <v>1747</v>
      </c>
      <c r="F418" t="s">
        <v>1100</v>
      </c>
      <c r="G418" t="s">
        <v>1748</v>
      </c>
      <c r="H418" t="s">
        <v>4951</v>
      </c>
      <c r="I418" t="b">
        <v>0</v>
      </c>
      <c r="J418">
        <v>90</v>
      </c>
      <c r="K418">
        <v>594</v>
      </c>
      <c r="L418">
        <v>84</v>
      </c>
      <c r="M418">
        <f>COUNTIF(H418:$H$2581,H418)</f>
        <v>3</v>
      </c>
    </row>
    <row r="419" spans="1:13" x14ac:dyDescent="0.2">
      <c r="A419">
        <v>1516</v>
      </c>
      <c r="B419" t="s">
        <v>1929</v>
      </c>
      <c r="C419" t="s">
        <v>1930</v>
      </c>
      <c r="D419" t="s">
        <v>33</v>
      </c>
      <c r="E419" t="s">
        <v>1931</v>
      </c>
      <c r="F419" t="s">
        <v>1932</v>
      </c>
      <c r="G419" t="s">
        <v>1933</v>
      </c>
      <c r="H419" t="s">
        <v>4961</v>
      </c>
      <c r="I419" t="b">
        <v>0</v>
      </c>
      <c r="J419">
        <v>184</v>
      </c>
      <c r="K419">
        <v>1517</v>
      </c>
      <c r="L419">
        <v>10</v>
      </c>
      <c r="M419">
        <f>COUNTIF(H419:$H$2581,H419)</f>
        <v>2</v>
      </c>
    </row>
    <row r="420" spans="1:13" x14ac:dyDescent="0.2">
      <c r="A420">
        <v>689</v>
      </c>
      <c r="B420" t="s">
        <v>1131</v>
      </c>
      <c r="C420" t="s">
        <v>2351</v>
      </c>
      <c r="D420" t="s">
        <v>13</v>
      </c>
      <c r="E420" t="s">
        <v>2352</v>
      </c>
      <c r="F420" s="1" t="s">
        <v>1134</v>
      </c>
      <c r="G420" t="s">
        <v>2353</v>
      </c>
      <c r="H420" t="s">
        <v>4968</v>
      </c>
      <c r="I420" t="b">
        <v>0</v>
      </c>
      <c r="J420">
        <v>102</v>
      </c>
      <c r="K420">
        <v>690</v>
      </c>
      <c r="L420">
        <v>121</v>
      </c>
      <c r="M420">
        <f>COUNTIF(H420:$H$2581,H420)</f>
        <v>23</v>
      </c>
    </row>
    <row r="421" spans="1:13" x14ac:dyDescent="0.2">
      <c r="A421">
        <v>24</v>
      </c>
      <c r="B421" t="s">
        <v>2448</v>
      </c>
      <c r="C421" t="s">
        <v>3251</v>
      </c>
      <c r="D421" t="s">
        <v>54</v>
      </c>
      <c r="E421" s="1" t="s">
        <v>3252</v>
      </c>
      <c r="F421" t="s">
        <v>2451</v>
      </c>
      <c r="G421" t="s">
        <v>3253</v>
      </c>
      <c r="H421" t="s">
        <v>5040</v>
      </c>
      <c r="I421" t="s">
        <v>24</v>
      </c>
      <c r="J421">
        <v>6</v>
      </c>
      <c r="K421">
        <v>25</v>
      </c>
      <c r="L421">
        <v>21</v>
      </c>
      <c r="M421">
        <f>COUNTIF(H421:$H$2581,H421)</f>
        <v>1</v>
      </c>
    </row>
    <row r="422" spans="1:13" x14ac:dyDescent="0.2">
      <c r="A422">
        <v>1159</v>
      </c>
      <c r="B422" t="s">
        <v>3573</v>
      </c>
      <c r="C422" t="s">
        <v>3574</v>
      </c>
      <c r="D422" t="s">
        <v>54</v>
      </c>
      <c r="E422" t="s">
        <v>3575</v>
      </c>
      <c r="F422" t="s">
        <v>3576</v>
      </c>
      <c r="G422" t="s">
        <v>3577</v>
      </c>
      <c r="H422" t="s">
        <v>5044</v>
      </c>
      <c r="I422" t="s">
        <v>24</v>
      </c>
      <c r="J422">
        <v>142</v>
      </c>
      <c r="K422">
        <v>1160</v>
      </c>
      <c r="L422">
        <v>39</v>
      </c>
      <c r="M422">
        <f>COUNTIF(H422:$H$2581,H422)</f>
        <v>1</v>
      </c>
    </row>
    <row r="423" spans="1:13" x14ac:dyDescent="0.2">
      <c r="A423">
        <v>963</v>
      </c>
      <c r="B423" t="s">
        <v>203</v>
      </c>
      <c r="C423" t="s">
        <v>3717</v>
      </c>
      <c r="D423" t="s">
        <v>54</v>
      </c>
      <c r="E423" s="1" t="s">
        <v>3718</v>
      </c>
      <c r="F423" t="s">
        <v>206</v>
      </c>
      <c r="G423" t="s">
        <v>3719</v>
      </c>
      <c r="H423" t="s">
        <v>5048</v>
      </c>
      <c r="I423" t="b">
        <v>1</v>
      </c>
      <c r="J423">
        <v>123</v>
      </c>
      <c r="K423">
        <v>964</v>
      </c>
      <c r="L423">
        <v>22</v>
      </c>
      <c r="M423">
        <f>COUNTIF(H423:$H$2581,H423)</f>
        <v>3</v>
      </c>
    </row>
    <row r="424" spans="1:13" x14ac:dyDescent="0.2">
      <c r="A424">
        <v>2061</v>
      </c>
      <c r="B424" t="s">
        <v>1965</v>
      </c>
      <c r="C424" t="s">
        <v>4569</v>
      </c>
      <c r="D424" t="s">
        <v>13</v>
      </c>
      <c r="E424" t="s">
        <v>4570</v>
      </c>
      <c r="F424" t="s">
        <v>1968</v>
      </c>
      <c r="G424" t="s">
        <v>4571</v>
      </c>
      <c r="H424" t="s">
        <v>5058</v>
      </c>
      <c r="I424" t="b">
        <v>1</v>
      </c>
      <c r="J424">
        <v>240</v>
      </c>
      <c r="K424">
        <v>2062</v>
      </c>
      <c r="L424">
        <v>4</v>
      </c>
      <c r="M424">
        <f>COUNTIF(H424:$H$2581,H424)</f>
        <v>1</v>
      </c>
    </row>
    <row r="425" spans="1:13" x14ac:dyDescent="0.2">
      <c r="A425">
        <v>360</v>
      </c>
      <c r="B425" t="s">
        <v>975</v>
      </c>
      <c r="C425" t="s">
        <v>4969</v>
      </c>
      <c r="D425" t="s">
        <v>13</v>
      </c>
      <c r="E425" s="1" t="s">
        <v>4970</v>
      </c>
      <c r="F425" s="1" t="s">
        <v>978</v>
      </c>
      <c r="G425" t="s">
        <v>4971</v>
      </c>
      <c r="H425" t="s">
        <v>5062</v>
      </c>
      <c r="I425" t="b">
        <v>1</v>
      </c>
      <c r="J425">
        <v>50</v>
      </c>
      <c r="K425">
        <v>361</v>
      </c>
      <c r="L425">
        <v>123</v>
      </c>
      <c r="M425">
        <f>COUNTIF(H425:$H$2581,H425)</f>
        <v>3</v>
      </c>
    </row>
    <row r="426" spans="1:13" x14ac:dyDescent="0.2">
      <c r="A426">
        <v>1194</v>
      </c>
      <c r="B426" t="s">
        <v>2485</v>
      </c>
      <c r="C426" t="s">
        <v>5358</v>
      </c>
      <c r="D426" t="s">
        <v>33</v>
      </c>
      <c r="E426" t="s">
        <v>5359</v>
      </c>
      <c r="F426" t="s">
        <v>2488</v>
      </c>
      <c r="G426" t="s">
        <v>5360</v>
      </c>
      <c r="H426" t="s">
        <v>5072</v>
      </c>
      <c r="I426" t="b">
        <v>0</v>
      </c>
      <c r="J426">
        <v>146</v>
      </c>
      <c r="K426">
        <v>1195</v>
      </c>
      <c r="L426">
        <v>24</v>
      </c>
      <c r="M426">
        <f>COUNTIF(H426:$H$2581,H426)</f>
        <v>1</v>
      </c>
    </row>
    <row r="427" spans="1:13" x14ac:dyDescent="0.2">
      <c r="A427">
        <v>395</v>
      </c>
      <c r="B427" t="s">
        <v>1568</v>
      </c>
      <c r="C427" t="s">
        <v>5494</v>
      </c>
      <c r="D427" t="s">
        <v>13</v>
      </c>
      <c r="E427" t="s">
        <v>5495</v>
      </c>
      <c r="F427" t="s">
        <v>1571</v>
      </c>
      <c r="G427" t="s">
        <v>5496</v>
      </c>
      <c r="H427" t="s">
        <v>5076</v>
      </c>
      <c r="I427" t="s">
        <v>24</v>
      </c>
      <c r="J427">
        <v>55</v>
      </c>
      <c r="K427">
        <v>396</v>
      </c>
      <c r="L427">
        <v>13</v>
      </c>
      <c r="M427">
        <f>COUNTIF(H427:$H$2581,H427)</f>
        <v>1</v>
      </c>
    </row>
    <row r="428" spans="1:13" x14ac:dyDescent="0.2">
      <c r="A428">
        <v>620</v>
      </c>
      <c r="B428" t="s">
        <v>1491</v>
      </c>
      <c r="C428" t="s">
        <v>5579</v>
      </c>
      <c r="D428" t="s">
        <v>33</v>
      </c>
      <c r="E428" t="s">
        <v>5580</v>
      </c>
      <c r="F428" t="s">
        <v>1494</v>
      </c>
      <c r="G428" t="s">
        <v>5581</v>
      </c>
      <c r="H428" t="s">
        <v>5080</v>
      </c>
      <c r="I428" t="b">
        <v>0</v>
      </c>
      <c r="J428">
        <v>91</v>
      </c>
      <c r="K428">
        <v>621</v>
      </c>
      <c r="L428">
        <v>50</v>
      </c>
      <c r="M428">
        <f>COUNTIF(H428:$H$2581,H428)</f>
        <v>1</v>
      </c>
    </row>
    <row r="429" spans="1:13" x14ac:dyDescent="0.2">
      <c r="A429">
        <v>1306</v>
      </c>
      <c r="B429" t="s">
        <v>277</v>
      </c>
      <c r="C429" t="s">
        <v>5763</v>
      </c>
      <c r="D429" t="s">
        <v>54</v>
      </c>
      <c r="E429" t="s">
        <v>5764</v>
      </c>
      <c r="F429" t="s">
        <v>280</v>
      </c>
      <c r="G429" t="s">
        <v>5765</v>
      </c>
      <c r="H429" t="s">
        <v>5084</v>
      </c>
      <c r="I429" t="s">
        <v>24</v>
      </c>
      <c r="J429">
        <v>160</v>
      </c>
      <c r="K429">
        <v>1307</v>
      </c>
      <c r="L429">
        <v>25</v>
      </c>
      <c r="M429">
        <f>COUNTIF(H429:$H$2581,H429)</f>
        <v>1</v>
      </c>
    </row>
    <row r="430" spans="1:13" x14ac:dyDescent="0.2">
      <c r="A430">
        <v>1307</v>
      </c>
      <c r="B430" t="s">
        <v>277</v>
      </c>
      <c r="C430" t="s">
        <v>5922</v>
      </c>
      <c r="D430" t="s">
        <v>13</v>
      </c>
      <c r="E430" t="s">
        <v>5923</v>
      </c>
      <c r="F430" t="s">
        <v>280</v>
      </c>
      <c r="G430" t="s">
        <v>5924</v>
      </c>
      <c r="H430" t="s">
        <v>5090</v>
      </c>
      <c r="I430" t="s">
        <v>24</v>
      </c>
      <c r="J430">
        <v>160</v>
      </c>
      <c r="K430">
        <v>1308</v>
      </c>
      <c r="L430">
        <v>124</v>
      </c>
      <c r="M430">
        <f>COUNTIF(H430:$H$2581,H430)</f>
        <v>1</v>
      </c>
    </row>
    <row r="431" spans="1:13" x14ac:dyDescent="0.2">
      <c r="A431">
        <v>170</v>
      </c>
      <c r="B431" t="s">
        <v>73</v>
      </c>
      <c r="C431" t="s">
        <v>6272</v>
      </c>
      <c r="D431" t="s">
        <v>13</v>
      </c>
      <c r="E431" t="s">
        <v>6273</v>
      </c>
      <c r="F431" t="s">
        <v>76</v>
      </c>
      <c r="G431" t="s">
        <v>6274</v>
      </c>
      <c r="H431" t="s">
        <v>5094</v>
      </c>
      <c r="I431" t="s">
        <v>24</v>
      </c>
      <c r="J431">
        <v>32</v>
      </c>
      <c r="K431">
        <v>171</v>
      </c>
      <c r="L431">
        <v>9</v>
      </c>
      <c r="M431">
        <f>COUNTIF(H431:$H$2581,H431)</f>
        <v>1</v>
      </c>
    </row>
    <row r="432" spans="1:13" x14ac:dyDescent="0.2">
      <c r="A432">
        <v>1487</v>
      </c>
      <c r="B432" t="s">
        <v>1773</v>
      </c>
      <c r="C432" t="s">
        <v>6603</v>
      </c>
      <c r="D432" t="s">
        <v>54</v>
      </c>
      <c r="E432" t="s">
        <v>6604</v>
      </c>
      <c r="F432" t="s">
        <v>1776</v>
      </c>
      <c r="G432" t="s">
        <v>6605</v>
      </c>
      <c r="H432" t="s">
        <v>5098</v>
      </c>
      <c r="I432" t="b">
        <v>0</v>
      </c>
      <c r="J432">
        <v>180</v>
      </c>
      <c r="K432">
        <v>1488</v>
      </c>
      <c r="L432">
        <v>7</v>
      </c>
      <c r="M432">
        <f>COUNTIF(H432:$H$2581,H432)</f>
        <v>1</v>
      </c>
    </row>
    <row r="433" spans="1:13" x14ac:dyDescent="0.2">
      <c r="A433">
        <v>976</v>
      </c>
      <c r="B433" t="s">
        <v>203</v>
      </c>
      <c r="C433" t="s">
        <v>6850</v>
      </c>
      <c r="D433" t="s">
        <v>54</v>
      </c>
      <c r="E433" t="s">
        <v>6851</v>
      </c>
      <c r="F433" t="s">
        <v>206</v>
      </c>
      <c r="G433" t="s">
        <v>6852</v>
      </c>
      <c r="H433" t="s">
        <v>5102</v>
      </c>
      <c r="I433" t="b">
        <v>1</v>
      </c>
      <c r="J433">
        <v>123</v>
      </c>
      <c r="K433">
        <v>977</v>
      </c>
      <c r="L433">
        <v>125</v>
      </c>
      <c r="M433">
        <f>COUNTIF(H433:$H$2581,H433)</f>
        <v>3</v>
      </c>
    </row>
    <row r="434" spans="1:13" x14ac:dyDescent="0.2">
      <c r="A434">
        <v>978</v>
      </c>
      <c r="B434" t="s">
        <v>203</v>
      </c>
      <c r="C434" t="s">
        <v>7061</v>
      </c>
      <c r="D434" t="s">
        <v>13</v>
      </c>
      <c r="E434" t="s">
        <v>7062</v>
      </c>
      <c r="F434" t="s">
        <v>206</v>
      </c>
      <c r="G434" t="s">
        <v>7063</v>
      </c>
      <c r="H434" t="s">
        <v>5112</v>
      </c>
      <c r="I434" t="b">
        <v>1</v>
      </c>
      <c r="J434">
        <v>123</v>
      </c>
      <c r="K434">
        <v>979</v>
      </c>
      <c r="L434">
        <v>14</v>
      </c>
      <c r="M434">
        <f>COUNTIF(H434:$H$2581,H434)</f>
        <v>1</v>
      </c>
    </row>
    <row r="435" spans="1:13" x14ac:dyDescent="0.2">
      <c r="A435">
        <v>1378</v>
      </c>
      <c r="B435" t="s">
        <v>603</v>
      </c>
      <c r="C435" t="s">
        <v>3281</v>
      </c>
      <c r="D435" t="s">
        <v>13</v>
      </c>
      <c r="E435" t="s">
        <v>7796</v>
      </c>
      <c r="F435" t="s">
        <v>606</v>
      </c>
      <c r="G435" t="s">
        <v>7797</v>
      </c>
      <c r="H435" t="s">
        <v>5116</v>
      </c>
      <c r="I435" t="s">
        <v>24</v>
      </c>
      <c r="J435">
        <v>166</v>
      </c>
      <c r="K435">
        <v>1379</v>
      </c>
      <c r="L435">
        <v>27</v>
      </c>
      <c r="M435">
        <f>COUNTIF(H435:$H$2581,H435)</f>
        <v>1</v>
      </c>
    </row>
    <row r="436" spans="1:13" x14ac:dyDescent="0.2">
      <c r="A436">
        <v>987</v>
      </c>
      <c r="B436" t="s">
        <v>203</v>
      </c>
      <c r="C436" t="s">
        <v>8177</v>
      </c>
      <c r="D436" t="s">
        <v>54</v>
      </c>
      <c r="E436" t="s">
        <v>8178</v>
      </c>
      <c r="F436" t="s">
        <v>206</v>
      </c>
      <c r="G436" t="s">
        <v>8179</v>
      </c>
      <c r="H436" t="s">
        <v>5120</v>
      </c>
      <c r="I436" t="b">
        <v>1</v>
      </c>
      <c r="J436">
        <v>123</v>
      </c>
      <c r="K436">
        <v>988</v>
      </c>
      <c r="L436">
        <v>30</v>
      </c>
      <c r="M436">
        <f>COUNTIF(H436:$H$2581,H436)</f>
        <v>5</v>
      </c>
    </row>
    <row r="437" spans="1:13" x14ac:dyDescent="0.2">
      <c r="A437">
        <v>77</v>
      </c>
      <c r="B437" t="s">
        <v>1424</v>
      </c>
      <c r="C437" t="s">
        <v>8546</v>
      </c>
      <c r="D437" t="s">
        <v>54</v>
      </c>
      <c r="E437" t="s">
        <v>8547</v>
      </c>
      <c r="F437" t="s">
        <v>1427</v>
      </c>
      <c r="G437" t="s">
        <v>8548</v>
      </c>
      <c r="H437" t="s">
        <v>5136</v>
      </c>
      <c r="I437" t="b">
        <v>1</v>
      </c>
      <c r="J437">
        <v>12</v>
      </c>
      <c r="K437">
        <v>78</v>
      </c>
      <c r="L437">
        <v>56</v>
      </c>
      <c r="M437">
        <f>COUNTIF(H437:$H$2581,H437)</f>
        <v>1</v>
      </c>
    </row>
    <row r="438" spans="1:13" x14ac:dyDescent="0.2">
      <c r="A438">
        <v>1072</v>
      </c>
      <c r="B438" t="s">
        <v>1884</v>
      </c>
      <c r="C438" t="s">
        <v>8744</v>
      </c>
      <c r="D438" t="s">
        <v>13</v>
      </c>
      <c r="E438" t="s">
        <v>8745</v>
      </c>
      <c r="F438" t="s">
        <v>1887</v>
      </c>
      <c r="G438" t="s">
        <v>8746</v>
      </c>
      <c r="H438" t="s">
        <v>5140</v>
      </c>
      <c r="I438" t="s">
        <v>24</v>
      </c>
      <c r="J438">
        <v>131</v>
      </c>
      <c r="K438">
        <v>1073</v>
      </c>
      <c r="L438">
        <v>31</v>
      </c>
      <c r="M438">
        <f>COUNTIF(H438:$H$2581,H438)</f>
        <v>1</v>
      </c>
    </row>
    <row r="439" spans="1:13" x14ac:dyDescent="0.2">
      <c r="A439">
        <v>1582</v>
      </c>
      <c r="B439" t="s">
        <v>121</v>
      </c>
      <c r="C439" t="s">
        <v>126</v>
      </c>
      <c r="D439" t="s">
        <v>54</v>
      </c>
      <c r="E439" t="s">
        <v>127</v>
      </c>
      <c r="F439" t="s">
        <v>124</v>
      </c>
      <c r="G439" t="s">
        <v>128</v>
      </c>
      <c r="H439" t="s">
        <v>5144</v>
      </c>
      <c r="I439" t="s">
        <v>24</v>
      </c>
      <c r="J439">
        <v>194</v>
      </c>
      <c r="K439">
        <v>1583</v>
      </c>
      <c r="L439">
        <v>45</v>
      </c>
      <c r="M439">
        <f>COUNTIF(H439:$H$2581,H439)</f>
        <v>2</v>
      </c>
    </row>
    <row r="440" spans="1:13" x14ac:dyDescent="0.2">
      <c r="A440">
        <v>1684</v>
      </c>
      <c r="B440" t="s">
        <v>129</v>
      </c>
      <c r="C440" t="s">
        <v>378</v>
      </c>
      <c r="D440" t="s">
        <v>13</v>
      </c>
      <c r="E440" t="s">
        <v>379</v>
      </c>
      <c r="F440" t="s">
        <v>132</v>
      </c>
      <c r="G440" t="s">
        <v>380</v>
      </c>
      <c r="H440" t="s">
        <v>5151</v>
      </c>
      <c r="I440" t="b">
        <v>1</v>
      </c>
      <c r="J440">
        <v>204</v>
      </c>
      <c r="K440">
        <v>1685</v>
      </c>
      <c r="L440">
        <v>1</v>
      </c>
      <c r="M440">
        <f>COUNTIF(H440:$H$2581,H440)</f>
        <v>6</v>
      </c>
    </row>
    <row r="441" spans="1:13" x14ac:dyDescent="0.2">
      <c r="A441">
        <v>945</v>
      </c>
      <c r="B441" t="s">
        <v>203</v>
      </c>
      <c r="C441" t="s">
        <v>1265</v>
      </c>
      <c r="D441" t="s">
        <v>13</v>
      </c>
      <c r="E441" t="s">
        <v>1266</v>
      </c>
      <c r="F441" t="s">
        <v>206</v>
      </c>
      <c r="G441" t="s">
        <v>1267</v>
      </c>
      <c r="H441" t="s">
        <v>5170</v>
      </c>
      <c r="I441" t="b">
        <v>1</v>
      </c>
      <c r="J441">
        <v>123</v>
      </c>
      <c r="K441">
        <v>946</v>
      </c>
      <c r="L441">
        <v>157</v>
      </c>
      <c r="M441">
        <f>COUNTIF(H441:$H$2581,H441)</f>
        <v>1</v>
      </c>
    </row>
    <row r="442" spans="1:13" x14ac:dyDescent="0.2">
      <c r="A442">
        <v>767</v>
      </c>
      <c r="B442" t="s">
        <v>368</v>
      </c>
      <c r="C442" t="s">
        <v>1749</v>
      </c>
      <c r="D442" t="s">
        <v>13</v>
      </c>
      <c r="E442" t="s">
        <v>1750</v>
      </c>
      <c r="F442" t="s">
        <v>371</v>
      </c>
      <c r="G442" t="s">
        <v>1751</v>
      </c>
      <c r="H442" t="s">
        <v>5173</v>
      </c>
      <c r="I442" t="s">
        <v>24</v>
      </c>
      <c r="J442">
        <v>109</v>
      </c>
      <c r="K442">
        <v>768</v>
      </c>
      <c r="L442">
        <v>84</v>
      </c>
      <c r="M442">
        <f>COUNTIF(H442:$H$2581,H442)</f>
        <v>1</v>
      </c>
    </row>
    <row r="443" spans="1:13" x14ac:dyDescent="0.2">
      <c r="A443">
        <v>1528</v>
      </c>
      <c r="B443" t="s">
        <v>715</v>
      </c>
      <c r="C443" t="s">
        <v>1934</v>
      </c>
      <c r="D443" t="s">
        <v>13</v>
      </c>
      <c r="E443" t="s">
        <v>1935</v>
      </c>
      <c r="F443" t="s">
        <v>718</v>
      </c>
      <c r="G443" t="s">
        <v>1936</v>
      </c>
      <c r="H443" t="s">
        <v>5177</v>
      </c>
      <c r="I443" t="s">
        <v>24</v>
      </c>
      <c r="J443">
        <v>186</v>
      </c>
      <c r="K443">
        <v>1529</v>
      </c>
      <c r="L443">
        <v>10</v>
      </c>
      <c r="M443">
        <f>COUNTIF(H443:$H$2581,H443)</f>
        <v>1</v>
      </c>
    </row>
    <row r="444" spans="1:13" x14ac:dyDescent="0.2">
      <c r="A444">
        <v>950</v>
      </c>
      <c r="B444" t="s">
        <v>203</v>
      </c>
      <c r="C444" t="s">
        <v>2354</v>
      </c>
      <c r="D444" t="s">
        <v>13</v>
      </c>
      <c r="E444" t="s">
        <v>2355</v>
      </c>
      <c r="F444" t="s">
        <v>206</v>
      </c>
      <c r="G444" t="s">
        <v>2356</v>
      </c>
      <c r="H444" t="s">
        <v>5181</v>
      </c>
      <c r="I444" t="b">
        <v>1</v>
      </c>
      <c r="J444">
        <v>123</v>
      </c>
      <c r="K444">
        <v>951</v>
      </c>
      <c r="L444">
        <v>121</v>
      </c>
      <c r="M444">
        <f>COUNTIF(H444:$H$2581,H444)</f>
        <v>1</v>
      </c>
    </row>
    <row r="445" spans="1:13" x14ac:dyDescent="0.2">
      <c r="A445">
        <v>358</v>
      </c>
      <c r="B445" t="s">
        <v>975</v>
      </c>
      <c r="C445" t="s">
        <v>3255</v>
      </c>
      <c r="D445" t="s">
        <v>13</v>
      </c>
      <c r="E445" t="s">
        <v>3256</v>
      </c>
      <c r="F445" s="1" t="s">
        <v>978</v>
      </c>
      <c r="G445" t="s">
        <v>3257</v>
      </c>
      <c r="H445" t="s">
        <v>5185</v>
      </c>
      <c r="I445" t="b">
        <v>1</v>
      </c>
      <c r="J445">
        <v>50</v>
      </c>
      <c r="K445">
        <v>359</v>
      </c>
      <c r="L445">
        <v>21</v>
      </c>
      <c r="M445">
        <f>COUNTIF(H445:$H$2581,H445)</f>
        <v>4</v>
      </c>
    </row>
    <row r="446" spans="1:13" x14ac:dyDescent="0.2">
      <c r="A446">
        <v>1183</v>
      </c>
      <c r="B446" t="s">
        <v>1054</v>
      </c>
      <c r="C446" t="s">
        <v>3578</v>
      </c>
      <c r="D446" t="s">
        <v>54</v>
      </c>
      <c r="E446" t="s">
        <v>3579</v>
      </c>
      <c r="F446" t="s">
        <v>1057</v>
      </c>
      <c r="G446" t="s">
        <v>3580</v>
      </c>
      <c r="H446" t="s">
        <v>5200</v>
      </c>
      <c r="I446" t="s">
        <v>24</v>
      </c>
      <c r="J446">
        <v>145</v>
      </c>
      <c r="K446">
        <v>1184</v>
      </c>
      <c r="L446">
        <v>39</v>
      </c>
      <c r="M446">
        <f>COUNTIF(H446:$H$2581,H446)</f>
        <v>1</v>
      </c>
    </row>
    <row r="447" spans="1:13" x14ac:dyDescent="0.2">
      <c r="A447">
        <v>1009</v>
      </c>
      <c r="B447" t="s">
        <v>1268</v>
      </c>
      <c r="C447" t="s">
        <v>3720</v>
      </c>
      <c r="D447" t="s">
        <v>13</v>
      </c>
      <c r="E447" t="s">
        <v>3721</v>
      </c>
      <c r="F447" t="s">
        <v>1271</v>
      </c>
      <c r="G447" t="s">
        <v>3722</v>
      </c>
      <c r="H447" t="s">
        <v>5204</v>
      </c>
      <c r="I447" t="s">
        <v>24</v>
      </c>
      <c r="J447">
        <v>126</v>
      </c>
      <c r="K447">
        <v>1010</v>
      </c>
      <c r="L447">
        <v>22</v>
      </c>
      <c r="M447">
        <f>COUNTIF(H447:$H$2581,H447)</f>
        <v>7</v>
      </c>
    </row>
    <row r="448" spans="1:13" x14ac:dyDescent="0.2">
      <c r="A448">
        <v>2077</v>
      </c>
      <c r="B448" t="s">
        <v>1970</v>
      </c>
      <c r="C448" t="s">
        <v>4572</v>
      </c>
      <c r="D448" t="s">
        <v>54</v>
      </c>
      <c r="E448" t="s">
        <v>4573</v>
      </c>
      <c r="F448" t="s">
        <v>1973</v>
      </c>
      <c r="G448" t="s">
        <v>4574</v>
      </c>
      <c r="H448" t="s">
        <v>5226</v>
      </c>
      <c r="I448" t="s">
        <v>24</v>
      </c>
      <c r="J448">
        <v>241</v>
      </c>
      <c r="K448">
        <v>2078</v>
      </c>
      <c r="L448">
        <v>4</v>
      </c>
      <c r="M448">
        <f>COUNTIF(H448:$H$2581,H448)</f>
        <v>5</v>
      </c>
    </row>
    <row r="449" spans="1:13" x14ac:dyDescent="0.2">
      <c r="A449">
        <v>405</v>
      </c>
      <c r="B449" t="s">
        <v>1244</v>
      </c>
      <c r="C449" t="s">
        <v>4972</v>
      </c>
      <c r="D449" t="s">
        <v>13</v>
      </c>
      <c r="E449" t="s">
        <v>4973</v>
      </c>
      <c r="F449" t="s">
        <v>1247</v>
      </c>
      <c r="G449" t="s">
        <v>4974</v>
      </c>
      <c r="H449" t="s">
        <v>5242</v>
      </c>
      <c r="I449" t="b">
        <v>0</v>
      </c>
      <c r="J449">
        <v>57</v>
      </c>
      <c r="K449">
        <v>406</v>
      </c>
      <c r="L449">
        <v>123</v>
      </c>
      <c r="M449">
        <f>COUNTIF(H449:$H$2581,H449)</f>
        <v>20</v>
      </c>
    </row>
    <row r="450" spans="1:13" x14ac:dyDescent="0.2">
      <c r="A450">
        <v>1205</v>
      </c>
      <c r="B450" t="s">
        <v>1509</v>
      </c>
      <c r="C450" t="s">
        <v>5361</v>
      </c>
      <c r="D450" t="s">
        <v>13</v>
      </c>
      <c r="E450" t="s">
        <v>5362</v>
      </c>
      <c r="F450" t="s">
        <v>1512</v>
      </c>
      <c r="G450" t="s">
        <v>5363</v>
      </c>
      <c r="H450" s="3" t="s">
        <v>5303</v>
      </c>
      <c r="I450" t="b">
        <v>1</v>
      </c>
      <c r="J450">
        <v>147</v>
      </c>
      <c r="K450">
        <v>1206</v>
      </c>
      <c r="L450">
        <v>24</v>
      </c>
      <c r="M450">
        <f>COUNTIF(H450:$H$2581,H450)</f>
        <v>41</v>
      </c>
    </row>
    <row r="451" spans="1:13" x14ac:dyDescent="0.2">
      <c r="A451">
        <v>603</v>
      </c>
      <c r="B451" t="s">
        <v>1097</v>
      </c>
      <c r="C451" t="s">
        <v>5497</v>
      </c>
      <c r="D451" t="s">
        <v>13</v>
      </c>
      <c r="E451" t="s">
        <v>5498</v>
      </c>
      <c r="F451" t="s">
        <v>1100</v>
      </c>
      <c r="G451" t="s">
        <v>5499</v>
      </c>
      <c r="H451" t="s">
        <v>5427</v>
      </c>
      <c r="I451" t="b">
        <v>0</v>
      </c>
      <c r="J451">
        <v>90</v>
      </c>
      <c r="K451">
        <v>604</v>
      </c>
      <c r="L451">
        <v>13</v>
      </c>
      <c r="M451">
        <f>COUNTIF(H451:$H$2581,H451)</f>
        <v>1</v>
      </c>
    </row>
    <row r="452" spans="1:13" x14ac:dyDescent="0.2">
      <c r="A452">
        <v>784</v>
      </c>
      <c r="B452" t="s">
        <v>373</v>
      </c>
      <c r="C452" t="s">
        <v>5582</v>
      </c>
      <c r="D452" t="s">
        <v>54</v>
      </c>
      <c r="E452" t="s">
        <v>5583</v>
      </c>
      <c r="F452" s="1" t="s">
        <v>376</v>
      </c>
      <c r="G452" t="s">
        <v>5584</v>
      </c>
      <c r="H452" t="s">
        <v>5431</v>
      </c>
      <c r="I452" t="s">
        <v>24</v>
      </c>
      <c r="J452">
        <v>111</v>
      </c>
      <c r="K452">
        <v>785</v>
      </c>
      <c r="L452">
        <v>50</v>
      </c>
      <c r="M452">
        <f>COUNTIF(H452:$H$2581,H452)</f>
        <v>1</v>
      </c>
    </row>
    <row r="453" spans="1:13" x14ac:dyDescent="0.2">
      <c r="A453">
        <v>1315</v>
      </c>
      <c r="B453" t="s">
        <v>1915</v>
      </c>
      <c r="C453" t="s">
        <v>5766</v>
      </c>
      <c r="D453" t="s">
        <v>13</v>
      </c>
      <c r="E453" t="s">
        <v>5767</v>
      </c>
      <c r="F453" t="s">
        <v>1918</v>
      </c>
      <c r="G453" t="s">
        <v>5768</v>
      </c>
      <c r="H453" t="s">
        <v>5435</v>
      </c>
      <c r="I453" t="s">
        <v>24</v>
      </c>
      <c r="J453">
        <v>161</v>
      </c>
      <c r="K453">
        <v>1316</v>
      </c>
      <c r="L453">
        <v>25</v>
      </c>
      <c r="M453">
        <f>COUNTIF(H453:$H$2581,H453)</f>
        <v>13</v>
      </c>
    </row>
    <row r="454" spans="1:13" x14ac:dyDescent="0.2">
      <c r="A454">
        <v>1389</v>
      </c>
      <c r="B454" t="s">
        <v>681</v>
      </c>
      <c r="C454" t="s">
        <v>5925</v>
      </c>
      <c r="D454" t="s">
        <v>54</v>
      </c>
      <c r="E454" s="1" t="s">
        <v>5926</v>
      </c>
      <c r="F454" t="s">
        <v>684</v>
      </c>
      <c r="G454" t="s">
        <v>5927</v>
      </c>
      <c r="H454" t="s">
        <v>5475</v>
      </c>
      <c r="I454" t="b">
        <v>0</v>
      </c>
      <c r="J454">
        <v>167</v>
      </c>
      <c r="K454">
        <v>1390</v>
      </c>
      <c r="L454">
        <v>124</v>
      </c>
      <c r="M454">
        <f>COUNTIF(H454:$H$2581,H454)</f>
        <v>29</v>
      </c>
    </row>
    <row r="455" spans="1:13" x14ac:dyDescent="0.2">
      <c r="A455">
        <v>176</v>
      </c>
      <c r="B455" t="s">
        <v>78</v>
      </c>
      <c r="C455" t="s">
        <v>6275</v>
      </c>
      <c r="D455" t="s">
        <v>13</v>
      </c>
      <c r="E455" t="s">
        <v>6276</v>
      </c>
      <c r="F455" t="s">
        <v>81</v>
      </c>
      <c r="G455" t="s">
        <v>6277</v>
      </c>
      <c r="H455" t="s">
        <v>5563</v>
      </c>
      <c r="I455" t="b">
        <v>1</v>
      </c>
      <c r="J455">
        <v>33</v>
      </c>
      <c r="K455">
        <v>177</v>
      </c>
      <c r="L455">
        <v>9</v>
      </c>
      <c r="M455">
        <f>COUNTIF(H455:$H$2581,H455)</f>
        <v>28</v>
      </c>
    </row>
    <row r="456" spans="1:13" x14ac:dyDescent="0.2">
      <c r="A456">
        <v>1636</v>
      </c>
      <c r="B456" t="s">
        <v>720</v>
      </c>
      <c r="C456" t="s">
        <v>6606</v>
      </c>
      <c r="D456" t="s">
        <v>54</v>
      </c>
      <c r="E456" t="s">
        <v>6607</v>
      </c>
      <c r="F456" t="s">
        <v>723</v>
      </c>
      <c r="G456" t="s">
        <v>6608</v>
      </c>
      <c r="H456" t="s">
        <v>5648</v>
      </c>
      <c r="I456" t="b">
        <v>1</v>
      </c>
      <c r="J456">
        <v>197</v>
      </c>
      <c r="K456">
        <v>1637</v>
      </c>
      <c r="L456">
        <v>7</v>
      </c>
      <c r="M456">
        <f>COUNTIF(H456:$H$2581,H456)</f>
        <v>1</v>
      </c>
    </row>
    <row r="457" spans="1:13" x14ac:dyDescent="0.2">
      <c r="A457">
        <v>1014</v>
      </c>
      <c r="B457" t="s">
        <v>1268</v>
      </c>
      <c r="C457" t="s">
        <v>6853</v>
      </c>
      <c r="D457" t="s">
        <v>54</v>
      </c>
      <c r="E457" t="s">
        <v>6854</v>
      </c>
      <c r="F457" t="s">
        <v>1271</v>
      </c>
      <c r="G457" t="s">
        <v>6855</v>
      </c>
      <c r="H457" t="s">
        <v>5652</v>
      </c>
      <c r="I457" t="s">
        <v>24</v>
      </c>
      <c r="J457">
        <v>126</v>
      </c>
      <c r="K457">
        <v>1015</v>
      </c>
      <c r="L457">
        <v>125</v>
      </c>
      <c r="M457">
        <f>COUNTIF(H457:$H$2581,H457)</f>
        <v>2</v>
      </c>
    </row>
    <row r="458" spans="1:13" x14ac:dyDescent="0.2">
      <c r="A458">
        <v>1081</v>
      </c>
      <c r="B458" t="s">
        <v>2230</v>
      </c>
      <c r="C458" t="s">
        <v>7064</v>
      </c>
      <c r="D458" t="s">
        <v>54</v>
      </c>
      <c r="E458" t="s">
        <v>7065</v>
      </c>
      <c r="F458" t="s">
        <v>2233</v>
      </c>
      <c r="G458" t="s">
        <v>7066</v>
      </c>
      <c r="H458" t="s">
        <v>5659</v>
      </c>
      <c r="I458" t="s">
        <v>24</v>
      </c>
      <c r="J458">
        <v>132</v>
      </c>
      <c r="K458">
        <v>1082</v>
      </c>
      <c r="L458">
        <v>14</v>
      </c>
      <c r="M458">
        <f>COUNTIF(H458:$H$2581,H458)</f>
        <v>4</v>
      </c>
    </row>
    <row r="459" spans="1:13" x14ac:dyDescent="0.2">
      <c r="A459">
        <v>1474</v>
      </c>
      <c r="B459" t="s">
        <v>3587</v>
      </c>
      <c r="C459" t="s">
        <v>7798</v>
      </c>
      <c r="D459" t="s">
        <v>13</v>
      </c>
      <c r="E459" t="s">
        <v>7799</v>
      </c>
      <c r="F459" t="s">
        <v>3590</v>
      </c>
      <c r="G459" t="s">
        <v>7800</v>
      </c>
      <c r="H459" t="s">
        <v>5670</v>
      </c>
      <c r="I459" t="s">
        <v>24</v>
      </c>
      <c r="J459">
        <v>179</v>
      </c>
      <c r="K459">
        <v>1475</v>
      </c>
      <c r="L459">
        <v>27</v>
      </c>
      <c r="M459">
        <f>COUNTIF(H459:$H$2581,H459)</f>
        <v>2</v>
      </c>
    </row>
    <row r="460" spans="1:13" x14ac:dyDescent="0.2">
      <c r="A460">
        <v>988</v>
      </c>
      <c r="B460" t="s">
        <v>203</v>
      </c>
      <c r="C460" t="s">
        <v>8180</v>
      </c>
      <c r="D460" t="s">
        <v>13</v>
      </c>
      <c r="E460" t="s">
        <v>8181</v>
      </c>
      <c r="F460" t="s">
        <v>206</v>
      </c>
      <c r="G460" t="s">
        <v>8182</v>
      </c>
      <c r="H460" t="s">
        <v>5677</v>
      </c>
      <c r="I460" t="b">
        <v>1</v>
      </c>
      <c r="J460">
        <v>123</v>
      </c>
      <c r="K460">
        <v>989</v>
      </c>
      <c r="L460">
        <v>30</v>
      </c>
      <c r="M460">
        <f>COUNTIF(H460:$H$2581,H460)</f>
        <v>1</v>
      </c>
    </row>
    <row r="461" spans="1:13" x14ac:dyDescent="0.2">
      <c r="A461">
        <v>328</v>
      </c>
      <c r="B461" t="s">
        <v>98</v>
      </c>
      <c r="C461" t="s">
        <v>8550</v>
      </c>
      <c r="D461" t="s">
        <v>33</v>
      </c>
      <c r="E461" t="s">
        <v>8551</v>
      </c>
      <c r="F461" t="s">
        <v>101</v>
      </c>
      <c r="G461" t="s">
        <v>8552</v>
      </c>
      <c r="H461" t="s">
        <v>5681</v>
      </c>
      <c r="I461" t="s">
        <v>24</v>
      </c>
      <c r="J461">
        <v>46</v>
      </c>
      <c r="K461">
        <v>329</v>
      </c>
      <c r="L461">
        <v>56</v>
      </c>
      <c r="M461">
        <f>COUNTIF(H461:$H$2581,H461)</f>
        <v>50</v>
      </c>
    </row>
    <row r="462" spans="1:13" x14ac:dyDescent="0.2">
      <c r="A462">
        <v>1102</v>
      </c>
      <c r="B462" t="s">
        <v>1075</v>
      </c>
      <c r="C462" t="s">
        <v>8747</v>
      </c>
      <c r="D462" t="s">
        <v>54</v>
      </c>
      <c r="E462" t="s">
        <v>8748</v>
      </c>
      <c r="F462" t="s">
        <v>1078</v>
      </c>
      <c r="G462" t="s">
        <v>8749</v>
      </c>
      <c r="H462" t="s">
        <v>5831</v>
      </c>
      <c r="I462" t="s">
        <v>24</v>
      </c>
      <c r="J462">
        <v>133</v>
      </c>
      <c r="K462">
        <v>1103</v>
      </c>
      <c r="L462">
        <v>31</v>
      </c>
      <c r="M462">
        <f>COUNTIF(H462:$H$2581,H462)</f>
        <v>2</v>
      </c>
    </row>
    <row r="463" spans="1:13" x14ac:dyDescent="0.2">
      <c r="A463">
        <v>1581</v>
      </c>
      <c r="B463" t="s">
        <v>121</v>
      </c>
      <c r="C463" t="s">
        <v>122</v>
      </c>
      <c r="D463" t="s">
        <v>13</v>
      </c>
      <c r="E463" t="s">
        <v>123</v>
      </c>
      <c r="F463" t="s">
        <v>124</v>
      </c>
      <c r="G463" t="s">
        <v>125</v>
      </c>
      <c r="H463" t="s">
        <v>5838</v>
      </c>
      <c r="I463" t="s">
        <v>24</v>
      </c>
      <c r="J463">
        <v>194</v>
      </c>
      <c r="K463">
        <v>1582</v>
      </c>
      <c r="L463">
        <v>45</v>
      </c>
      <c r="M463">
        <f>COUNTIF(H463:$H$2581,H463)</f>
        <v>2</v>
      </c>
    </row>
    <row r="464" spans="1:13" x14ac:dyDescent="0.2">
      <c r="A464">
        <v>779</v>
      </c>
      <c r="B464" t="s">
        <v>373</v>
      </c>
      <c r="C464" t="s">
        <v>374</v>
      </c>
      <c r="D464" t="s">
        <v>54</v>
      </c>
      <c r="E464" t="s">
        <v>375</v>
      </c>
      <c r="F464" s="1" t="s">
        <v>376</v>
      </c>
      <c r="G464" t="s">
        <v>377</v>
      </c>
      <c r="H464" t="s">
        <v>5845</v>
      </c>
      <c r="I464" t="s">
        <v>24</v>
      </c>
      <c r="J464">
        <v>111</v>
      </c>
      <c r="K464">
        <v>780</v>
      </c>
      <c r="L464">
        <v>1</v>
      </c>
      <c r="M464">
        <f>COUNTIF(H464:$H$2581,H464)</f>
        <v>1</v>
      </c>
    </row>
    <row r="465" spans="1:13" x14ac:dyDescent="0.2">
      <c r="A465">
        <v>1006</v>
      </c>
      <c r="B465" t="s">
        <v>1268</v>
      </c>
      <c r="C465" t="s">
        <v>1269</v>
      </c>
      <c r="D465" t="s">
        <v>54</v>
      </c>
      <c r="E465" t="s">
        <v>1270</v>
      </c>
      <c r="F465" t="s">
        <v>1271</v>
      </c>
      <c r="G465" t="s">
        <v>1272</v>
      </c>
      <c r="H465" t="s">
        <v>5849</v>
      </c>
      <c r="I465" t="s">
        <v>24</v>
      </c>
      <c r="J465">
        <v>126</v>
      </c>
      <c r="K465">
        <v>1007</v>
      </c>
      <c r="L465">
        <v>157</v>
      </c>
      <c r="M465">
        <f>COUNTIF(H465:$H$2581,H465)</f>
        <v>1</v>
      </c>
    </row>
    <row r="466" spans="1:13" x14ac:dyDescent="0.2">
      <c r="A466">
        <v>791</v>
      </c>
      <c r="B466" t="s">
        <v>116</v>
      </c>
      <c r="C466" t="s">
        <v>1752</v>
      </c>
      <c r="D466" t="s">
        <v>33</v>
      </c>
      <c r="E466" t="s">
        <v>1753</v>
      </c>
      <c r="F466" t="s">
        <v>119</v>
      </c>
      <c r="G466" t="s">
        <v>1754</v>
      </c>
      <c r="H466" t="s">
        <v>5853</v>
      </c>
      <c r="I466" t="s">
        <v>24</v>
      </c>
      <c r="J466">
        <v>112</v>
      </c>
      <c r="K466">
        <v>792</v>
      </c>
      <c r="L466">
        <v>84</v>
      </c>
      <c r="M466">
        <f>COUNTIF(H466:$H$2581,H466)</f>
        <v>46</v>
      </c>
    </row>
    <row r="467" spans="1:13" x14ac:dyDescent="0.2">
      <c r="A467">
        <v>1567</v>
      </c>
      <c r="B467" t="s">
        <v>1514</v>
      </c>
      <c r="C467" t="s">
        <v>1937</v>
      </c>
      <c r="D467" t="s">
        <v>54</v>
      </c>
      <c r="E467" t="s">
        <v>1938</v>
      </c>
      <c r="F467" t="s">
        <v>1517</v>
      </c>
      <c r="G467" t="s">
        <v>1939</v>
      </c>
      <c r="H467" t="s">
        <v>5991</v>
      </c>
      <c r="I467" t="b">
        <v>0</v>
      </c>
      <c r="J467">
        <v>192</v>
      </c>
      <c r="K467">
        <v>1568</v>
      </c>
      <c r="L467">
        <v>10</v>
      </c>
      <c r="M467">
        <f>COUNTIF(H467:$H$2581,H467)</f>
        <v>2</v>
      </c>
    </row>
    <row r="468" spans="1:13" x14ac:dyDescent="0.2">
      <c r="A468">
        <v>993</v>
      </c>
      <c r="B468" t="s">
        <v>1876</v>
      </c>
      <c r="C468" t="s">
        <v>2357</v>
      </c>
      <c r="D468" t="s">
        <v>54</v>
      </c>
      <c r="E468" t="s">
        <v>2358</v>
      </c>
      <c r="F468" t="s">
        <v>1879</v>
      </c>
      <c r="G468" t="s">
        <v>2359</v>
      </c>
      <c r="H468" t="s">
        <v>5998</v>
      </c>
      <c r="I468" t="s">
        <v>24</v>
      </c>
      <c r="J468">
        <v>124</v>
      </c>
      <c r="K468">
        <v>994</v>
      </c>
      <c r="L468">
        <v>121</v>
      </c>
      <c r="M468">
        <f>COUNTIF(H468:$H$2581,H468)</f>
        <v>1</v>
      </c>
    </row>
    <row r="469" spans="1:13" x14ac:dyDescent="0.2">
      <c r="A469">
        <v>417</v>
      </c>
      <c r="B469" t="s">
        <v>3258</v>
      </c>
      <c r="C469" t="s">
        <v>3259</v>
      </c>
      <c r="D469" t="s">
        <v>33</v>
      </c>
      <c r="E469" t="s">
        <v>3260</v>
      </c>
      <c r="F469" t="s">
        <v>3261</v>
      </c>
      <c r="G469" t="s">
        <v>3262</v>
      </c>
      <c r="H469" t="s">
        <v>6002</v>
      </c>
      <c r="I469" t="b">
        <v>0</v>
      </c>
      <c r="J469">
        <v>61</v>
      </c>
      <c r="K469">
        <v>418</v>
      </c>
      <c r="L469">
        <v>21</v>
      </c>
      <c r="M469">
        <f>COUNTIF(H469:$H$2581,H469)</f>
        <v>1</v>
      </c>
    </row>
    <row r="470" spans="1:13" x14ac:dyDescent="0.2">
      <c r="A470">
        <v>1220</v>
      </c>
      <c r="B470" t="s">
        <v>265</v>
      </c>
      <c r="C470" t="s">
        <v>3581</v>
      </c>
      <c r="D470" t="s">
        <v>54</v>
      </c>
      <c r="E470" t="s">
        <v>3582</v>
      </c>
      <c r="F470" t="s">
        <v>268</v>
      </c>
      <c r="G470" t="s">
        <v>3583</v>
      </c>
      <c r="H470" t="s">
        <v>6006</v>
      </c>
      <c r="I470" t="s">
        <v>24</v>
      </c>
      <c r="J470">
        <v>149</v>
      </c>
      <c r="K470">
        <v>1221</v>
      </c>
      <c r="L470">
        <v>39</v>
      </c>
      <c r="M470">
        <f>COUNTIF(H470:$H$2581,H470)</f>
        <v>2</v>
      </c>
    </row>
    <row r="471" spans="1:13" x14ac:dyDescent="0.2">
      <c r="A471">
        <v>1055</v>
      </c>
      <c r="B471" t="s">
        <v>1884</v>
      </c>
      <c r="C471" t="s">
        <v>3723</v>
      </c>
      <c r="D471" t="s">
        <v>13</v>
      </c>
      <c r="E471" t="s">
        <v>3724</v>
      </c>
      <c r="F471" t="s">
        <v>1887</v>
      </c>
      <c r="G471" t="s">
        <v>3725</v>
      </c>
      <c r="H471" t="s">
        <v>6011</v>
      </c>
      <c r="I471" t="s">
        <v>24</v>
      </c>
      <c r="J471">
        <v>131</v>
      </c>
      <c r="K471">
        <v>1056</v>
      </c>
      <c r="L471">
        <v>22</v>
      </c>
      <c r="M471">
        <f>COUNTIF(H471:$H$2581,H471)</f>
        <v>1</v>
      </c>
    </row>
    <row r="472" spans="1:13" x14ac:dyDescent="0.2">
      <c r="A472">
        <v>26</v>
      </c>
      <c r="B472" t="s">
        <v>2448</v>
      </c>
      <c r="C472" t="s">
        <v>4012</v>
      </c>
      <c r="D472" t="s">
        <v>54</v>
      </c>
      <c r="E472" s="1" t="s">
        <v>4013</v>
      </c>
      <c r="F472" t="s">
        <v>2451</v>
      </c>
      <c r="G472" t="s">
        <v>4014</v>
      </c>
      <c r="H472" t="s">
        <v>6015</v>
      </c>
      <c r="I472" t="s">
        <v>24</v>
      </c>
      <c r="J472">
        <v>6</v>
      </c>
      <c r="K472">
        <v>27</v>
      </c>
      <c r="L472">
        <v>23</v>
      </c>
      <c r="M472">
        <f>COUNTIF(H472:$H$2581,H472)</f>
        <v>3</v>
      </c>
    </row>
    <row r="473" spans="1:13" x14ac:dyDescent="0.2">
      <c r="A473">
        <v>94</v>
      </c>
      <c r="B473" t="s">
        <v>311</v>
      </c>
      <c r="C473" t="s">
        <v>4160</v>
      </c>
      <c r="D473" t="s">
        <v>54</v>
      </c>
      <c r="E473" t="s">
        <v>4161</v>
      </c>
      <c r="F473" s="1" t="s">
        <v>314</v>
      </c>
      <c r="G473" t="s">
        <v>4162</v>
      </c>
      <c r="H473" t="s">
        <v>6025</v>
      </c>
      <c r="I473" t="s">
        <v>24</v>
      </c>
      <c r="J473">
        <v>14</v>
      </c>
      <c r="K473">
        <v>95</v>
      </c>
      <c r="L473">
        <v>64</v>
      </c>
      <c r="M473">
        <f>COUNTIF(H473:$H$2581,H473)</f>
        <v>2</v>
      </c>
    </row>
    <row r="474" spans="1:13" x14ac:dyDescent="0.2">
      <c r="A474">
        <v>2078</v>
      </c>
      <c r="B474" t="s">
        <v>1970</v>
      </c>
      <c r="C474" t="s">
        <v>4575</v>
      </c>
      <c r="D474" t="s">
        <v>13</v>
      </c>
      <c r="E474" t="s">
        <v>4576</v>
      </c>
      <c r="F474" t="s">
        <v>1973</v>
      </c>
      <c r="G474" t="s">
        <v>4577</v>
      </c>
      <c r="H474" t="s">
        <v>6032</v>
      </c>
      <c r="I474" t="s">
        <v>24</v>
      </c>
      <c r="J474">
        <v>241</v>
      </c>
      <c r="K474">
        <v>2079</v>
      </c>
      <c r="L474">
        <v>4</v>
      </c>
      <c r="M474">
        <f>COUNTIF(H474:$H$2581,H474)</f>
        <v>2</v>
      </c>
    </row>
    <row r="475" spans="1:13" x14ac:dyDescent="0.2">
      <c r="A475">
        <v>821</v>
      </c>
      <c r="B475" t="s">
        <v>594</v>
      </c>
      <c r="C475" t="s">
        <v>4975</v>
      </c>
      <c r="D475" t="s">
        <v>54</v>
      </c>
      <c r="E475" t="s">
        <v>4976</v>
      </c>
      <c r="F475" t="s">
        <v>597</v>
      </c>
      <c r="G475" t="s">
        <v>4977</v>
      </c>
      <c r="H475" t="s">
        <v>6039</v>
      </c>
      <c r="I475" t="b">
        <v>1</v>
      </c>
      <c r="J475">
        <v>114</v>
      </c>
      <c r="K475">
        <v>822</v>
      </c>
      <c r="L475">
        <v>123</v>
      </c>
      <c r="M475">
        <f>COUNTIF(H475:$H$2581,H475)</f>
        <v>5</v>
      </c>
    </row>
    <row r="476" spans="1:13" x14ac:dyDescent="0.2">
      <c r="A476">
        <v>43</v>
      </c>
      <c r="B476" t="s">
        <v>2199</v>
      </c>
      <c r="C476" t="s">
        <v>5239</v>
      </c>
      <c r="D476" t="s">
        <v>54</v>
      </c>
      <c r="E476" t="s">
        <v>5240</v>
      </c>
      <c r="F476" t="s">
        <v>2202</v>
      </c>
      <c r="G476" t="s">
        <v>5241</v>
      </c>
      <c r="H476" t="s">
        <v>6055</v>
      </c>
      <c r="I476" t="s">
        <v>24</v>
      </c>
      <c r="J476">
        <v>7</v>
      </c>
      <c r="K476">
        <v>44</v>
      </c>
      <c r="L476">
        <v>35</v>
      </c>
      <c r="M476">
        <f>COUNTIF(H476:$H$2581,H476)</f>
        <v>1</v>
      </c>
    </row>
    <row r="477" spans="1:13" x14ac:dyDescent="0.2">
      <c r="A477">
        <v>1400</v>
      </c>
      <c r="B477" t="s">
        <v>170</v>
      </c>
      <c r="C477" t="s">
        <v>5364</v>
      </c>
      <c r="D477" t="s">
        <v>13</v>
      </c>
      <c r="E477" t="s">
        <v>5365</v>
      </c>
      <c r="F477" t="s">
        <v>173</v>
      </c>
      <c r="G477" t="s">
        <v>5366</v>
      </c>
      <c r="H477" t="s">
        <v>6059</v>
      </c>
      <c r="I477" t="b">
        <v>1</v>
      </c>
      <c r="J477">
        <v>168</v>
      </c>
      <c r="K477">
        <v>1401</v>
      </c>
      <c r="L477">
        <v>24</v>
      </c>
      <c r="M477">
        <f>COUNTIF(H477:$H$2581,H477)</f>
        <v>1</v>
      </c>
    </row>
    <row r="478" spans="1:13" x14ac:dyDescent="0.2">
      <c r="A478">
        <v>653</v>
      </c>
      <c r="B478" t="s">
        <v>5500</v>
      </c>
      <c r="C478" t="s">
        <v>5479</v>
      </c>
      <c r="D478" t="s">
        <v>54</v>
      </c>
      <c r="E478" t="s">
        <v>5501</v>
      </c>
      <c r="F478" t="s">
        <v>5502</v>
      </c>
      <c r="G478" t="s">
        <v>5481</v>
      </c>
      <c r="H478" t="s">
        <v>6063</v>
      </c>
      <c r="I478" t="b">
        <v>1</v>
      </c>
      <c r="J478">
        <v>95</v>
      </c>
      <c r="K478">
        <v>654</v>
      </c>
      <c r="L478">
        <v>13</v>
      </c>
      <c r="M478">
        <f>COUNTIF(H478:$H$2581,H478)</f>
        <v>1</v>
      </c>
    </row>
    <row r="479" spans="1:13" x14ac:dyDescent="0.2">
      <c r="A479">
        <v>822</v>
      </c>
      <c r="B479" t="s">
        <v>594</v>
      </c>
      <c r="C479" t="s">
        <v>5585</v>
      </c>
      <c r="D479" t="s">
        <v>13</v>
      </c>
      <c r="E479" t="s">
        <v>5586</v>
      </c>
      <c r="F479" t="s">
        <v>597</v>
      </c>
      <c r="G479" t="s">
        <v>5587</v>
      </c>
      <c r="H479" t="s">
        <v>6067</v>
      </c>
      <c r="I479" t="b">
        <v>1</v>
      </c>
      <c r="J479">
        <v>114</v>
      </c>
      <c r="K479">
        <v>823</v>
      </c>
      <c r="L479">
        <v>50</v>
      </c>
      <c r="M479">
        <f>COUNTIF(H479:$H$2581,H479)</f>
        <v>1</v>
      </c>
    </row>
    <row r="480" spans="1:13" x14ac:dyDescent="0.2">
      <c r="A480">
        <v>1368</v>
      </c>
      <c r="B480" t="s">
        <v>603</v>
      </c>
      <c r="C480" t="s">
        <v>5769</v>
      </c>
      <c r="D480" t="s">
        <v>13</v>
      </c>
      <c r="E480" t="s">
        <v>5770</v>
      </c>
      <c r="F480" t="s">
        <v>606</v>
      </c>
      <c r="G480" t="s">
        <v>5771</v>
      </c>
      <c r="H480" t="s">
        <v>6071</v>
      </c>
      <c r="I480" t="s">
        <v>24</v>
      </c>
      <c r="J480">
        <v>166</v>
      </c>
      <c r="K480">
        <v>1369</v>
      </c>
      <c r="L480">
        <v>25</v>
      </c>
      <c r="M480">
        <f>COUNTIF(H480:$H$2581,H480)</f>
        <v>4</v>
      </c>
    </row>
    <row r="481" spans="1:13" x14ac:dyDescent="0.2">
      <c r="A481">
        <v>1401</v>
      </c>
      <c r="B481" t="s">
        <v>170</v>
      </c>
      <c r="C481" t="s">
        <v>5928</v>
      </c>
      <c r="D481" t="s">
        <v>13</v>
      </c>
      <c r="E481" t="s">
        <v>5929</v>
      </c>
      <c r="F481" t="s">
        <v>173</v>
      </c>
      <c r="G481" t="s">
        <v>5930</v>
      </c>
      <c r="H481" t="s">
        <v>6084</v>
      </c>
      <c r="I481" t="b">
        <v>1</v>
      </c>
      <c r="J481">
        <v>168</v>
      </c>
      <c r="K481">
        <v>1402</v>
      </c>
      <c r="L481">
        <v>124</v>
      </c>
      <c r="M481">
        <f>COUNTIF(H481:$H$2581,H481)</f>
        <v>1</v>
      </c>
    </row>
    <row r="482" spans="1:13" x14ac:dyDescent="0.2">
      <c r="A482">
        <v>201</v>
      </c>
      <c r="B482" t="s">
        <v>346</v>
      </c>
      <c r="C482" t="s">
        <v>6278</v>
      </c>
      <c r="D482" t="s">
        <v>54</v>
      </c>
      <c r="E482" t="s">
        <v>6279</v>
      </c>
      <c r="F482" t="s">
        <v>349</v>
      </c>
      <c r="G482" t="s">
        <v>6280</v>
      </c>
      <c r="H482" t="s">
        <v>6088</v>
      </c>
      <c r="I482" t="b">
        <v>0</v>
      </c>
      <c r="J482">
        <v>36</v>
      </c>
      <c r="K482">
        <v>202</v>
      </c>
      <c r="L482">
        <v>9</v>
      </c>
      <c r="M482">
        <f>COUNTIF(H482:$H$2581,H482)</f>
        <v>2</v>
      </c>
    </row>
    <row r="483" spans="1:13" x14ac:dyDescent="0.2">
      <c r="A483">
        <v>346</v>
      </c>
      <c r="B483" t="s">
        <v>455</v>
      </c>
      <c r="C483" t="s">
        <v>6378</v>
      </c>
      <c r="D483" t="s">
        <v>13</v>
      </c>
      <c r="E483" t="s">
        <v>6379</v>
      </c>
      <c r="F483" t="s">
        <v>458</v>
      </c>
      <c r="G483" t="s">
        <v>6380</v>
      </c>
      <c r="H483" t="s">
        <v>6095</v>
      </c>
      <c r="I483" t="b">
        <v>0</v>
      </c>
      <c r="J483">
        <v>49</v>
      </c>
      <c r="K483">
        <v>347</v>
      </c>
      <c r="L483">
        <v>161</v>
      </c>
      <c r="M483">
        <f>COUNTIF(H483:$H$2581,H483)</f>
        <v>1</v>
      </c>
    </row>
    <row r="484" spans="1:13" x14ac:dyDescent="0.2">
      <c r="A484">
        <v>1637</v>
      </c>
      <c r="B484" t="s">
        <v>720</v>
      </c>
      <c r="C484" t="s">
        <v>6609</v>
      </c>
      <c r="D484" t="s">
        <v>33</v>
      </c>
      <c r="E484" t="s">
        <v>6610</v>
      </c>
      <c r="F484" t="s">
        <v>723</v>
      </c>
      <c r="G484" t="s">
        <v>6611</v>
      </c>
      <c r="H484" t="s">
        <v>6099</v>
      </c>
      <c r="I484" t="b">
        <v>1</v>
      </c>
      <c r="J484">
        <v>197</v>
      </c>
      <c r="K484">
        <v>1638</v>
      </c>
      <c r="L484">
        <v>7</v>
      </c>
      <c r="M484">
        <f>COUNTIF(H484:$H$2581,H484)</f>
        <v>1</v>
      </c>
    </row>
    <row r="485" spans="1:13" x14ac:dyDescent="0.2">
      <c r="A485">
        <v>1047</v>
      </c>
      <c r="B485" t="s">
        <v>1456</v>
      </c>
      <c r="C485" t="s">
        <v>6856</v>
      </c>
      <c r="D485" t="s">
        <v>13</v>
      </c>
      <c r="E485" t="s">
        <v>6857</v>
      </c>
      <c r="F485" t="s">
        <v>1459</v>
      </c>
      <c r="G485" t="s">
        <v>6858</v>
      </c>
      <c r="H485" t="s">
        <v>6103</v>
      </c>
      <c r="I485" t="s">
        <v>24</v>
      </c>
      <c r="J485">
        <v>130</v>
      </c>
      <c r="K485">
        <v>1048</v>
      </c>
      <c r="L485">
        <v>125</v>
      </c>
      <c r="M485">
        <f>COUNTIF(H485:$H$2581,H485)</f>
        <v>1</v>
      </c>
    </row>
    <row r="486" spans="1:13" x14ac:dyDescent="0.2">
      <c r="A486">
        <v>1096</v>
      </c>
      <c r="B486" t="s">
        <v>1075</v>
      </c>
      <c r="C486" t="s">
        <v>7067</v>
      </c>
      <c r="D486" t="s">
        <v>54</v>
      </c>
      <c r="E486" t="s">
        <v>7068</v>
      </c>
      <c r="F486" t="s">
        <v>1078</v>
      </c>
      <c r="G486" t="s">
        <v>7069</v>
      </c>
      <c r="H486" t="s">
        <v>6107</v>
      </c>
      <c r="I486" t="s">
        <v>24</v>
      </c>
      <c r="J486">
        <v>133</v>
      </c>
      <c r="K486">
        <v>1097</v>
      </c>
      <c r="L486">
        <v>14</v>
      </c>
      <c r="M486">
        <f>COUNTIF(H486:$H$2581,H486)</f>
        <v>1</v>
      </c>
    </row>
    <row r="487" spans="1:13" x14ac:dyDescent="0.2">
      <c r="A487">
        <v>1513</v>
      </c>
      <c r="B487" t="s">
        <v>2438</v>
      </c>
      <c r="C487" t="s">
        <v>7801</v>
      </c>
      <c r="D487" t="s">
        <v>13</v>
      </c>
      <c r="E487" t="s">
        <v>7802</v>
      </c>
      <c r="F487" t="s">
        <v>2441</v>
      </c>
      <c r="G487" t="s">
        <v>7803</v>
      </c>
      <c r="H487" t="s">
        <v>6111</v>
      </c>
      <c r="I487" t="b">
        <v>0</v>
      </c>
      <c r="J487">
        <v>183</v>
      </c>
      <c r="K487">
        <v>1514</v>
      </c>
      <c r="L487">
        <v>27</v>
      </c>
      <c r="M487">
        <f>COUNTIF(H487:$H$2581,H487)</f>
        <v>3</v>
      </c>
    </row>
    <row r="488" spans="1:13" x14ac:dyDescent="0.2">
      <c r="A488">
        <v>1177</v>
      </c>
      <c r="B488" t="s">
        <v>1665</v>
      </c>
      <c r="C488" t="s">
        <v>8183</v>
      </c>
      <c r="D488" t="s">
        <v>13</v>
      </c>
      <c r="E488" t="s">
        <v>8184</v>
      </c>
      <c r="F488" t="s">
        <v>1668</v>
      </c>
      <c r="G488" t="s">
        <v>8185</v>
      </c>
      <c r="H488" t="s">
        <v>6121</v>
      </c>
      <c r="I488" t="b">
        <v>1</v>
      </c>
      <c r="J488">
        <v>144</v>
      </c>
      <c r="K488">
        <v>1178</v>
      </c>
      <c r="L488">
        <v>30</v>
      </c>
      <c r="M488">
        <f>COUNTIF(H488:$H$2581,H488)</f>
        <v>1</v>
      </c>
    </row>
    <row r="489" spans="1:13" x14ac:dyDescent="0.2">
      <c r="A489">
        <v>368</v>
      </c>
      <c r="B489" t="s">
        <v>975</v>
      </c>
      <c r="C489" t="s">
        <v>8553</v>
      </c>
      <c r="D489" t="s">
        <v>13</v>
      </c>
      <c r="E489" t="s">
        <v>8554</v>
      </c>
      <c r="F489" s="1" t="s">
        <v>978</v>
      </c>
      <c r="G489" t="s">
        <v>8555</v>
      </c>
      <c r="H489" t="s">
        <v>6125</v>
      </c>
      <c r="I489" t="b">
        <v>1</v>
      </c>
      <c r="J489">
        <v>50</v>
      </c>
      <c r="K489">
        <v>369</v>
      </c>
      <c r="L489">
        <v>56</v>
      </c>
      <c r="M489">
        <f>COUNTIF(H489:$H$2581,H489)</f>
        <v>1</v>
      </c>
    </row>
    <row r="490" spans="1:13" x14ac:dyDescent="0.2">
      <c r="A490">
        <v>1383</v>
      </c>
      <c r="B490" t="s">
        <v>603</v>
      </c>
      <c r="C490" t="s">
        <v>8750</v>
      </c>
      <c r="D490" t="s">
        <v>54</v>
      </c>
      <c r="E490" s="1" t="s">
        <v>8751</v>
      </c>
      <c r="F490" t="s">
        <v>606</v>
      </c>
      <c r="G490" t="s">
        <v>8752</v>
      </c>
      <c r="H490" t="s">
        <v>6129</v>
      </c>
      <c r="I490" t="s">
        <v>24</v>
      </c>
      <c r="J490">
        <v>166</v>
      </c>
      <c r="K490">
        <v>1384</v>
      </c>
      <c r="L490">
        <v>31</v>
      </c>
      <c r="M490">
        <f>COUNTIF(H490:$H$2581,H490)</f>
        <v>1</v>
      </c>
    </row>
    <row r="491" spans="1:13" x14ac:dyDescent="0.2">
      <c r="A491">
        <v>789</v>
      </c>
      <c r="B491" t="s">
        <v>116</v>
      </c>
      <c r="C491" t="s">
        <v>117</v>
      </c>
      <c r="D491" t="s">
        <v>13</v>
      </c>
      <c r="E491" t="s">
        <v>118</v>
      </c>
      <c r="F491" t="s">
        <v>119</v>
      </c>
      <c r="G491" t="s">
        <v>120</v>
      </c>
      <c r="H491" t="s">
        <v>6133</v>
      </c>
      <c r="I491" t="s">
        <v>24</v>
      </c>
      <c r="J491">
        <v>112</v>
      </c>
      <c r="K491">
        <v>790</v>
      </c>
      <c r="L491">
        <v>45</v>
      </c>
      <c r="M491">
        <f>COUNTIF(H491:$H$2581,H491)</f>
        <v>1</v>
      </c>
    </row>
    <row r="492" spans="1:13" x14ac:dyDescent="0.2">
      <c r="A492">
        <v>765</v>
      </c>
      <c r="B492" t="s">
        <v>368</v>
      </c>
      <c r="C492" t="s">
        <v>369</v>
      </c>
      <c r="D492" t="s">
        <v>54</v>
      </c>
      <c r="E492" t="s">
        <v>370</v>
      </c>
      <c r="F492" t="s">
        <v>371</v>
      </c>
      <c r="G492" t="s">
        <v>372</v>
      </c>
      <c r="H492" t="s">
        <v>6137</v>
      </c>
      <c r="I492" t="s">
        <v>24</v>
      </c>
      <c r="J492">
        <v>109</v>
      </c>
      <c r="K492">
        <v>766</v>
      </c>
      <c r="L492">
        <v>1</v>
      </c>
      <c r="M492">
        <f>COUNTIF(H492:$H$2581,H492)</f>
        <v>1</v>
      </c>
    </row>
    <row r="493" spans="1:13" x14ac:dyDescent="0.2">
      <c r="A493">
        <v>1272</v>
      </c>
      <c r="B493" t="s">
        <v>1273</v>
      </c>
      <c r="C493" t="s">
        <v>1274</v>
      </c>
      <c r="D493" t="s">
        <v>13</v>
      </c>
      <c r="E493" t="s">
        <v>1275</v>
      </c>
      <c r="F493" t="s">
        <v>1276</v>
      </c>
      <c r="G493" t="s">
        <v>1277</v>
      </c>
      <c r="H493" t="s">
        <v>6141</v>
      </c>
      <c r="I493" t="b">
        <v>1</v>
      </c>
      <c r="J493">
        <v>157</v>
      </c>
      <c r="K493">
        <v>1273</v>
      </c>
      <c r="L493">
        <v>157</v>
      </c>
      <c r="M493">
        <f>COUNTIF(H493:$H$2581,H493)</f>
        <v>1</v>
      </c>
    </row>
    <row r="494" spans="1:13" x14ac:dyDescent="0.2">
      <c r="A494">
        <v>813</v>
      </c>
      <c r="B494" t="s">
        <v>594</v>
      </c>
      <c r="C494" t="s">
        <v>1755</v>
      </c>
      <c r="D494" t="s">
        <v>54</v>
      </c>
      <c r="E494" t="s">
        <v>1756</v>
      </c>
      <c r="F494" t="s">
        <v>597</v>
      </c>
      <c r="G494" t="s">
        <v>1757</v>
      </c>
      <c r="H494" t="s">
        <v>6145</v>
      </c>
      <c r="I494" t="b">
        <v>1</v>
      </c>
      <c r="J494">
        <v>114</v>
      </c>
      <c r="K494">
        <v>814</v>
      </c>
      <c r="L494">
        <v>84</v>
      </c>
      <c r="M494">
        <f>COUNTIF(H494:$H$2581,H494)</f>
        <v>1</v>
      </c>
    </row>
    <row r="495" spans="1:13" x14ac:dyDescent="0.2">
      <c r="A495">
        <v>1598</v>
      </c>
      <c r="B495" t="s">
        <v>1548</v>
      </c>
      <c r="C495" t="s">
        <v>1940</v>
      </c>
      <c r="D495" t="s">
        <v>54</v>
      </c>
      <c r="E495" t="s">
        <v>1941</v>
      </c>
      <c r="F495" t="s">
        <v>1551</v>
      </c>
      <c r="G495" t="s">
        <v>1942</v>
      </c>
      <c r="H495" t="s">
        <v>6149</v>
      </c>
      <c r="I495" t="b">
        <v>0</v>
      </c>
      <c r="J495">
        <v>196</v>
      </c>
      <c r="K495">
        <v>1599</v>
      </c>
      <c r="L495">
        <v>10</v>
      </c>
      <c r="M495">
        <f>COUNTIF(H495:$H$2581,H495)</f>
        <v>1</v>
      </c>
    </row>
    <row r="496" spans="1:13" x14ac:dyDescent="0.2">
      <c r="A496">
        <v>1007</v>
      </c>
      <c r="B496" t="s">
        <v>1268</v>
      </c>
      <c r="C496" t="s">
        <v>2360</v>
      </c>
      <c r="D496" t="s">
        <v>13</v>
      </c>
      <c r="E496" t="s">
        <v>2361</v>
      </c>
      <c r="F496" t="s">
        <v>1271</v>
      </c>
      <c r="G496" t="s">
        <v>2362</v>
      </c>
      <c r="H496" t="s">
        <v>6152</v>
      </c>
      <c r="I496" t="s">
        <v>24</v>
      </c>
      <c r="J496">
        <v>126</v>
      </c>
      <c r="K496">
        <v>1008</v>
      </c>
      <c r="L496">
        <v>121</v>
      </c>
      <c r="M496">
        <f>COUNTIF(H496:$H$2581,H496)</f>
        <v>1</v>
      </c>
    </row>
    <row r="497" spans="1:13" x14ac:dyDescent="0.2">
      <c r="A497">
        <v>437</v>
      </c>
      <c r="B497" t="s">
        <v>778</v>
      </c>
      <c r="C497" t="s">
        <v>3263</v>
      </c>
      <c r="D497" t="s">
        <v>54</v>
      </c>
      <c r="E497" t="s">
        <v>3264</v>
      </c>
      <c r="F497" t="s">
        <v>781</v>
      </c>
      <c r="G497" t="s">
        <v>3265</v>
      </c>
      <c r="H497" t="s">
        <v>6156</v>
      </c>
      <c r="I497" t="b">
        <v>0</v>
      </c>
      <c r="J497">
        <v>64</v>
      </c>
      <c r="K497">
        <v>438</v>
      </c>
      <c r="L497">
        <v>21</v>
      </c>
      <c r="M497">
        <f>COUNTIF(H497:$H$2581,H497)</f>
        <v>1</v>
      </c>
    </row>
    <row r="498" spans="1:13" x14ac:dyDescent="0.2">
      <c r="A498">
        <v>1365</v>
      </c>
      <c r="B498" t="s">
        <v>603</v>
      </c>
      <c r="C498" t="s">
        <v>3584</v>
      </c>
      <c r="D498" t="s">
        <v>13</v>
      </c>
      <c r="E498" t="s">
        <v>3585</v>
      </c>
      <c r="F498" t="s">
        <v>606</v>
      </c>
      <c r="G498" t="s">
        <v>3586</v>
      </c>
      <c r="H498" t="s">
        <v>6160</v>
      </c>
      <c r="I498" t="s">
        <v>24</v>
      </c>
      <c r="J498">
        <v>166</v>
      </c>
      <c r="K498">
        <v>1366</v>
      </c>
      <c r="L498">
        <v>39</v>
      </c>
      <c r="M498">
        <f>COUNTIF(H498:$H$2581,H498)</f>
        <v>12</v>
      </c>
    </row>
    <row r="499" spans="1:13" x14ac:dyDescent="0.2">
      <c r="A499">
        <v>1168</v>
      </c>
      <c r="B499" t="s">
        <v>429</v>
      </c>
      <c r="C499" t="s">
        <v>3726</v>
      </c>
      <c r="D499" t="s">
        <v>33</v>
      </c>
      <c r="E499" t="s">
        <v>3727</v>
      </c>
      <c r="F499" t="s">
        <v>432</v>
      </c>
      <c r="G499" t="s">
        <v>3728</v>
      </c>
      <c r="H499" t="s">
        <v>6197</v>
      </c>
      <c r="I499" t="b">
        <v>0</v>
      </c>
      <c r="J499">
        <v>143</v>
      </c>
      <c r="K499">
        <v>1169</v>
      </c>
      <c r="L499">
        <v>22</v>
      </c>
      <c r="M499">
        <f>COUNTIF(H499:$H$2581,H499)</f>
        <v>1</v>
      </c>
    </row>
    <row r="500" spans="1:13" x14ac:dyDescent="0.2">
      <c r="A500">
        <v>561</v>
      </c>
      <c r="B500" t="s">
        <v>2797</v>
      </c>
      <c r="C500" t="s">
        <v>4016</v>
      </c>
      <c r="D500" t="s">
        <v>13</v>
      </c>
      <c r="E500" t="s">
        <v>4017</v>
      </c>
      <c r="F500" t="s">
        <v>2800</v>
      </c>
      <c r="G500" t="s">
        <v>4018</v>
      </c>
      <c r="H500" t="s">
        <v>6201</v>
      </c>
      <c r="I500" t="s">
        <v>24</v>
      </c>
      <c r="J500">
        <v>84</v>
      </c>
      <c r="K500">
        <v>562</v>
      </c>
      <c r="L500">
        <v>23</v>
      </c>
      <c r="M500">
        <f>COUNTIF(H500:$H$2581,H500)</f>
        <v>2</v>
      </c>
    </row>
    <row r="501" spans="1:13" x14ac:dyDescent="0.2">
      <c r="A501">
        <v>100</v>
      </c>
      <c r="B501" t="s">
        <v>535</v>
      </c>
      <c r="C501" t="s">
        <v>4164</v>
      </c>
      <c r="D501" t="s">
        <v>13</v>
      </c>
      <c r="E501" t="s">
        <v>4165</v>
      </c>
      <c r="F501" t="s">
        <v>538</v>
      </c>
      <c r="G501" t="s">
        <v>4166</v>
      </c>
      <c r="H501" t="s">
        <v>6208</v>
      </c>
      <c r="I501" t="s">
        <v>24</v>
      </c>
      <c r="J501">
        <v>16</v>
      </c>
      <c r="K501">
        <v>101</v>
      </c>
      <c r="L501">
        <v>64</v>
      </c>
      <c r="M501">
        <f>COUNTIF(H501:$H$2581,H501)</f>
        <v>1</v>
      </c>
    </row>
    <row r="502" spans="1:13" x14ac:dyDescent="0.2">
      <c r="A502">
        <v>2092</v>
      </c>
      <c r="B502" t="s">
        <v>255</v>
      </c>
      <c r="C502" t="s">
        <v>4578</v>
      </c>
      <c r="D502" t="s">
        <v>13</v>
      </c>
      <c r="E502" t="s">
        <v>4579</v>
      </c>
      <c r="F502" t="s">
        <v>258</v>
      </c>
      <c r="G502" t="s">
        <v>4580</v>
      </c>
      <c r="H502" t="s">
        <v>6212</v>
      </c>
      <c r="I502" t="s">
        <v>24</v>
      </c>
      <c r="J502">
        <v>242</v>
      </c>
      <c r="K502">
        <v>2093</v>
      </c>
      <c r="L502">
        <v>4</v>
      </c>
      <c r="M502">
        <f>COUNTIF(H502:$H$2581,H502)</f>
        <v>1</v>
      </c>
    </row>
    <row r="503" spans="1:13" x14ac:dyDescent="0.2">
      <c r="A503">
        <v>861</v>
      </c>
      <c r="B503" t="s">
        <v>1091</v>
      </c>
      <c r="C503" t="s">
        <v>4978</v>
      </c>
      <c r="D503" t="s">
        <v>54</v>
      </c>
      <c r="E503" t="s">
        <v>4979</v>
      </c>
      <c r="F503" t="s">
        <v>1094</v>
      </c>
      <c r="G503" t="s">
        <v>4980</v>
      </c>
      <c r="H503" t="s">
        <v>6215</v>
      </c>
      <c r="I503" t="b">
        <v>1</v>
      </c>
      <c r="J503">
        <v>118</v>
      </c>
      <c r="K503">
        <v>862</v>
      </c>
      <c r="L503">
        <v>123</v>
      </c>
      <c r="M503">
        <f>COUNTIF(H503:$H$2581,H503)</f>
        <v>2</v>
      </c>
    </row>
    <row r="504" spans="1:13" x14ac:dyDescent="0.2">
      <c r="A504">
        <v>230</v>
      </c>
      <c r="B504" t="s">
        <v>1120</v>
      </c>
      <c r="C504" t="s">
        <v>5243</v>
      </c>
      <c r="D504" t="s">
        <v>13</v>
      </c>
      <c r="E504" t="s">
        <v>5244</v>
      </c>
      <c r="F504" s="1" t="s">
        <v>1123</v>
      </c>
      <c r="G504" t="s">
        <v>5245</v>
      </c>
      <c r="H504" t="s">
        <v>6222</v>
      </c>
      <c r="I504" t="b">
        <v>0</v>
      </c>
      <c r="J504">
        <v>40</v>
      </c>
      <c r="K504">
        <v>231</v>
      </c>
      <c r="L504">
        <v>35</v>
      </c>
      <c r="M504">
        <f>COUNTIF(H504:$H$2581,H504)</f>
        <v>1</v>
      </c>
    </row>
    <row r="505" spans="1:13" x14ac:dyDescent="0.2">
      <c r="A505">
        <v>1413</v>
      </c>
      <c r="B505" t="s">
        <v>1397</v>
      </c>
      <c r="C505" t="s">
        <v>5367</v>
      </c>
      <c r="D505" t="s">
        <v>13</v>
      </c>
      <c r="E505" t="s">
        <v>5368</v>
      </c>
      <c r="F505" t="s">
        <v>1400</v>
      </c>
      <c r="G505" t="s">
        <v>5369</v>
      </c>
      <c r="H505" t="s">
        <v>6226</v>
      </c>
      <c r="I505" t="b">
        <v>1</v>
      </c>
      <c r="J505">
        <v>169</v>
      </c>
      <c r="K505">
        <v>1414</v>
      </c>
      <c r="L505">
        <v>24</v>
      </c>
      <c r="M505">
        <f>COUNTIF(H505:$H$2581,H505)</f>
        <v>1</v>
      </c>
    </row>
    <row r="506" spans="1:13" x14ac:dyDescent="0.2">
      <c r="A506">
        <v>755</v>
      </c>
      <c r="B506" t="s">
        <v>1868</v>
      </c>
      <c r="C506" t="s">
        <v>5503</v>
      </c>
      <c r="D506" t="s">
        <v>13</v>
      </c>
      <c r="E506" t="s">
        <v>5504</v>
      </c>
      <c r="F506" t="s">
        <v>1871</v>
      </c>
      <c r="G506" t="s">
        <v>5505</v>
      </c>
      <c r="H506" t="s">
        <v>6230</v>
      </c>
      <c r="I506" t="s">
        <v>24</v>
      </c>
      <c r="J506">
        <v>107</v>
      </c>
      <c r="K506">
        <v>756</v>
      </c>
      <c r="L506">
        <v>13</v>
      </c>
      <c r="M506">
        <f>COUNTIF(H506:$H$2581,H506)</f>
        <v>1</v>
      </c>
    </row>
    <row r="507" spans="1:13" x14ac:dyDescent="0.2">
      <c r="A507">
        <v>836</v>
      </c>
      <c r="B507" t="s">
        <v>176</v>
      </c>
      <c r="C507" t="s">
        <v>5588</v>
      </c>
      <c r="D507" t="s">
        <v>13</v>
      </c>
      <c r="E507" t="s">
        <v>5589</v>
      </c>
      <c r="F507" t="s">
        <v>179</v>
      </c>
      <c r="G507" t="s">
        <v>5590</v>
      </c>
      <c r="H507" t="s">
        <v>6234</v>
      </c>
      <c r="I507" t="s">
        <v>24</v>
      </c>
      <c r="J507">
        <v>115</v>
      </c>
      <c r="K507">
        <v>837</v>
      </c>
      <c r="L507">
        <v>50</v>
      </c>
      <c r="M507">
        <f>COUNTIF(H507:$H$2581,H507)</f>
        <v>1</v>
      </c>
    </row>
    <row r="508" spans="1:13" x14ac:dyDescent="0.2">
      <c r="A508">
        <v>1469</v>
      </c>
      <c r="B508" t="s">
        <v>736</v>
      </c>
      <c r="C508" t="s">
        <v>5772</v>
      </c>
      <c r="D508" t="s">
        <v>13</v>
      </c>
      <c r="E508" s="1" t="s">
        <v>5773</v>
      </c>
      <c r="F508" t="s">
        <v>739</v>
      </c>
      <c r="G508" t="s">
        <v>5774</v>
      </c>
      <c r="H508" t="s">
        <v>6238</v>
      </c>
      <c r="I508" t="s">
        <v>24</v>
      </c>
      <c r="J508">
        <v>178</v>
      </c>
      <c r="K508">
        <v>1470</v>
      </c>
      <c r="L508">
        <v>25</v>
      </c>
      <c r="M508">
        <f>COUNTIF(H508:$H$2581,H508)</f>
        <v>3</v>
      </c>
    </row>
    <row r="509" spans="1:13" x14ac:dyDescent="0.2">
      <c r="A509">
        <v>1531</v>
      </c>
      <c r="B509" t="s">
        <v>715</v>
      </c>
      <c r="C509" t="s">
        <v>5931</v>
      </c>
      <c r="D509" t="s">
        <v>13</v>
      </c>
      <c r="E509" t="s">
        <v>5932</v>
      </c>
      <c r="F509" t="s">
        <v>718</v>
      </c>
      <c r="G509" t="s">
        <v>5933</v>
      </c>
      <c r="H509" t="s">
        <v>6248</v>
      </c>
      <c r="I509" t="s">
        <v>24</v>
      </c>
      <c r="J509">
        <v>186</v>
      </c>
      <c r="K509">
        <v>1532</v>
      </c>
      <c r="L509">
        <v>124</v>
      </c>
      <c r="M509">
        <f>COUNTIF(H509:$H$2581,H509)</f>
        <v>30</v>
      </c>
    </row>
    <row r="510" spans="1:13" x14ac:dyDescent="0.2">
      <c r="A510">
        <v>212</v>
      </c>
      <c r="B510" t="s">
        <v>88</v>
      </c>
      <c r="C510" t="s">
        <v>6281</v>
      </c>
      <c r="D510" t="s">
        <v>13</v>
      </c>
      <c r="E510" t="s">
        <v>6282</v>
      </c>
      <c r="F510" t="s">
        <v>91</v>
      </c>
      <c r="G510" t="s">
        <v>6283</v>
      </c>
      <c r="H510" t="s">
        <v>6335</v>
      </c>
      <c r="I510" t="s">
        <v>24</v>
      </c>
      <c r="J510">
        <v>37</v>
      </c>
      <c r="K510">
        <v>213</v>
      </c>
      <c r="L510">
        <v>9</v>
      </c>
      <c r="M510">
        <f>COUNTIF(H510:$H$2581,H510)</f>
        <v>1</v>
      </c>
    </row>
    <row r="511" spans="1:13" x14ac:dyDescent="0.2">
      <c r="A511">
        <v>473</v>
      </c>
      <c r="B511" t="s">
        <v>928</v>
      </c>
      <c r="C511" t="s">
        <v>6382</v>
      </c>
      <c r="D511" t="s">
        <v>33</v>
      </c>
      <c r="E511" t="s">
        <v>6383</v>
      </c>
      <c r="F511" t="s">
        <v>931</v>
      </c>
      <c r="G511" t="s">
        <v>6384</v>
      </c>
      <c r="H511" t="s">
        <v>6339</v>
      </c>
      <c r="I511" t="b">
        <v>0</v>
      </c>
      <c r="J511">
        <v>67</v>
      </c>
      <c r="K511">
        <v>474</v>
      </c>
      <c r="L511">
        <v>161</v>
      </c>
      <c r="M511">
        <f>COUNTIF(H511:$H$2581,H511)</f>
        <v>1</v>
      </c>
    </row>
    <row r="512" spans="1:13" x14ac:dyDescent="0.2">
      <c r="A512">
        <v>1662</v>
      </c>
      <c r="B512" t="s">
        <v>287</v>
      </c>
      <c r="C512" t="s">
        <v>6612</v>
      </c>
      <c r="D512" t="s">
        <v>13</v>
      </c>
      <c r="E512" t="s">
        <v>6613</v>
      </c>
      <c r="F512" t="s">
        <v>290</v>
      </c>
      <c r="G512" t="s">
        <v>6614</v>
      </c>
      <c r="H512" t="s">
        <v>6343</v>
      </c>
      <c r="I512" t="b">
        <v>0</v>
      </c>
      <c r="J512">
        <v>200</v>
      </c>
      <c r="K512">
        <v>1663</v>
      </c>
      <c r="L512">
        <v>7</v>
      </c>
      <c r="M512">
        <f>COUNTIF(H512:$H$2581,H512)</f>
        <v>3</v>
      </c>
    </row>
    <row r="513" spans="1:13" x14ac:dyDescent="0.2">
      <c r="A513">
        <v>1190</v>
      </c>
      <c r="B513" t="s">
        <v>1054</v>
      </c>
      <c r="C513" t="s">
        <v>6859</v>
      </c>
      <c r="D513" t="s">
        <v>54</v>
      </c>
      <c r="E513" t="s">
        <v>6860</v>
      </c>
      <c r="F513" t="s">
        <v>1057</v>
      </c>
      <c r="G513" t="s">
        <v>6861</v>
      </c>
      <c r="H513" t="s">
        <v>6353</v>
      </c>
      <c r="I513" t="s">
        <v>24</v>
      </c>
      <c r="J513">
        <v>145</v>
      </c>
      <c r="K513">
        <v>1191</v>
      </c>
      <c r="L513">
        <v>125</v>
      </c>
      <c r="M513">
        <f>COUNTIF(H513:$H$2581,H513)</f>
        <v>1</v>
      </c>
    </row>
    <row r="514" spans="1:13" x14ac:dyDescent="0.2">
      <c r="A514">
        <v>1113</v>
      </c>
      <c r="B514" t="s">
        <v>1103</v>
      </c>
      <c r="C514" t="s">
        <v>7070</v>
      </c>
      <c r="D514" t="s">
        <v>54</v>
      </c>
      <c r="E514" t="s">
        <v>7071</v>
      </c>
      <c r="F514" t="s">
        <v>1106</v>
      </c>
      <c r="G514" t="s">
        <v>7072</v>
      </c>
      <c r="H514" t="s">
        <v>6357</v>
      </c>
      <c r="I514" t="s">
        <v>24</v>
      </c>
      <c r="J514">
        <v>134</v>
      </c>
      <c r="K514">
        <v>1114</v>
      </c>
      <c r="L514">
        <v>14</v>
      </c>
      <c r="M514">
        <f>COUNTIF(H514:$H$2581,H514)</f>
        <v>1</v>
      </c>
    </row>
    <row r="515" spans="1:13" x14ac:dyDescent="0.2">
      <c r="A515">
        <v>1594</v>
      </c>
      <c r="B515" t="s">
        <v>211</v>
      </c>
      <c r="C515" t="s">
        <v>7804</v>
      </c>
      <c r="D515" t="s">
        <v>13</v>
      </c>
      <c r="E515" t="s">
        <v>7805</v>
      </c>
      <c r="F515" t="s">
        <v>214</v>
      </c>
      <c r="G515" t="s">
        <v>7806</v>
      </c>
      <c r="H515" t="s">
        <v>6361</v>
      </c>
      <c r="I515" t="s">
        <v>24</v>
      </c>
      <c r="J515">
        <v>195</v>
      </c>
      <c r="K515">
        <v>1595</v>
      </c>
      <c r="L515">
        <v>27</v>
      </c>
      <c r="M515">
        <f>COUNTIF(H515:$H$2581,H515)</f>
        <v>2</v>
      </c>
    </row>
    <row r="516" spans="1:13" x14ac:dyDescent="0.2">
      <c r="A516">
        <v>1197</v>
      </c>
      <c r="B516" t="s">
        <v>2485</v>
      </c>
      <c r="C516" t="s">
        <v>8186</v>
      </c>
      <c r="D516" t="s">
        <v>33</v>
      </c>
      <c r="E516" t="s">
        <v>8187</v>
      </c>
      <c r="F516" t="s">
        <v>2488</v>
      </c>
      <c r="G516" t="s">
        <v>8188</v>
      </c>
      <c r="H516" t="s">
        <v>6368</v>
      </c>
      <c r="I516" t="b">
        <v>0</v>
      </c>
      <c r="J516">
        <v>146</v>
      </c>
      <c r="K516">
        <v>1198</v>
      </c>
      <c r="L516">
        <v>30</v>
      </c>
      <c r="M516">
        <f>COUNTIF(H516:$H$2581,H516)</f>
        <v>4</v>
      </c>
    </row>
    <row r="517" spans="1:13" x14ac:dyDescent="0.2">
      <c r="A517">
        <v>493</v>
      </c>
      <c r="B517" t="s">
        <v>182</v>
      </c>
      <c r="C517" t="s">
        <v>8556</v>
      </c>
      <c r="D517" t="s">
        <v>13</v>
      </c>
      <c r="E517" t="s">
        <v>8557</v>
      </c>
      <c r="F517" t="s">
        <v>185</v>
      </c>
      <c r="G517" t="s">
        <v>8558</v>
      </c>
      <c r="H517" t="s">
        <v>6381</v>
      </c>
      <c r="I517" t="b">
        <v>1</v>
      </c>
      <c r="J517">
        <v>69</v>
      </c>
      <c r="K517">
        <v>494</v>
      </c>
      <c r="L517">
        <v>56</v>
      </c>
      <c r="M517">
        <f>COUNTIF(H517:$H$2581,H517)</f>
        <v>20</v>
      </c>
    </row>
    <row r="518" spans="1:13" x14ac:dyDescent="0.2">
      <c r="A518">
        <v>1646</v>
      </c>
      <c r="B518" t="s">
        <v>720</v>
      </c>
      <c r="C518" t="s">
        <v>8753</v>
      </c>
      <c r="D518" t="s">
        <v>54</v>
      </c>
      <c r="E518" t="s">
        <v>8754</v>
      </c>
      <c r="F518" t="s">
        <v>723</v>
      </c>
      <c r="G518" t="s">
        <v>8755</v>
      </c>
      <c r="H518" t="s">
        <v>6444</v>
      </c>
      <c r="I518" t="b">
        <v>1</v>
      </c>
      <c r="J518">
        <v>197</v>
      </c>
      <c r="K518">
        <v>1647</v>
      </c>
      <c r="L518">
        <v>31</v>
      </c>
      <c r="M518">
        <f>COUNTIF(H518:$H$2581,H518)</f>
        <v>2</v>
      </c>
    </row>
    <row r="519" spans="1:13" x14ac:dyDescent="0.2">
      <c r="A519">
        <v>775</v>
      </c>
      <c r="B519" t="s">
        <v>111</v>
      </c>
      <c r="C519" t="s">
        <v>112</v>
      </c>
      <c r="D519" t="s">
        <v>33</v>
      </c>
      <c r="E519" t="s">
        <v>113</v>
      </c>
      <c r="F519" t="s">
        <v>114</v>
      </c>
      <c r="G519" t="s">
        <v>115</v>
      </c>
      <c r="H519" t="s">
        <v>6451</v>
      </c>
      <c r="I519" t="s">
        <v>24</v>
      </c>
      <c r="J519">
        <v>110</v>
      </c>
      <c r="K519">
        <v>776</v>
      </c>
      <c r="L519">
        <v>45</v>
      </c>
      <c r="M519">
        <f>COUNTIF(H519:$H$2581,H519)</f>
        <v>1</v>
      </c>
    </row>
    <row r="520" spans="1:13" x14ac:dyDescent="0.2">
      <c r="A520">
        <v>545</v>
      </c>
      <c r="B520" t="s">
        <v>103</v>
      </c>
      <c r="C520" t="s">
        <v>327</v>
      </c>
      <c r="D520" t="s">
        <v>54</v>
      </c>
      <c r="E520" t="s">
        <v>367</v>
      </c>
      <c r="F520" t="s">
        <v>105</v>
      </c>
      <c r="G520" t="s">
        <v>329</v>
      </c>
      <c r="H520" t="s">
        <v>6455</v>
      </c>
      <c r="I520" t="b">
        <v>0</v>
      </c>
      <c r="J520">
        <v>81</v>
      </c>
      <c r="K520">
        <v>546</v>
      </c>
      <c r="L520">
        <v>1</v>
      </c>
      <c r="M520">
        <f>COUNTIF(H520:$H$2581,H520)</f>
        <v>4</v>
      </c>
    </row>
    <row r="521" spans="1:13" x14ac:dyDescent="0.2">
      <c r="A521">
        <v>1563</v>
      </c>
      <c r="B521" t="s">
        <v>519</v>
      </c>
      <c r="C521" t="s">
        <v>1278</v>
      </c>
      <c r="D521" t="s">
        <v>33</v>
      </c>
      <c r="E521" t="s">
        <v>1279</v>
      </c>
      <c r="F521" t="s">
        <v>522</v>
      </c>
      <c r="G521" t="s">
        <v>1280</v>
      </c>
      <c r="H521" t="s">
        <v>6468</v>
      </c>
      <c r="I521" t="b">
        <v>0</v>
      </c>
      <c r="J521">
        <v>191</v>
      </c>
      <c r="K521">
        <v>1564</v>
      </c>
      <c r="L521">
        <v>157</v>
      </c>
      <c r="M521">
        <f>COUNTIF(H521:$H$2581,H521)</f>
        <v>1</v>
      </c>
    </row>
    <row r="522" spans="1:13" x14ac:dyDescent="0.2">
      <c r="A522">
        <v>947</v>
      </c>
      <c r="B522" t="s">
        <v>203</v>
      </c>
      <c r="C522" t="s">
        <v>1758</v>
      </c>
      <c r="D522" t="s">
        <v>54</v>
      </c>
      <c r="E522" t="s">
        <v>1759</v>
      </c>
      <c r="F522" t="s">
        <v>206</v>
      </c>
      <c r="G522" t="s">
        <v>1760</v>
      </c>
      <c r="H522" t="s">
        <v>6472</v>
      </c>
      <c r="I522" t="b">
        <v>1</v>
      </c>
      <c r="J522">
        <v>123</v>
      </c>
      <c r="K522">
        <v>948</v>
      </c>
      <c r="L522">
        <v>84</v>
      </c>
      <c r="M522">
        <f>COUNTIF(H522:$H$2581,H522)</f>
        <v>2</v>
      </c>
    </row>
    <row r="523" spans="1:13" x14ac:dyDescent="0.2">
      <c r="A523">
        <v>1851</v>
      </c>
      <c r="B523" t="s">
        <v>631</v>
      </c>
      <c r="C523" t="s">
        <v>1943</v>
      </c>
      <c r="D523" t="s">
        <v>13</v>
      </c>
      <c r="E523" t="s">
        <v>1944</v>
      </c>
      <c r="F523" t="s">
        <v>634</v>
      </c>
      <c r="G523" t="s">
        <v>1945</v>
      </c>
      <c r="H523" t="s">
        <v>6479</v>
      </c>
      <c r="I523" t="s">
        <v>24</v>
      </c>
      <c r="J523">
        <v>215</v>
      </c>
      <c r="K523">
        <v>1852</v>
      </c>
      <c r="L523">
        <v>10</v>
      </c>
      <c r="M523">
        <f>COUNTIF(H523:$H$2581,H523)</f>
        <v>1</v>
      </c>
    </row>
    <row r="524" spans="1:13" x14ac:dyDescent="0.2">
      <c r="A524">
        <v>1264</v>
      </c>
      <c r="B524" t="s">
        <v>1085</v>
      </c>
      <c r="C524" t="s">
        <v>2363</v>
      </c>
      <c r="D524" t="s">
        <v>13</v>
      </c>
      <c r="E524" t="s">
        <v>2364</v>
      </c>
      <c r="F524" t="s">
        <v>1088</v>
      </c>
      <c r="G524" t="s">
        <v>2365</v>
      </c>
      <c r="H524" t="s">
        <v>6482</v>
      </c>
      <c r="I524" t="s">
        <v>24</v>
      </c>
      <c r="J524">
        <v>156</v>
      </c>
      <c r="K524">
        <v>1265</v>
      </c>
      <c r="L524">
        <v>121</v>
      </c>
      <c r="M524">
        <f>COUNTIF(H524:$H$2581,H524)</f>
        <v>63</v>
      </c>
    </row>
    <row r="525" spans="1:13" x14ac:dyDescent="0.2">
      <c r="A525">
        <v>484</v>
      </c>
      <c r="B525" t="s">
        <v>182</v>
      </c>
      <c r="C525" t="s">
        <v>3266</v>
      </c>
      <c r="D525" t="s">
        <v>13</v>
      </c>
      <c r="E525" t="s">
        <v>3267</v>
      </c>
      <c r="F525" t="s">
        <v>185</v>
      </c>
      <c r="G525" t="s">
        <v>3268</v>
      </c>
      <c r="H525" t="s">
        <v>6671</v>
      </c>
      <c r="I525" t="b">
        <v>1</v>
      </c>
      <c r="J525">
        <v>69</v>
      </c>
      <c r="K525">
        <v>485</v>
      </c>
      <c r="L525">
        <v>21</v>
      </c>
      <c r="M525">
        <f>COUNTIF(H525:$H$2581,H525)</f>
        <v>1</v>
      </c>
    </row>
    <row r="526" spans="1:13" x14ac:dyDescent="0.2">
      <c r="A526">
        <v>1472</v>
      </c>
      <c r="B526" t="s">
        <v>3587</v>
      </c>
      <c r="C526" t="s">
        <v>3588</v>
      </c>
      <c r="D526" t="s">
        <v>13</v>
      </c>
      <c r="E526" t="s">
        <v>3589</v>
      </c>
      <c r="F526" t="s">
        <v>3590</v>
      </c>
      <c r="G526" t="s">
        <v>3591</v>
      </c>
      <c r="H526" t="s">
        <v>6675</v>
      </c>
      <c r="I526" t="s">
        <v>24</v>
      </c>
      <c r="J526">
        <v>179</v>
      </c>
      <c r="K526">
        <v>1473</v>
      </c>
      <c r="L526">
        <v>39</v>
      </c>
      <c r="M526">
        <f>COUNTIF(H526:$H$2581,H526)</f>
        <v>1</v>
      </c>
    </row>
    <row r="527" spans="1:13" x14ac:dyDescent="0.2">
      <c r="A527">
        <v>1204</v>
      </c>
      <c r="B527" t="s">
        <v>1509</v>
      </c>
      <c r="C527" t="s">
        <v>3729</v>
      </c>
      <c r="D527" t="s">
        <v>13</v>
      </c>
      <c r="E527" t="s">
        <v>3730</v>
      </c>
      <c r="F527" t="s">
        <v>1512</v>
      </c>
      <c r="G527" t="s">
        <v>3731</v>
      </c>
      <c r="H527" t="s">
        <v>6679</v>
      </c>
      <c r="I527" t="b">
        <v>1</v>
      </c>
      <c r="J527">
        <v>147</v>
      </c>
      <c r="K527">
        <v>1205</v>
      </c>
      <c r="L527">
        <v>22</v>
      </c>
      <c r="M527">
        <f>COUNTIF(H527:$H$2581,H527)</f>
        <v>1</v>
      </c>
    </row>
    <row r="528" spans="1:13" x14ac:dyDescent="0.2">
      <c r="A528">
        <v>876</v>
      </c>
      <c r="B528" t="s">
        <v>1192</v>
      </c>
      <c r="C528" t="s">
        <v>4019</v>
      </c>
      <c r="D528" t="s">
        <v>54</v>
      </c>
      <c r="E528" t="s">
        <v>4020</v>
      </c>
      <c r="F528" t="s">
        <v>1195</v>
      </c>
      <c r="G528" t="s">
        <v>4021</v>
      </c>
      <c r="H528" t="s">
        <v>6683</v>
      </c>
      <c r="I528" t="s">
        <v>24</v>
      </c>
      <c r="J528">
        <v>119</v>
      </c>
      <c r="K528">
        <v>877</v>
      </c>
      <c r="L528">
        <v>23</v>
      </c>
      <c r="M528">
        <f>COUNTIF(H528:$H$2581,H528)</f>
        <v>1</v>
      </c>
    </row>
    <row r="529" spans="1:13" x14ac:dyDescent="0.2">
      <c r="A529">
        <v>102</v>
      </c>
      <c r="B529" t="s">
        <v>3217</v>
      </c>
      <c r="C529" t="s">
        <v>4167</v>
      </c>
      <c r="D529" t="s">
        <v>13</v>
      </c>
      <c r="E529" t="s">
        <v>4168</v>
      </c>
      <c r="F529" t="s">
        <v>3220</v>
      </c>
      <c r="G529" t="s">
        <v>4169</v>
      </c>
      <c r="H529" t="s">
        <v>6687</v>
      </c>
      <c r="I529" t="b">
        <v>0</v>
      </c>
      <c r="J529">
        <v>17</v>
      </c>
      <c r="K529">
        <v>103</v>
      </c>
      <c r="L529">
        <v>64</v>
      </c>
      <c r="M529">
        <f>COUNTIF(H529:$H$2581,H529)</f>
        <v>2</v>
      </c>
    </row>
    <row r="530" spans="1:13" x14ac:dyDescent="0.2">
      <c r="A530">
        <v>2164</v>
      </c>
      <c r="B530" t="s">
        <v>471</v>
      </c>
      <c r="C530" t="s">
        <v>4581</v>
      </c>
      <c r="D530" t="s">
        <v>13</v>
      </c>
      <c r="E530" t="s">
        <v>4582</v>
      </c>
      <c r="F530" t="s">
        <v>474</v>
      </c>
      <c r="G530" t="s">
        <v>4583</v>
      </c>
      <c r="H530" t="s">
        <v>6694</v>
      </c>
      <c r="I530" t="s">
        <v>24</v>
      </c>
      <c r="J530">
        <v>253</v>
      </c>
      <c r="K530">
        <v>2165</v>
      </c>
      <c r="L530">
        <v>4</v>
      </c>
      <c r="M530">
        <f>COUNTIF(H530:$H$2581,H530)</f>
        <v>1</v>
      </c>
    </row>
    <row r="531" spans="1:13" x14ac:dyDescent="0.2">
      <c r="A531">
        <v>896</v>
      </c>
      <c r="B531" t="s">
        <v>198</v>
      </c>
      <c r="C531" t="s">
        <v>4981</v>
      </c>
      <c r="D531" t="s">
        <v>54</v>
      </c>
      <c r="E531" t="s">
        <v>4982</v>
      </c>
      <c r="F531" t="s">
        <v>201</v>
      </c>
      <c r="G531" t="s">
        <v>4983</v>
      </c>
      <c r="H531" t="s">
        <v>6698</v>
      </c>
      <c r="I531" t="b">
        <v>0</v>
      </c>
      <c r="J531">
        <v>120</v>
      </c>
      <c r="K531">
        <v>897</v>
      </c>
      <c r="L531">
        <v>123</v>
      </c>
      <c r="M531">
        <f>COUNTIF(H531:$H$2581,H531)</f>
        <v>3</v>
      </c>
    </row>
    <row r="532" spans="1:13" x14ac:dyDescent="0.2">
      <c r="A532">
        <v>260</v>
      </c>
      <c r="B532" t="s">
        <v>1503</v>
      </c>
      <c r="C532" t="s">
        <v>5246</v>
      </c>
      <c r="D532" t="s">
        <v>33</v>
      </c>
      <c r="E532" t="s">
        <v>5247</v>
      </c>
      <c r="F532" t="s">
        <v>1506</v>
      </c>
      <c r="G532" t="s">
        <v>5248</v>
      </c>
      <c r="H532" t="s">
        <v>6708</v>
      </c>
      <c r="I532" t="b">
        <v>0</v>
      </c>
      <c r="J532">
        <v>42</v>
      </c>
      <c r="K532">
        <v>261</v>
      </c>
      <c r="L532">
        <v>35</v>
      </c>
      <c r="M532">
        <f>COUNTIF(H532:$H$2581,H532)</f>
        <v>6</v>
      </c>
    </row>
    <row r="533" spans="1:13" x14ac:dyDescent="0.2">
      <c r="A533">
        <v>1484</v>
      </c>
      <c r="B533" t="s">
        <v>1773</v>
      </c>
      <c r="C533" t="s">
        <v>5370</v>
      </c>
      <c r="D533" t="s">
        <v>33</v>
      </c>
      <c r="E533" t="s">
        <v>5371</v>
      </c>
      <c r="F533" t="s">
        <v>1776</v>
      </c>
      <c r="G533" t="s">
        <v>5372</v>
      </c>
      <c r="H533" t="s">
        <v>6727</v>
      </c>
      <c r="I533" t="b">
        <v>0</v>
      </c>
      <c r="J533">
        <v>180</v>
      </c>
      <c r="K533">
        <v>1485</v>
      </c>
      <c r="L533">
        <v>24</v>
      </c>
      <c r="M533">
        <f>COUNTIF(H533:$H$2581,H533)</f>
        <v>1</v>
      </c>
    </row>
    <row r="534" spans="1:13" x14ac:dyDescent="0.2">
      <c r="A534">
        <v>823</v>
      </c>
      <c r="B534" t="s">
        <v>594</v>
      </c>
      <c r="C534" t="s">
        <v>5506</v>
      </c>
      <c r="D534" t="s">
        <v>54</v>
      </c>
      <c r="E534" t="s">
        <v>5507</v>
      </c>
      <c r="F534" t="s">
        <v>597</v>
      </c>
      <c r="G534" t="s">
        <v>5508</v>
      </c>
      <c r="H534" t="s">
        <v>6731</v>
      </c>
      <c r="I534" t="b">
        <v>1</v>
      </c>
      <c r="J534">
        <v>114</v>
      </c>
      <c r="K534">
        <v>824</v>
      </c>
      <c r="L534">
        <v>13</v>
      </c>
      <c r="M534">
        <f>COUNTIF(H534:$H$2581,H534)</f>
        <v>1</v>
      </c>
    </row>
    <row r="535" spans="1:13" x14ac:dyDescent="0.2">
      <c r="A535">
        <v>845</v>
      </c>
      <c r="B535" t="s">
        <v>3157</v>
      </c>
      <c r="C535" t="s">
        <v>5591</v>
      </c>
      <c r="D535" t="s">
        <v>54</v>
      </c>
      <c r="E535" t="s">
        <v>5592</v>
      </c>
      <c r="F535" t="s">
        <v>3160</v>
      </c>
      <c r="G535" t="s">
        <v>5593</v>
      </c>
      <c r="H535" t="s">
        <v>6735</v>
      </c>
      <c r="I535" t="s">
        <v>24</v>
      </c>
      <c r="J535">
        <v>116</v>
      </c>
      <c r="K535">
        <v>846</v>
      </c>
      <c r="L535">
        <v>50</v>
      </c>
      <c r="M535">
        <f>COUNTIF(H535:$H$2581,H535)</f>
        <v>2</v>
      </c>
    </row>
    <row r="536" spans="1:13" x14ac:dyDescent="0.2">
      <c r="A536">
        <v>1486</v>
      </c>
      <c r="B536" t="s">
        <v>1773</v>
      </c>
      <c r="C536" t="s">
        <v>5775</v>
      </c>
      <c r="D536" t="s">
        <v>33</v>
      </c>
      <c r="E536" t="s">
        <v>5776</v>
      </c>
      <c r="F536" t="s">
        <v>1776</v>
      </c>
      <c r="G536" t="s">
        <v>5777</v>
      </c>
      <c r="H536" t="s">
        <v>6742</v>
      </c>
      <c r="I536" t="b">
        <v>0</v>
      </c>
      <c r="J536">
        <v>180</v>
      </c>
      <c r="K536">
        <v>1487</v>
      </c>
      <c r="L536">
        <v>25</v>
      </c>
      <c r="M536">
        <f>COUNTIF(H536:$H$2581,H536)</f>
        <v>1</v>
      </c>
    </row>
    <row r="537" spans="1:13" x14ac:dyDescent="0.2">
      <c r="A537">
        <v>1554</v>
      </c>
      <c r="B537" t="s">
        <v>4488</v>
      </c>
      <c r="C537" t="s">
        <v>5934</v>
      </c>
      <c r="D537" t="s">
        <v>13</v>
      </c>
      <c r="E537" t="s">
        <v>5935</v>
      </c>
      <c r="F537" t="s">
        <v>4491</v>
      </c>
      <c r="G537" t="s">
        <v>5936</v>
      </c>
      <c r="H537" t="s">
        <v>6746</v>
      </c>
      <c r="I537" t="b">
        <v>0</v>
      </c>
      <c r="J537">
        <v>189</v>
      </c>
      <c r="K537">
        <v>1555</v>
      </c>
      <c r="L537">
        <v>124</v>
      </c>
      <c r="M537">
        <f>COUNTIF(H537:$H$2581,H537)</f>
        <v>1</v>
      </c>
    </row>
    <row r="538" spans="1:13" x14ac:dyDescent="0.2">
      <c r="A538">
        <v>215</v>
      </c>
      <c r="B538" t="s">
        <v>6284</v>
      </c>
      <c r="C538" t="s">
        <v>6268</v>
      </c>
      <c r="D538" t="s">
        <v>13</v>
      </c>
      <c r="E538" t="s">
        <v>6285</v>
      </c>
      <c r="F538" t="s">
        <v>6286</v>
      </c>
      <c r="G538" t="s">
        <v>6271</v>
      </c>
      <c r="H538" t="s">
        <v>6750</v>
      </c>
      <c r="I538" t="b">
        <v>1</v>
      </c>
      <c r="J538">
        <v>39</v>
      </c>
      <c r="K538">
        <v>216</v>
      </c>
      <c r="L538">
        <v>9</v>
      </c>
      <c r="M538">
        <f>COUNTIF(H538:$H$2581,H538)</f>
        <v>3</v>
      </c>
    </row>
    <row r="539" spans="1:13" x14ac:dyDescent="0.2">
      <c r="A539">
        <v>515</v>
      </c>
      <c r="B539" t="s">
        <v>486</v>
      </c>
      <c r="C539" t="s">
        <v>6385</v>
      </c>
      <c r="D539" t="s">
        <v>13</v>
      </c>
      <c r="E539" t="s">
        <v>6386</v>
      </c>
      <c r="F539" t="s">
        <v>489</v>
      </c>
      <c r="G539" t="s">
        <v>6387</v>
      </c>
      <c r="H539" t="s">
        <v>6760</v>
      </c>
      <c r="I539" t="b">
        <v>0</v>
      </c>
      <c r="J539">
        <v>74</v>
      </c>
      <c r="K539">
        <v>516</v>
      </c>
      <c r="L539">
        <v>161</v>
      </c>
      <c r="M539">
        <f>COUNTIF(H539:$H$2581,H539)</f>
        <v>1</v>
      </c>
    </row>
    <row r="540" spans="1:13" x14ac:dyDescent="0.2">
      <c r="A540">
        <v>1777</v>
      </c>
      <c r="B540" t="s">
        <v>216</v>
      </c>
      <c r="C540" t="s">
        <v>6615</v>
      </c>
      <c r="D540" t="s">
        <v>13</v>
      </c>
      <c r="E540" t="s">
        <v>6616</v>
      </c>
      <c r="F540" t="s">
        <v>219</v>
      </c>
      <c r="G540" t="s">
        <v>6617</v>
      </c>
      <c r="H540" t="s">
        <v>6764</v>
      </c>
      <c r="I540" t="b">
        <v>1</v>
      </c>
      <c r="J540">
        <v>209</v>
      </c>
      <c r="K540">
        <v>1778</v>
      </c>
      <c r="L540">
        <v>7</v>
      </c>
      <c r="M540">
        <f>COUNTIF(H540:$H$2581,H540)</f>
        <v>17</v>
      </c>
    </row>
    <row r="541" spans="1:13" x14ac:dyDescent="0.2">
      <c r="A541">
        <v>1196</v>
      </c>
      <c r="B541" t="s">
        <v>2485</v>
      </c>
      <c r="C541" t="s">
        <v>6862</v>
      </c>
      <c r="D541" t="s">
        <v>13</v>
      </c>
      <c r="E541" t="s">
        <v>6863</v>
      </c>
      <c r="F541" t="s">
        <v>2488</v>
      </c>
      <c r="G541" t="s">
        <v>6864</v>
      </c>
      <c r="H541" t="s">
        <v>6816</v>
      </c>
      <c r="I541" t="b">
        <v>0</v>
      </c>
      <c r="J541">
        <v>146</v>
      </c>
      <c r="K541">
        <v>1197</v>
      </c>
      <c r="L541">
        <v>125</v>
      </c>
      <c r="M541">
        <f>COUNTIF(H541:$H$2581,H541)</f>
        <v>1</v>
      </c>
    </row>
    <row r="542" spans="1:13" x14ac:dyDescent="0.2">
      <c r="A542">
        <v>1403</v>
      </c>
      <c r="B542" t="s">
        <v>170</v>
      </c>
      <c r="C542" t="s">
        <v>7073</v>
      </c>
      <c r="D542" t="s">
        <v>13</v>
      </c>
      <c r="E542" t="s">
        <v>7074</v>
      </c>
      <c r="F542" t="s">
        <v>173</v>
      </c>
      <c r="G542" t="s">
        <v>7075</v>
      </c>
      <c r="H542" t="s">
        <v>6820</v>
      </c>
      <c r="I542" t="b">
        <v>1</v>
      </c>
      <c r="J542">
        <v>168</v>
      </c>
      <c r="K542">
        <v>1404</v>
      </c>
      <c r="L542">
        <v>14</v>
      </c>
      <c r="M542">
        <f>COUNTIF(H542:$H$2581,H542)</f>
        <v>2</v>
      </c>
    </row>
    <row r="543" spans="1:13" x14ac:dyDescent="0.2">
      <c r="A543">
        <v>1672</v>
      </c>
      <c r="B543" t="s">
        <v>1059</v>
      </c>
      <c r="C543" t="s">
        <v>7807</v>
      </c>
      <c r="D543" t="s">
        <v>54</v>
      </c>
      <c r="E543" t="s">
        <v>7808</v>
      </c>
      <c r="F543" t="s">
        <v>1062</v>
      </c>
      <c r="G543" t="s">
        <v>7809</v>
      </c>
      <c r="H543" t="s">
        <v>6827</v>
      </c>
      <c r="I543" t="b">
        <v>1</v>
      </c>
      <c r="J543">
        <v>201</v>
      </c>
      <c r="K543">
        <v>1673</v>
      </c>
      <c r="L543">
        <v>27</v>
      </c>
      <c r="M543">
        <f>COUNTIF(H543:$H$2581,H543)</f>
        <v>1</v>
      </c>
    </row>
    <row r="544" spans="1:13" x14ac:dyDescent="0.2">
      <c r="A544">
        <v>1345</v>
      </c>
      <c r="B544" t="s">
        <v>2235</v>
      </c>
      <c r="C544" t="s">
        <v>8189</v>
      </c>
      <c r="D544" t="s">
        <v>33</v>
      </c>
      <c r="E544" t="s">
        <v>8190</v>
      </c>
      <c r="F544" t="s">
        <v>2238</v>
      </c>
      <c r="G544" t="s">
        <v>8191</v>
      </c>
      <c r="H544" t="s">
        <v>6831</v>
      </c>
      <c r="I544" t="b">
        <v>0</v>
      </c>
      <c r="J544">
        <v>163</v>
      </c>
      <c r="K544">
        <v>1346</v>
      </c>
      <c r="L544">
        <v>30</v>
      </c>
      <c r="M544">
        <f>COUNTIF(H544:$H$2581,H544)</f>
        <v>1</v>
      </c>
    </row>
    <row r="545" spans="1:13" x14ac:dyDescent="0.2">
      <c r="A545">
        <v>574</v>
      </c>
      <c r="B545" t="s">
        <v>2797</v>
      </c>
      <c r="C545" t="s">
        <v>8559</v>
      </c>
      <c r="D545" t="s">
        <v>33</v>
      </c>
      <c r="E545" t="s">
        <v>8560</v>
      </c>
      <c r="F545" t="s">
        <v>2800</v>
      </c>
      <c r="G545" t="s">
        <v>8561</v>
      </c>
      <c r="H545" t="s">
        <v>6835</v>
      </c>
      <c r="I545" t="s">
        <v>24</v>
      </c>
      <c r="J545">
        <v>84</v>
      </c>
      <c r="K545">
        <v>575</v>
      </c>
      <c r="L545">
        <v>56</v>
      </c>
      <c r="M545">
        <f>COUNTIF(H545:$H$2581,H545)</f>
        <v>28</v>
      </c>
    </row>
    <row r="546" spans="1:13" x14ac:dyDescent="0.2">
      <c r="A546">
        <v>1647</v>
      </c>
      <c r="B546" t="s">
        <v>720</v>
      </c>
      <c r="C546" t="s">
        <v>8756</v>
      </c>
      <c r="D546" t="s">
        <v>33</v>
      </c>
      <c r="E546" t="s">
        <v>8757</v>
      </c>
      <c r="F546" t="s">
        <v>723</v>
      </c>
      <c r="G546" t="s">
        <v>8758</v>
      </c>
      <c r="H546" t="s">
        <v>6918</v>
      </c>
      <c r="I546" t="b">
        <v>1</v>
      </c>
      <c r="J546">
        <v>197</v>
      </c>
      <c r="K546">
        <v>1648</v>
      </c>
      <c r="L546">
        <v>31</v>
      </c>
      <c r="M546">
        <f>COUNTIF(H546:$H$2581,H546)</f>
        <v>1</v>
      </c>
    </row>
    <row r="547" spans="1:13" x14ac:dyDescent="0.2">
      <c r="A547">
        <v>652</v>
      </c>
      <c r="B547" t="s">
        <v>106</v>
      </c>
      <c r="C547" t="s">
        <v>107</v>
      </c>
      <c r="D547" t="s">
        <v>54</v>
      </c>
      <c r="E547" t="s">
        <v>108</v>
      </c>
      <c r="F547" t="s">
        <v>109</v>
      </c>
      <c r="G547" t="s">
        <v>110</v>
      </c>
      <c r="H547" t="s">
        <v>6922</v>
      </c>
      <c r="I547" t="b">
        <v>0</v>
      </c>
      <c r="J547">
        <v>94</v>
      </c>
      <c r="K547">
        <v>653</v>
      </c>
      <c r="L547">
        <v>45</v>
      </c>
      <c r="M547">
        <f>COUNTIF(H547:$H$2581,H547)</f>
        <v>1</v>
      </c>
    </row>
    <row r="548" spans="1:13" x14ac:dyDescent="0.2">
      <c r="A548">
        <v>494</v>
      </c>
      <c r="B548" t="s">
        <v>362</v>
      </c>
      <c r="C548" t="s">
        <v>363</v>
      </c>
      <c r="D548" t="s">
        <v>13</v>
      </c>
      <c r="E548" t="s">
        <v>364</v>
      </c>
      <c r="F548" t="s">
        <v>365</v>
      </c>
      <c r="G548" t="s">
        <v>366</v>
      </c>
      <c r="H548" t="s">
        <v>6926</v>
      </c>
      <c r="I548" t="b">
        <v>1</v>
      </c>
      <c r="J548">
        <v>70</v>
      </c>
      <c r="K548">
        <v>495</v>
      </c>
      <c r="L548">
        <v>1</v>
      </c>
      <c r="M548">
        <f>COUNTIF(H548:$H$2581,H548)</f>
        <v>1</v>
      </c>
    </row>
    <row r="549" spans="1:13" x14ac:dyDescent="0.2">
      <c r="A549">
        <v>2486</v>
      </c>
      <c r="B549" t="s">
        <v>589</v>
      </c>
      <c r="C549" t="s">
        <v>590</v>
      </c>
      <c r="D549" t="s">
        <v>54</v>
      </c>
      <c r="E549" t="s">
        <v>591</v>
      </c>
      <c r="F549" t="s">
        <v>592</v>
      </c>
      <c r="G549" t="s">
        <v>593</v>
      </c>
      <c r="H549" t="s">
        <v>6930</v>
      </c>
      <c r="I549" t="s">
        <v>24</v>
      </c>
      <c r="J549">
        <v>288</v>
      </c>
      <c r="K549">
        <v>2487</v>
      </c>
      <c r="L549">
        <v>46</v>
      </c>
      <c r="M549">
        <f>COUNTIF(H549:$H$2581,H549)</f>
        <v>1</v>
      </c>
    </row>
    <row r="550" spans="1:13" x14ac:dyDescent="0.2">
      <c r="A550">
        <v>1614</v>
      </c>
      <c r="B550" t="s">
        <v>720</v>
      </c>
      <c r="C550" t="s">
        <v>1281</v>
      </c>
      <c r="D550" t="s">
        <v>54</v>
      </c>
      <c r="E550" t="s">
        <v>1282</v>
      </c>
      <c r="F550" t="s">
        <v>723</v>
      </c>
      <c r="G550" t="s">
        <v>1283</v>
      </c>
      <c r="H550" t="s">
        <v>6934</v>
      </c>
      <c r="I550" t="b">
        <v>1</v>
      </c>
      <c r="J550">
        <v>197</v>
      </c>
      <c r="K550">
        <v>1615</v>
      </c>
      <c r="L550">
        <v>157</v>
      </c>
      <c r="M550">
        <f>COUNTIF(H550:$H$2581,H550)</f>
        <v>2</v>
      </c>
    </row>
    <row r="551" spans="1:13" x14ac:dyDescent="0.2">
      <c r="A551">
        <v>1087</v>
      </c>
      <c r="B551" t="s">
        <v>1075</v>
      </c>
      <c r="C551" t="s">
        <v>1761</v>
      </c>
      <c r="D551" t="s">
        <v>54</v>
      </c>
      <c r="E551" t="s">
        <v>1762</v>
      </c>
      <c r="F551" t="s">
        <v>1078</v>
      </c>
      <c r="G551" t="s">
        <v>1763</v>
      </c>
      <c r="H551" t="s">
        <v>6941</v>
      </c>
      <c r="I551" t="s">
        <v>24</v>
      </c>
      <c r="J551">
        <v>133</v>
      </c>
      <c r="K551">
        <v>1088</v>
      </c>
      <c r="L551">
        <v>84</v>
      </c>
      <c r="M551">
        <f>COUNTIF(H551:$H$2581,H551)</f>
        <v>5</v>
      </c>
    </row>
    <row r="552" spans="1:13" x14ac:dyDescent="0.2">
      <c r="A552">
        <v>1921</v>
      </c>
      <c r="B552" t="s">
        <v>439</v>
      </c>
      <c r="C552" t="s">
        <v>1946</v>
      </c>
      <c r="D552" t="s">
        <v>13</v>
      </c>
      <c r="E552" s="1" t="s">
        <v>1947</v>
      </c>
      <c r="F552" t="s">
        <v>442</v>
      </c>
      <c r="G552" t="s">
        <v>1948</v>
      </c>
      <c r="H552" t="s">
        <v>6957</v>
      </c>
      <c r="I552" t="b">
        <v>0</v>
      </c>
      <c r="J552">
        <v>224</v>
      </c>
      <c r="K552">
        <v>1922</v>
      </c>
      <c r="L552">
        <v>10</v>
      </c>
      <c r="M552">
        <f>COUNTIF(H552:$H$2581,H552)</f>
        <v>1</v>
      </c>
    </row>
    <row r="553" spans="1:13" x14ac:dyDescent="0.2">
      <c r="A553">
        <v>1275</v>
      </c>
      <c r="B553" t="s">
        <v>1273</v>
      </c>
      <c r="C553" t="s">
        <v>2366</v>
      </c>
      <c r="D553" t="s">
        <v>13</v>
      </c>
      <c r="E553" t="s">
        <v>2367</v>
      </c>
      <c r="F553" t="s">
        <v>1276</v>
      </c>
      <c r="G553" t="s">
        <v>2368</v>
      </c>
      <c r="H553" t="s">
        <v>6963</v>
      </c>
      <c r="I553" t="b">
        <v>1</v>
      </c>
      <c r="J553">
        <v>157</v>
      </c>
      <c r="K553">
        <v>1276</v>
      </c>
      <c r="L553">
        <v>121</v>
      </c>
      <c r="M553">
        <f>COUNTIF(H553:$H$2581,H553)</f>
        <v>1</v>
      </c>
    </row>
    <row r="554" spans="1:13" x14ac:dyDescent="0.2">
      <c r="A554">
        <v>20</v>
      </c>
      <c r="B554" t="s">
        <v>2448</v>
      </c>
      <c r="C554" t="s">
        <v>2805</v>
      </c>
      <c r="D554" t="s">
        <v>54</v>
      </c>
      <c r="E554" t="s">
        <v>2806</v>
      </c>
      <c r="F554" t="s">
        <v>2451</v>
      </c>
      <c r="G554" t="s">
        <v>2807</v>
      </c>
      <c r="H554" t="s">
        <v>6967</v>
      </c>
      <c r="I554" t="s">
        <v>24</v>
      </c>
      <c r="J554">
        <v>6</v>
      </c>
      <c r="K554">
        <v>21</v>
      </c>
      <c r="L554">
        <v>17</v>
      </c>
      <c r="M554">
        <f>COUNTIF(H554:$H$2581,H554)</f>
        <v>1</v>
      </c>
    </row>
    <row r="555" spans="1:13" x14ac:dyDescent="0.2">
      <c r="A555">
        <v>724</v>
      </c>
      <c r="B555" t="s">
        <v>1349</v>
      </c>
      <c r="C555" t="s">
        <v>3269</v>
      </c>
      <c r="D555" t="s">
        <v>13</v>
      </c>
      <c r="E555" t="s">
        <v>3270</v>
      </c>
      <c r="F555" t="s">
        <v>1352</v>
      </c>
      <c r="G555" t="s">
        <v>3271</v>
      </c>
      <c r="H555" t="s">
        <v>6971</v>
      </c>
      <c r="I555" t="b">
        <v>1</v>
      </c>
      <c r="J555">
        <v>104</v>
      </c>
      <c r="K555">
        <v>725</v>
      </c>
      <c r="L555">
        <v>21</v>
      </c>
      <c r="M555">
        <f>COUNTIF(H555:$H$2581,H555)</f>
        <v>1</v>
      </c>
    </row>
    <row r="556" spans="1:13" x14ac:dyDescent="0.2">
      <c r="A556">
        <v>1589</v>
      </c>
      <c r="B556" t="s">
        <v>211</v>
      </c>
      <c r="C556" t="s">
        <v>3592</v>
      </c>
      <c r="D556" t="s">
        <v>54</v>
      </c>
      <c r="E556" t="s">
        <v>3593</v>
      </c>
      <c r="F556" t="s">
        <v>214</v>
      </c>
      <c r="G556" t="s">
        <v>3594</v>
      </c>
      <c r="H556" t="s">
        <v>6975</v>
      </c>
      <c r="I556" t="s">
        <v>24</v>
      </c>
      <c r="J556">
        <v>195</v>
      </c>
      <c r="K556">
        <v>1590</v>
      </c>
      <c r="L556">
        <v>39</v>
      </c>
      <c r="M556">
        <f>COUNTIF(H556:$H$2581,H556)</f>
        <v>1</v>
      </c>
    </row>
    <row r="557" spans="1:13" x14ac:dyDescent="0.2">
      <c r="A557">
        <v>1236</v>
      </c>
      <c r="B557" t="s">
        <v>1461</v>
      </c>
      <c r="C557" t="s">
        <v>3732</v>
      </c>
      <c r="D557" t="s">
        <v>33</v>
      </c>
      <c r="E557" t="s">
        <v>3733</v>
      </c>
      <c r="F557" t="s">
        <v>1464</v>
      </c>
      <c r="G557" t="s">
        <v>3734</v>
      </c>
      <c r="H557" t="s">
        <v>6979</v>
      </c>
      <c r="I557" t="b">
        <v>0</v>
      </c>
      <c r="J557">
        <v>152</v>
      </c>
      <c r="K557">
        <v>1237</v>
      </c>
      <c r="L557">
        <v>22</v>
      </c>
      <c r="M557">
        <f>COUNTIF(H557:$H$2581,H557)</f>
        <v>11</v>
      </c>
    </row>
    <row r="558" spans="1:13" x14ac:dyDescent="0.2">
      <c r="A558">
        <v>613</v>
      </c>
      <c r="B558" t="s">
        <v>1491</v>
      </c>
      <c r="C558" t="s">
        <v>3809</v>
      </c>
      <c r="D558" t="s">
        <v>54</v>
      </c>
      <c r="E558" t="s">
        <v>3810</v>
      </c>
      <c r="F558" t="s">
        <v>1494</v>
      </c>
      <c r="G558" t="s">
        <v>3811</v>
      </c>
      <c r="H558" t="s">
        <v>7013</v>
      </c>
      <c r="I558" t="b">
        <v>0</v>
      </c>
      <c r="J558">
        <v>91</v>
      </c>
      <c r="K558">
        <v>614</v>
      </c>
      <c r="L558">
        <v>270</v>
      </c>
      <c r="M558">
        <f>COUNTIF(H558:$H$2581,H558)</f>
        <v>1</v>
      </c>
    </row>
    <row r="559" spans="1:13" x14ac:dyDescent="0.2">
      <c r="A559">
        <v>964</v>
      </c>
      <c r="B559" t="s">
        <v>203</v>
      </c>
      <c r="C559" t="s">
        <v>4022</v>
      </c>
      <c r="D559" t="s">
        <v>13</v>
      </c>
      <c r="E559" t="s">
        <v>4023</v>
      </c>
      <c r="F559" t="s">
        <v>206</v>
      </c>
      <c r="G559" t="s">
        <v>4024</v>
      </c>
      <c r="H559" t="s">
        <v>7017</v>
      </c>
      <c r="I559" t="b">
        <v>1</v>
      </c>
      <c r="J559">
        <v>123</v>
      </c>
      <c r="K559">
        <v>965</v>
      </c>
      <c r="L559">
        <v>23</v>
      </c>
      <c r="M559">
        <f>COUNTIF(H559:$H$2581,H559)</f>
        <v>1</v>
      </c>
    </row>
    <row r="560" spans="1:13" x14ac:dyDescent="0.2">
      <c r="A560">
        <v>112</v>
      </c>
      <c r="B560" t="s">
        <v>42</v>
      </c>
      <c r="C560" t="s">
        <v>4170</v>
      </c>
      <c r="D560" t="s">
        <v>13</v>
      </c>
      <c r="E560" t="s">
        <v>4171</v>
      </c>
      <c r="F560" t="s">
        <v>45</v>
      </c>
      <c r="G560" t="s">
        <v>4172</v>
      </c>
      <c r="H560" t="s">
        <v>7021</v>
      </c>
      <c r="I560" t="b">
        <v>1</v>
      </c>
      <c r="J560">
        <v>19</v>
      </c>
      <c r="K560">
        <v>113</v>
      </c>
      <c r="L560">
        <v>64</v>
      </c>
      <c r="M560">
        <f>COUNTIF(H560:$H$2581,H560)</f>
        <v>36</v>
      </c>
    </row>
    <row r="561" spans="1:13" x14ac:dyDescent="0.2">
      <c r="A561">
        <v>2200</v>
      </c>
      <c r="B561" t="s">
        <v>1803</v>
      </c>
      <c r="C561" t="s">
        <v>4584</v>
      </c>
      <c r="D561" t="s">
        <v>33</v>
      </c>
      <c r="E561" t="s">
        <v>4585</v>
      </c>
      <c r="F561" t="s">
        <v>1806</v>
      </c>
      <c r="G561" t="s">
        <v>4586</v>
      </c>
      <c r="H561" t="s">
        <v>7130</v>
      </c>
      <c r="I561" t="b">
        <v>0</v>
      </c>
      <c r="J561">
        <v>258</v>
      </c>
      <c r="K561">
        <v>2201</v>
      </c>
      <c r="L561">
        <v>4</v>
      </c>
      <c r="M561">
        <f>COUNTIF(H561:$H$2581,H561)</f>
        <v>2</v>
      </c>
    </row>
    <row r="562" spans="1:13" x14ac:dyDescent="0.2">
      <c r="A562">
        <v>42</v>
      </c>
      <c r="B562" t="s">
        <v>2199</v>
      </c>
      <c r="C562" t="s">
        <v>4874</v>
      </c>
      <c r="D562" t="s">
        <v>54</v>
      </c>
      <c r="E562" t="s">
        <v>4875</v>
      </c>
      <c r="F562" t="s">
        <v>2202</v>
      </c>
      <c r="G562" t="s">
        <v>4876</v>
      </c>
      <c r="H562" t="s">
        <v>7137</v>
      </c>
      <c r="I562" t="s">
        <v>24</v>
      </c>
      <c r="J562">
        <v>7</v>
      </c>
      <c r="K562">
        <v>43</v>
      </c>
      <c r="L562">
        <v>34</v>
      </c>
      <c r="M562">
        <f>COUNTIF(H562:$H$2581,H562)</f>
        <v>13</v>
      </c>
    </row>
    <row r="563" spans="1:13" x14ac:dyDescent="0.2">
      <c r="A563">
        <v>920</v>
      </c>
      <c r="B563" t="s">
        <v>271</v>
      </c>
      <c r="C563" t="s">
        <v>4984</v>
      </c>
      <c r="D563" t="s">
        <v>54</v>
      </c>
      <c r="E563" t="s">
        <v>4985</v>
      </c>
      <c r="F563" t="s">
        <v>274</v>
      </c>
      <c r="G563" t="s">
        <v>4986</v>
      </c>
      <c r="H563" t="s">
        <v>7177</v>
      </c>
      <c r="I563" t="s">
        <v>24</v>
      </c>
      <c r="J563">
        <v>121</v>
      </c>
      <c r="K563">
        <v>921</v>
      </c>
      <c r="L563">
        <v>123</v>
      </c>
      <c r="M563">
        <f>COUNTIF(H563:$H$2581,H563)</f>
        <v>1</v>
      </c>
    </row>
    <row r="564" spans="1:13" x14ac:dyDescent="0.2">
      <c r="A564">
        <v>415</v>
      </c>
      <c r="B564" t="s">
        <v>1857</v>
      </c>
      <c r="C564" t="s">
        <v>5249</v>
      </c>
      <c r="D564" t="s">
        <v>13</v>
      </c>
      <c r="E564" t="s">
        <v>5250</v>
      </c>
      <c r="F564" t="s">
        <v>1860</v>
      </c>
      <c r="G564" t="s">
        <v>5251</v>
      </c>
      <c r="H564" t="s">
        <v>7181</v>
      </c>
      <c r="I564" t="s">
        <v>24</v>
      </c>
      <c r="J564">
        <v>60</v>
      </c>
      <c r="K564">
        <v>416</v>
      </c>
      <c r="L564">
        <v>35</v>
      </c>
      <c r="M564">
        <f>COUNTIF(H564:$H$2581,H564)</f>
        <v>1</v>
      </c>
    </row>
    <row r="565" spans="1:13" x14ac:dyDescent="0.2">
      <c r="A565">
        <v>1536</v>
      </c>
      <c r="B565" t="s">
        <v>466</v>
      </c>
      <c r="C565" t="s">
        <v>5373</v>
      </c>
      <c r="D565" t="s">
        <v>13</v>
      </c>
      <c r="E565" t="s">
        <v>5374</v>
      </c>
      <c r="F565" t="s">
        <v>469</v>
      </c>
      <c r="G565" t="s">
        <v>5375</v>
      </c>
      <c r="H565" t="s">
        <v>7185</v>
      </c>
      <c r="I565" t="s">
        <v>24</v>
      </c>
      <c r="J565">
        <v>187</v>
      </c>
      <c r="K565">
        <v>1537</v>
      </c>
      <c r="L565">
        <v>24</v>
      </c>
      <c r="M565">
        <f>COUNTIF(H565:$H$2581,H565)</f>
        <v>1</v>
      </c>
    </row>
    <row r="566" spans="1:13" x14ac:dyDescent="0.2">
      <c r="A566">
        <v>880</v>
      </c>
      <c r="B566" t="s">
        <v>1192</v>
      </c>
      <c r="C566" t="s">
        <v>5509</v>
      </c>
      <c r="D566" t="s">
        <v>54</v>
      </c>
      <c r="E566" t="s">
        <v>5510</v>
      </c>
      <c r="F566" t="s">
        <v>1195</v>
      </c>
      <c r="G566" t="s">
        <v>5511</v>
      </c>
      <c r="H566" t="s">
        <v>7189</v>
      </c>
      <c r="I566" t="s">
        <v>24</v>
      </c>
      <c r="J566">
        <v>119</v>
      </c>
      <c r="K566">
        <v>881</v>
      </c>
      <c r="L566">
        <v>13</v>
      </c>
      <c r="M566">
        <f>COUNTIF(H566:$H$2581,H566)</f>
        <v>1</v>
      </c>
    </row>
    <row r="567" spans="1:13" x14ac:dyDescent="0.2">
      <c r="A567">
        <v>863</v>
      </c>
      <c r="B567" t="s">
        <v>1091</v>
      </c>
      <c r="C567" t="s">
        <v>5594</v>
      </c>
      <c r="D567" t="s">
        <v>13</v>
      </c>
      <c r="E567" t="s">
        <v>5595</v>
      </c>
      <c r="F567" t="s">
        <v>1094</v>
      </c>
      <c r="G567" t="s">
        <v>5596</v>
      </c>
      <c r="H567" t="s">
        <v>7193</v>
      </c>
      <c r="I567" t="b">
        <v>1</v>
      </c>
      <c r="J567">
        <v>118</v>
      </c>
      <c r="K567">
        <v>864</v>
      </c>
      <c r="L567">
        <v>50</v>
      </c>
      <c r="M567">
        <f>COUNTIF(H567:$H$2581,H567)</f>
        <v>10</v>
      </c>
    </row>
    <row r="568" spans="1:13" x14ac:dyDescent="0.2">
      <c r="A568">
        <v>1500</v>
      </c>
      <c r="B568" t="s">
        <v>807</v>
      </c>
      <c r="C568" t="s">
        <v>5778</v>
      </c>
      <c r="D568" t="s">
        <v>13</v>
      </c>
      <c r="E568" t="s">
        <v>5779</v>
      </c>
      <c r="F568" t="s">
        <v>810</v>
      </c>
      <c r="G568" t="s">
        <v>5780</v>
      </c>
      <c r="H568" t="s">
        <v>7223</v>
      </c>
      <c r="I568" t="b">
        <v>1</v>
      </c>
      <c r="J568">
        <v>182</v>
      </c>
      <c r="K568">
        <v>1501</v>
      </c>
      <c r="L568">
        <v>25</v>
      </c>
      <c r="M568">
        <f>COUNTIF(H568:$H$2581,H568)</f>
        <v>1</v>
      </c>
    </row>
    <row r="569" spans="1:13" x14ac:dyDescent="0.2">
      <c r="A569">
        <v>1592</v>
      </c>
      <c r="B569" t="s">
        <v>211</v>
      </c>
      <c r="C569" t="s">
        <v>5937</v>
      </c>
      <c r="D569" t="s">
        <v>54</v>
      </c>
      <c r="E569" t="s">
        <v>5938</v>
      </c>
      <c r="F569" t="s">
        <v>214</v>
      </c>
      <c r="G569" t="s">
        <v>5939</v>
      </c>
      <c r="H569" t="s">
        <v>7227</v>
      </c>
      <c r="I569" t="s">
        <v>24</v>
      </c>
      <c r="J569">
        <v>195</v>
      </c>
      <c r="K569">
        <v>1593</v>
      </c>
      <c r="L569">
        <v>124</v>
      </c>
      <c r="M569">
        <f>COUNTIF(H569:$H$2581,H569)</f>
        <v>1</v>
      </c>
    </row>
    <row r="570" spans="1:13" x14ac:dyDescent="0.2">
      <c r="A570">
        <v>326</v>
      </c>
      <c r="B570" t="s">
        <v>98</v>
      </c>
      <c r="C570" t="s">
        <v>6287</v>
      </c>
      <c r="D570" t="s">
        <v>33</v>
      </c>
      <c r="E570" t="s">
        <v>6288</v>
      </c>
      <c r="F570" t="s">
        <v>101</v>
      </c>
      <c r="G570" t="s">
        <v>6289</v>
      </c>
      <c r="H570" t="s">
        <v>7231</v>
      </c>
      <c r="I570" t="s">
        <v>24</v>
      </c>
      <c r="J570">
        <v>46</v>
      </c>
      <c r="K570">
        <v>327</v>
      </c>
      <c r="L570">
        <v>9</v>
      </c>
      <c r="M570">
        <f>COUNTIF(H570:$H$2581,H570)</f>
        <v>1</v>
      </c>
    </row>
    <row r="571" spans="1:13" x14ac:dyDescent="0.2">
      <c r="A571">
        <v>587</v>
      </c>
      <c r="B571" t="s">
        <v>6388</v>
      </c>
      <c r="C571" t="s">
        <v>6389</v>
      </c>
      <c r="D571" t="s">
        <v>33</v>
      </c>
      <c r="E571" t="s">
        <v>6390</v>
      </c>
      <c r="F571" t="s">
        <v>6391</v>
      </c>
      <c r="G571" t="s">
        <v>6392</v>
      </c>
      <c r="H571" t="s">
        <v>7235</v>
      </c>
      <c r="I571" t="b">
        <v>0</v>
      </c>
      <c r="J571">
        <v>88</v>
      </c>
      <c r="K571">
        <v>588</v>
      </c>
      <c r="L571">
        <v>161</v>
      </c>
      <c r="M571">
        <f>COUNTIF(H571:$H$2581,H571)</f>
        <v>3</v>
      </c>
    </row>
    <row r="572" spans="1:13" x14ac:dyDescent="0.2">
      <c r="A572">
        <v>1800</v>
      </c>
      <c r="B572" t="s">
        <v>1287</v>
      </c>
      <c r="C572" t="s">
        <v>6618</v>
      </c>
      <c r="D572" t="s">
        <v>13</v>
      </c>
      <c r="E572" t="s">
        <v>6619</v>
      </c>
      <c r="F572" t="s">
        <v>1290</v>
      </c>
      <c r="G572" t="s">
        <v>6620</v>
      </c>
      <c r="H572" t="s">
        <v>7245</v>
      </c>
      <c r="I572" t="s">
        <v>24</v>
      </c>
      <c r="J572">
        <v>210</v>
      </c>
      <c r="K572">
        <v>1801</v>
      </c>
      <c r="L572">
        <v>7</v>
      </c>
      <c r="M572">
        <f>COUNTIF(H572:$H$2581,H572)</f>
        <v>2</v>
      </c>
    </row>
    <row r="573" spans="1:13" x14ac:dyDescent="0.2">
      <c r="A573">
        <v>235</v>
      </c>
      <c r="B573" t="s">
        <v>1120</v>
      </c>
      <c r="C573" t="s">
        <v>6761</v>
      </c>
      <c r="D573" t="s">
        <v>13</v>
      </c>
      <c r="E573" t="s">
        <v>6762</v>
      </c>
      <c r="F573" s="1" t="s">
        <v>1123</v>
      </c>
      <c r="G573" t="s">
        <v>6763</v>
      </c>
      <c r="H573" t="s">
        <v>7252</v>
      </c>
      <c r="I573" t="b">
        <v>0</v>
      </c>
      <c r="J573">
        <v>40</v>
      </c>
      <c r="K573">
        <v>236</v>
      </c>
      <c r="L573">
        <v>106</v>
      </c>
      <c r="M573">
        <f>COUNTIF(H573:$H$2581,H573)</f>
        <v>5</v>
      </c>
    </row>
    <row r="574" spans="1:13" x14ac:dyDescent="0.2">
      <c r="A574">
        <v>1271</v>
      </c>
      <c r="B574" t="s">
        <v>1085</v>
      </c>
      <c r="C574" t="s">
        <v>6865</v>
      </c>
      <c r="D574" t="s">
        <v>54</v>
      </c>
      <c r="E574" t="s">
        <v>6866</v>
      </c>
      <c r="F574" t="s">
        <v>1088</v>
      </c>
      <c r="G574" t="s">
        <v>6867</v>
      </c>
      <c r="H574" t="s">
        <v>7268</v>
      </c>
      <c r="I574" t="s">
        <v>24</v>
      </c>
      <c r="J574">
        <v>156</v>
      </c>
      <c r="K574">
        <v>1272</v>
      </c>
      <c r="L574">
        <v>125</v>
      </c>
      <c r="M574">
        <f>COUNTIF(H574:$H$2581,H574)</f>
        <v>1</v>
      </c>
    </row>
    <row r="575" spans="1:13" x14ac:dyDescent="0.2">
      <c r="A575">
        <v>1501</v>
      </c>
      <c r="B575" t="s">
        <v>807</v>
      </c>
      <c r="C575" t="s">
        <v>7076</v>
      </c>
      <c r="D575" t="s">
        <v>13</v>
      </c>
      <c r="E575" s="1" t="s">
        <v>7077</v>
      </c>
      <c r="F575" t="s">
        <v>810</v>
      </c>
      <c r="G575" t="s">
        <v>7078</v>
      </c>
      <c r="H575" t="s">
        <v>7272</v>
      </c>
      <c r="I575" t="b">
        <v>1</v>
      </c>
      <c r="J575">
        <v>182</v>
      </c>
      <c r="K575">
        <v>1502</v>
      </c>
      <c r="L575">
        <v>14</v>
      </c>
      <c r="M575">
        <f>COUNTIF(H575:$H$2581,H575)</f>
        <v>2</v>
      </c>
    </row>
    <row r="576" spans="1:13" x14ac:dyDescent="0.2">
      <c r="A576">
        <v>1680</v>
      </c>
      <c r="B576" t="s">
        <v>1112</v>
      </c>
      <c r="C576" t="s">
        <v>7810</v>
      </c>
      <c r="D576" t="s">
        <v>13</v>
      </c>
      <c r="E576" t="s">
        <v>7811</v>
      </c>
      <c r="F576" t="s">
        <v>1115</v>
      </c>
      <c r="G576" t="s">
        <v>7812</v>
      </c>
      <c r="H576" t="s">
        <v>7279</v>
      </c>
      <c r="I576" t="b">
        <v>1</v>
      </c>
      <c r="J576">
        <v>202</v>
      </c>
      <c r="K576">
        <v>1681</v>
      </c>
      <c r="L576">
        <v>27</v>
      </c>
      <c r="M576">
        <f>COUNTIF(H576:$H$2581,H576)</f>
        <v>2</v>
      </c>
    </row>
    <row r="577" spans="1:13" x14ac:dyDescent="0.2">
      <c r="A577">
        <v>290</v>
      </c>
      <c r="B577" t="s">
        <v>2105</v>
      </c>
      <c r="C577" t="s">
        <v>8015</v>
      </c>
      <c r="D577" t="s">
        <v>54</v>
      </c>
      <c r="E577" t="s">
        <v>8016</v>
      </c>
      <c r="F577" t="s">
        <v>2108</v>
      </c>
      <c r="G577" t="s">
        <v>8017</v>
      </c>
      <c r="H577" t="s">
        <v>7286</v>
      </c>
      <c r="I577" t="s">
        <v>24</v>
      </c>
      <c r="J577">
        <v>44</v>
      </c>
      <c r="K577">
        <v>291</v>
      </c>
      <c r="L577">
        <v>128</v>
      </c>
      <c r="M577">
        <f>COUNTIF(H577:$H$2581,H577)</f>
        <v>1</v>
      </c>
    </row>
    <row r="578" spans="1:13" x14ac:dyDescent="0.2">
      <c r="A578">
        <v>1379</v>
      </c>
      <c r="B578" t="s">
        <v>603</v>
      </c>
      <c r="C578" t="s">
        <v>8192</v>
      </c>
      <c r="D578" t="s">
        <v>54</v>
      </c>
      <c r="E578" t="s">
        <v>8193</v>
      </c>
      <c r="F578" t="s">
        <v>606</v>
      </c>
      <c r="G578" t="s">
        <v>8194</v>
      </c>
      <c r="H578" t="s">
        <v>7290</v>
      </c>
      <c r="I578" t="s">
        <v>24</v>
      </c>
      <c r="J578">
        <v>166</v>
      </c>
      <c r="K578">
        <v>1380</v>
      </c>
      <c r="L578">
        <v>30</v>
      </c>
      <c r="M578">
        <f>COUNTIF(H578:$H$2581,H578)</f>
        <v>1</v>
      </c>
    </row>
    <row r="579" spans="1:13" x14ac:dyDescent="0.2">
      <c r="A579">
        <v>590</v>
      </c>
      <c r="B579" t="s">
        <v>8562</v>
      </c>
      <c r="C579" t="s">
        <v>8563</v>
      </c>
      <c r="D579" t="s">
        <v>54</v>
      </c>
      <c r="E579" t="s">
        <v>8564</v>
      </c>
      <c r="F579" t="s">
        <v>8565</v>
      </c>
      <c r="G579" t="s">
        <v>8566</v>
      </c>
      <c r="H579" t="s">
        <v>7294</v>
      </c>
      <c r="I579" t="b">
        <v>1</v>
      </c>
      <c r="J579">
        <v>89</v>
      </c>
      <c r="K579">
        <v>591</v>
      </c>
      <c r="L579">
        <v>56</v>
      </c>
      <c r="M579">
        <f>COUNTIF(H579:$H$2581,H579)</f>
        <v>1</v>
      </c>
    </row>
    <row r="580" spans="1:13" x14ac:dyDescent="0.2">
      <c r="A580">
        <v>1734</v>
      </c>
      <c r="B580" t="s">
        <v>725</v>
      </c>
      <c r="C580" t="s">
        <v>8759</v>
      </c>
      <c r="D580" t="s">
        <v>13</v>
      </c>
      <c r="E580" t="s">
        <v>8760</v>
      </c>
      <c r="F580" t="s">
        <v>728</v>
      </c>
      <c r="G580" t="s">
        <v>8761</v>
      </c>
      <c r="H580" t="s">
        <v>7298</v>
      </c>
      <c r="I580" t="b">
        <v>1</v>
      </c>
      <c r="J580">
        <v>205</v>
      </c>
      <c r="K580">
        <v>1735</v>
      </c>
      <c r="L580">
        <v>31</v>
      </c>
      <c r="M580">
        <f>COUNTIF(H580:$H$2581,H580)</f>
        <v>5</v>
      </c>
    </row>
    <row r="581" spans="1:13" x14ac:dyDescent="0.2">
      <c r="A581">
        <v>544</v>
      </c>
      <c r="B581" t="s">
        <v>103</v>
      </c>
      <c r="C581" t="s">
        <v>53</v>
      </c>
      <c r="D581" t="s">
        <v>54</v>
      </c>
      <c r="E581" t="s">
        <v>104</v>
      </c>
      <c r="F581" t="s">
        <v>105</v>
      </c>
      <c r="G581" t="s">
        <v>57</v>
      </c>
      <c r="H581" t="s">
        <v>7314</v>
      </c>
      <c r="I581" t="b">
        <v>0</v>
      </c>
      <c r="J581">
        <v>81</v>
      </c>
      <c r="K581">
        <v>545</v>
      </c>
      <c r="L581">
        <v>45</v>
      </c>
      <c r="M581">
        <f>COUNTIF(H581:$H$2581,H581)</f>
        <v>1</v>
      </c>
    </row>
    <row r="582" spans="1:13" x14ac:dyDescent="0.2">
      <c r="A582">
        <v>463</v>
      </c>
      <c r="B582" t="s">
        <v>357</v>
      </c>
      <c r="C582" t="s">
        <v>358</v>
      </c>
      <c r="D582" t="s">
        <v>54</v>
      </c>
      <c r="E582" t="s">
        <v>359</v>
      </c>
      <c r="F582" t="s">
        <v>360</v>
      </c>
      <c r="G582" t="s">
        <v>361</v>
      </c>
      <c r="H582" t="s">
        <v>7318</v>
      </c>
      <c r="I582" t="s">
        <v>24</v>
      </c>
      <c r="J582">
        <v>66</v>
      </c>
      <c r="K582">
        <v>464</v>
      </c>
      <c r="L582">
        <v>1</v>
      </c>
      <c r="M582">
        <f>COUNTIF(H582:$H$2581,H582)</f>
        <v>3</v>
      </c>
    </row>
    <row r="583" spans="1:13" x14ac:dyDescent="0.2">
      <c r="A583">
        <v>2130</v>
      </c>
      <c r="B583" t="s">
        <v>142</v>
      </c>
      <c r="C583" t="s">
        <v>586</v>
      </c>
      <c r="D583" t="s">
        <v>13</v>
      </c>
      <c r="E583" t="s">
        <v>587</v>
      </c>
      <c r="F583" t="s">
        <v>145</v>
      </c>
      <c r="G583" t="s">
        <v>588</v>
      </c>
      <c r="H583" t="s">
        <v>7328</v>
      </c>
      <c r="I583" t="b">
        <v>1</v>
      </c>
      <c r="J583">
        <v>247</v>
      </c>
      <c r="K583">
        <v>2131</v>
      </c>
      <c r="L583">
        <v>46</v>
      </c>
      <c r="M583">
        <f>COUNTIF(H583:$H$2581,H583)</f>
        <v>1</v>
      </c>
    </row>
    <row r="584" spans="1:13" x14ac:dyDescent="0.2">
      <c r="A584">
        <v>1702</v>
      </c>
      <c r="B584" t="s">
        <v>725</v>
      </c>
      <c r="C584" t="s">
        <v>1284</v>
      </c>
      <c r="D584" t="s">
        <v>54</v>
      </c>
      <c r="E584" t="s">
        <v>1285</v>
      </c>
      <c r="F584" t="s">
        <v>728</v>
      </c>
      <c r="G584" t="s">
        <v>1286</v>
      </c>
      <c r="H584" t="s">
        <v>7332</v>
      </c>
      <c r="I584" t="b">
        <v>1</v>
      </c>
      <c r="J584">
        <v>205</v>
      </c>
      <c r="K584">
        <v>1703</v>
      </c>
      <c r="L584">
        <v>157</v>
      </c>
      <c r="M584">
        <f>COUNTIF(H584:$H$2581,H584)</f>
        <v>1</v>
      </c>
    </row>
    <row r="585" spans="1:13" x14ac:dyDescent="0.2">
      <c r="A585">
        <v>1232</v>
      </c>
      <c r="B585" t="s">
        <v>1461</v>
      </c>
      <c r="C585" t="s">
        <v>1764</v>
      </c>
      <c r="D585" t="s">
        <v>33</v>
      </c>
      <c r="E585" t="s">
        <v>1765</v>
      </c>
      <c r="F585" t="s">
        <v>1464</v>
      </c>
      <c r="G585" t="s">
        <v>1766</v>
      </c>
      <c r="H585" t="s">
        <v>7336</v>
      </c>
      <c r="I585" t="b">
        <v>0</v>
      </c>
      <c r="J585">
        <v>152</v>
      </c>
      <c r="K585">
        <v>1233</v>
      </c>
      <c r="L585">
        <v>84</v>
      </c>
      <c r="M585">
        <f>COUNTIF(H585:$H$2581,H585)</f>
        <v>1</v>
      </c>
    </row>
    <row r="586" spans="1:13" x14ac:dyDescent="0.2">
      <c r="A586">
        <v>1922</v>
      </c>
      <c r="B586" t="s">
        <v>439</v>
      </c>
      <c r="C586" t="s">
        <v>1949</v>
      </c>
      <c r="D586" t="s">
        <v>33</v>
      </c>
      <c r="E586" t="s">
        <v>1950</v>
      </c>
      <c r="F586" t="s">
        <v>442</v>
      </c>
      <c r="G586" t="s">
        <v>1951</v>
      </c>
      <c r="H586" t="s">
        <v>7340</v>
      </c>
      <c r="I586" t="b">
        <v>0</v>
      </c>
      <c r="J586">
        <v>224</v>
      </c>
      <c r="K586">
        <v>1923</v>
      </c>
      <c r="L586">
        <v>10</v>
      </c>
      <c r="M586">
        <f>COUNTIF(H586:$H$2581,H586)</f>
        <v>1</v>
      </c>
    </row>
    <row r="587" spans="1:13" x14ac:dyDescent="0.2">
      <c r="A587">
        <v>1301</v>
      </c>
      <c r="B587" t="s">
        <v>277</v>
      </c>
      <c r="C587" t="s">
        <v>2369</v>
      </c>
      <c r="D587" t="s">
        <v>54</v>
      </c>
      <c r="E587" t="s">
        <v>2370</v>
      </c>
      <c r="F587" t="s">
        <v>280</v>
      </c>
      <c r="G587" t="s">
        <v>2371</v>
      </c>
      <c r="H587" t="s">
        <v>7344</v>
      </c>
      <c r="I587" t="s">
        <v>24</v>
      </c>
      <c r="J587">
        <v>160</v>
      </c>
      <c r="K587">
        <v>1302</v>
      </c>
      <c r="L587">
        <v>121</v>
      </c>
      <c r="M587">
        <f>COUNTIF(H587:$H$2581,H587)</f>
        <v>1</v>
      </c>
    </row>
    <row r="588" spans="1:13" x14ac:dyDescent="0.2">
      <c r="A588">
        <v>357</v>
      </c>
      <c r="B588" t="s">
        <v>975</v>
      </c>
      <c r="C588" t="s">
        <v>2809</v>
      </c>
      <c r="D588" t="s">
        <v>13</v>
      </c>
      <c r="E588" t="s">
        <v>2810</v>
      </c>
      <c r="F588" s="1" t="s">
        <v>978</v>
      </c>
      <c r="G588" t="s">
        <v>2811</v>
      </c>
      <c r="H588" t="s">
        <v>7348</v>
      </c>
      <c r="I588" t="b">
        <v>1</v>
      </c>
      <c r="J588">
        <v>50</v>
      </c>
      <c r="K588">
        <v>358</v>
      </c>
      <c r="L588">
        <v>17</v>
      </c>
      <c r="M588">
        <f>COUNTIF(H588:$H$2581,H588)</f>
        <v>1</v>
      </c>
    </row>
    <row r="589" spans="1:13" x14ac:dyDescent="0.2">
      <c r="A589">
        <v>875</v>
      </c>
      <c r="B589" t="s">
        <v>1192</v>
      </c>
      <c r="C589" t="s">
        <v>3272</v>
      </c>
      <c r="D589" t="s">
        <v>54</v>
      </c>
      <c r="E589" t="s">
        <v>3273</v>
      </c>
      <c r="F589" t="s">
        <v>1195</v>
      </c>
      <c r="G589" t="s">
        <v>3274</v>
      </c>
      <c r="H589" t="s">
        <v>7352</v>
      </c>
      <c r="I589" t="s">
        <v>24</v>
      </c>
      <c r="J589">
        <v>119</v>
      </c>
      <c r="K589">
        <v>876</v>
      </c>
      <c r="L589">
        <v>21</v>
      </c>
      <c r="M589">
        <f>COUNTIF(H589:$H$2581,H589)</f>
        <v>1</v>
      </c>
    </row>
    <row r="590" spans="1:13" x14ac:dyDescent="0.2">
      <c r="A590">
        <v>1622</v>
      </c>
      <c r="B590" t="s">
        <v>720</v>
      </c>
      <c r="C590" t="s">
        <v>3595</v>
      </c>
      <c r="D590" t="s">
        <v>54</v>
      </c>
      <c r="E590" t="s">
        <v>3596</v>
      </c>
      <c r="F590" t="s">
        <v>723</v>
      </c>
      <c r="G590" t="s">
        <v>3597</v>
      </c>
      <c r="H590" t="s">
        <v>7356</v>
      </c>
      <c r="I590" t="b">
        <v>1</v>
      </c>
      <c r="J590">
        <v>197</v>
      </c>
      <c r="K590">
        <v>1623</v>
      </c>
      <c r="L590">
        <v>39</v>
      </c>
      <c r="M590">
        <f>COUNTIF(H590:$H$2581,H590)</f>
        <v>1</v>
      </c>
    </row>
    <row r="591" spans="1:13" x14ac:dyDescent="0.2">
      <c r="A591">
        <v>1252</v>
      </c>
      <c r="B591" t="s">
        <v>709</v>
      </c>
      <c r="C591" t="s">
        <v>3735</v>
      </c>
      <c r="D591" t="s">
        <v>54</v>
      </c>
      <c r="E591" s="1" t="s">
        <v>3736</v>
      </c>
      <c r="F591" t="s">
        <v>712</v>
      </c>
      <c r="G591" t="s">
        <v>3737</v>
      </c>
      <c r="H591" t="s">
        <v>7360</v>
      </c>
      <c r="I591" t="b">
        <v>0</v>
      </c>
      <c r="J591">
        <v>154</v>
      </c>
      <c r="K591">
        <v>1253</v>
      </c>
      <c r="L591">
        <v>22</v>
      </c>
      <c r="M591">
        <f>COUNTIF(H591:$H$2581,H591)</f>
        <v>16</v>
      </c>
    </row>
    <row r="592" spans="1:13" x14ac:dyDescent="0.2">
      <c r="A592">
        <v>796</v>
      </c>
      <c r="B592" t="s">
        <v>116</v>
      </c>
      <c r="C592" t="s">
        <v>3813</v>
      </c>
      <c r="D592" t="s">
        <v>33</v>
      </c>
      <c r="E592" t="s">
        <v>3814</v>
      </c>
      <c r="F592" t="s">
        <v>119</v>
      </c>
      <c r="G592" t="s">
        <v>3815</v>
      </c>
      <c r="H592" t="s">
        <v>7406</v>
      </c>
      <c r="I592" t="s">
        <v>24</v>
      </c>
      <c r="J592">
        <v>112</v>
      </c>
      <c r="K592">
        <v>797</v>
      </c>
      <c r="L592">
        <v>270</v>
      </c>
      <c r="M592">
        <f>COUNTIF(H592:$H$2581,H592)</f>
        <v>2</v>
      </c>
    </row>
    <row r="593" spans="1:13" x14ac:dyDescent="0.2">
      <c r="A593">
        <v>1091</v>
      </c>
      <c r="B593" t="s">
        <v>1075</v>
      </c>
      <c r="C593" t="s">
        <v>4025</v>
      </c>
      <c r="D593" t="s">
        <v>13</v>
      </c>
      <c r="E593" t="s">
        <v>4026</v>
      </c>
      <c r="F593" t="s">
        <v>1078</v>
      </c>
      <c r="G593" t="s">
        <v>4027</v>
      </c>
      <c r="H593" t="s">
        <v>7412</v>
      </c>
      <c r="I593" t="s">
        <v>24</v>
      </c>
      <c r="J593">
        <v>133</v>
      </c>
      <c r="K593">
        <v>1092</v>
      </c>
      <c r="L593">
        <v>23</v>
      </c>
      <c r="M593">
        <f>COUNTIF(H593:$H$2581,H593)</f>
        <v>1</v>
      </c>
    </row>
    <row r="594" spans="1:13" x14ac:dyDescent="0.2">
      <c r="A594">
        <v>123</v>
      </c>
      <c r="B594" t="s">
        <v>52</v>
      </c>
      <c r="C594" t="s">
        <v>4173</v>
      </c>
      <c r="D594" t="s">
        <v>54</v>
      </c>
      <c r="E594" t="s">
        <v>4174</v>
      </c>
      <c r="F594" t="s">
        <v>56</v>
      </c>
      <c r="G594" t="s">
        <v>4175</v>
      </c>
      <c r="H594" t="s">
        <v>7416</v>
      </c>
      <c r="I594" t="b">
        <v>0</v>
      </c>
      <c r="J594">
        <v>22</v>
      </c>
      <c r="K594">
        <v>124</v>
      </c>
      <c r="L594">
        <v>64</v>
      </c>
      <c r="M594">
        <f>COUNTIF(H594:$H$2581,H594)</f>
        <v>1</v>
      </c>
    </row>
    <row r="595" spans="1:13" x14ac:dyDescent="0.2">
      <c r="A595">
        <v>2284</v>
      </c>
      <c r="B595" t="s">
        <v>1070</v>
      </c>
      <c r="C595" t="s">
        <v>4587</v>
      </c>
      <c r="D595" t="s">
        <v>13</v>
      </c>
      <c r="E595" t="s">
        <v>4588</v>
      </c>
      <c r="F595" t="s">
        <v>1073</v>
      </c>
      <c r="G595" t="s">
        <v>4589</v>
      </c>
      <c r="H595" t="s">
        <v>7420</v>
      </c>
      <c r="I595" t="b">
        <v>1</v>
      </c>
      <c r="J595">
        <v>268</v>
      </c>
      <c r="K595">
        <v>2285</v>
      </c>
      <c r="L595">
        <v>4</v>
      </c>
      <c r="M595">
        <f>COUNTIF(H595:$H$2581,H595)</f>
        <v>1</v>
      </c>
    </row>
    <row r="596" spans="1:13" x14ac:dyDescent="0.2">
      <c r="A596">
        <v>345</v>
      </c>
      <c r="B596" t="s">
        <v>455</v>
      </c>
      <c r="C596" t="s">
        <v>4878</v>
      </c>
      <c r="D596" t="s">
        <v>13</v>
      </c>
      <c r="E596" t="s">
        <v>4879</v>
      </c>
      <c r="F596" t="s">
        <v>458</v>
      </c>
      <c r="G596" t="s">
        <v>4880</v>
      </c>
      <c r="H596" t="s">
        <v>7424</v>
      </c>
      <c r="I596" t="b">
        <v>0</v>
      </c>
      <c r="J596">
        <v>49</v>
      </c>
      <c r="K596">
        <v>346</v>
      </c>
      <c r="L596">
        <v>34</v>
      </c>
      <c r="M596">
        <f>COUNTIF(H596:$H$2581,H596)</f>
        <v>1</v>
      </c>
    </row>
    <row r="597" spans="1:13" x14ac:dyDescent="0.2">
      <c r="A597">
        <v>921</v>
      </c>
      <c r="B597" t="s">
        <v>271</v>
      </c>
      <c r="C597" t="s">
        <v>4987</v>
      </c>
      <c r="D597" t="s">
        <v>54</v>
      </c>
      <c r="E597" t="s">
        <v>4988</v>
      </c>
      <c r="F597" t="s">
        <v>274</v>
      </c>
      <c r="G597" t="s">
        <v>4989</v>
      </c>
      <c r="H597" t="s">
        <v>7428</v>
      </c>
      <c r="I597" t="s">
        <v>24</v>
      </c>
      <c r="J597">
        <v>121</v>
      </c>
      <c r="K597">
        <v>922</v>
      </c>
      <c r="L597">
        <v>123</v>
      </c>
      <c r="M597">
        <f>COUNTIF(H597:$H$2581,H597)</f>
        <v>1</v>
      </c>
    </row>
    <row r="598" spans="1:13" x14ac:dyDescent="0.2">
      <c r="A598">
        <v>443</v>
      </c>
      <c r="B598" t="s">
        <v>778</v>
      </c>
      <c r="C598" t="s">
        <v>5252</v>
      </c>
      <c r="D598" t="s">
        <v>13</v>
      </c>
      <c r="E598" t="s">
        <v>5253</v>
      </c>
      <c r="F598" t="s">
        <v>781</v>
      </c>
      <c r="G598" t="s">
        <v>5254</v>
      </c>
      <c r="H598" t="s">
        <v>7432</v>
      </c>
      <c r="I598" t="b">
        <v>0</v>
      </c>
      <c r="J598">
        <v>64</v>
      </c>
      <c r="K598">
        <v>444</v>
      </c>
      <c r="L598">
        <v>35</v>
      </c>
      <c r="M598">
        <f>COUNTIF(H598:$H$2581,H598)</f>
        <v>1</v>
      </c>
    </row>
    <row r="599" spans="1:13" x14ac:dyDescent="0.2">
      <c r="A599">
        <v>1548</v>
      </c>
      <c r="B599" t="s">
        <v>282</v>
      </c>
      <c r="C599" t="s">
        <v>5376</v>
      </c>
      <c r="D599" t="s">
        <v>13</v>
      </c>
      <c r="E599" t="s">
        <v>5377</v>
      </c>
      <c r="F599" t="s">
        <v>285</v>
      </c>
      <c r="G599" t="s">
        <v>5378</v>
      </c>
      <c r="H599" t="s">
        <v>7436</v>
      </c>
      <c r="I599" t="b">
        <v>0</v>
      </c>
      <c r="J599">
        <v>188</v>
      </c>
      <c r="K599">
        <v>1549</v>
      </c>
      <c r="L599">
        <v>24</v>
      </c>
      <c r="M599">
        <f>COUNTIF(H599:$H$2581,H599)</f>
        <v>1</v>
      </c>
    </row>
    <row r="600" spans="1:13" x14ac:dyDescent="0.2">
      <c r="A600">
        <v>1012</v>
      </c>
      <c r="B600" t="s">
        <v>1268</v>
      </c>
      <c r="C600" t="s">
        <v>5512</v>
      </c>
      <c r="D600" t="s">
        <v>13</v>
      </c>
      <c r="E600" t="s">
        <v>5513</v>
      </c>
      <c r="F600" t="s">
        <v>1271</v>
      </c>
      <c r="G600" t="s">
        <v>5514</v>
      </c>
      <c r="H600" t="s">
        <v>7440</v>
      </c>
      <c r="I600" t="s">
        <v>24</v>
      </c>
      <c r="J600">
        <v>126</v>
      </c>
      <c r="K600">
        <v>1013</v>
      </c>
      <c r="L600">
        <v>13</v>
      </c>
      <c r="M600">
        <f>COUNTIF(H600:$H$2581,H600)</f>
        <v>1</v>
      </c>
    </row>
    <row r="601" spans="1:13" x14ac:dyDescent="0.2">
      <c r="A601">
        <v>899</v>
      </c>
      <c r="B601" t="s">
        <v>198</v>
      </c>
      <c r="C601" t="s">
        <v>5597</v>
      </c>
      <c r="D601" t="s">
        <v>33</v>
      </c>
      <c r="E601" t="s">
        <v>5598</v>
      </c>
      <c r="F601" t="s">
        <v>201</v>
      </c>
      <c r="G601" t="s">
        <v>5599</v>
      </c>
      <c r="H601" t="s">
        <v>7444</v>
      </c>
      <c r="I601" t="b">
        <v>0</v>
      </c>
      <c r="J601">
        <v>120</v>
      </c>
      <c r="K601">
        <v>900</v>
      </c>
      <c r="L601">
        <v>50</v>
      </c>
      <c r="M601">
        <f>COUNTIF(H601:$H$2581,H601)</f>
        <v>11</v>
      </c>
    </row>
    <row r="602" spans="1:13" x14ac:dyDescent="0.2">
      <c r="A602">
        <v>1519</v>
      </c>
      <c r="B602" t="s">
        <v>1929</v>
      </c>
      <c r="C602" t="s">
        <v>5781</v>
      </c>
      <c r="D602" t="s">
        <v>33</v>
      </c>
      <c r="E602" t="s">
        <v>5782</v>
      </c>
      <c r="F602" t="s">
        <v>1932</v>
      </c>
      <c r="G602" t="s">
        <v>5783</v>
      </c>
      <c r="H602" t="s">
        <v>7478</v>
      </c>
      <c r="I602" t="b">
        <v>0</v>
      </c>
      <c r="J602">
        <v>184</v>
      </c>
      <c r="K602">
        <v>1520</v>
      </c>
      <c r="L602">
        <v>25</v>
      </c>
      <c r="M602">
        <f>COUNTIF(H602:$H$2581,H602)</f>
        <v>10</v>
      </c>
    </row>
    <row r="603" spans="1:13" x14ac:dyDescent="0.2">
      <c r="A603">
        <v>1606</v>
      </c>
      <c r="B603" t="s">
        <v>1548</v>
      </c>
      <c r="C603" t="s">
        <v>5940</v>
      </c>
      <c r="D603" t="s">
        <v>13</v>
      </c>
      <c r="E603" t="s">
        <v>5941</v>
      </c>
      <c r="F603" t="s">
        <v>1551</v>
      </c>
      <c r="G603" t="s">
        <v>5942</v>
      </c>
      <c r="H603" t="s">
        <v>7509</v>
      </c>
      <c r="I603" t="b">
        <v>0</v>
      </c>
      <c r="J603">
        <v>196</v>
      </c>
      <c r="K603">
        <v>1607</v>
      </c>
      <c r="L603">
        <v>124</v>
      </c>
      <c r="M603">
        <f>COUNTIF(H603:$H$2581,H603)</f>
        <v>12</v>
      </c>
    </row>
    <row r="604" spans="1:13" x14ac:dyDescent="0.2">
      <c r="A604">
        <v>552</v>
      </c>
      <c r="B604" t="s">
        <v>103</v>
      </c>
      <c r="C604" t="s">
        <v>6264</v>
      </c>
      <c r="D604" t="s">
        <v>54</v>
      </c>
      <c r="E604" t="s">
        <v>6290</v>
      </c>
      <c r="F604" t="s">
        <v>105</v>
      </c>
      <c r="G604" t="s">
        <v>6266</v>
      </c>
      <c r="H604" t="s">
        <v>7546</v>
      </c>
      <c r="I604" t="b">
        <v>0</v>
      </c>
      <c r="J604">
        <v>81</v>
      </c>
      <c r="K604">
        <v>553</v>
      </c>
      <c r="L604">
        <v>9</v>
      </c>
      <c r="M604">
        <f>COUNTIF(H604:$H$2581,H604)</f>
        <v>1</v>
      </c>
    </row>
    <row r="605" spans="1:13" x14ac:dyDescent="0.2">
      <c r="A605">
        <v>900</v>
      </c>
      <c r="B605" t="s">
        <v>198</v>
      </c>
      <c r="C605" t="s">
        <v>6393</v>
      </c>
      <c r="D605" t="s">
        <v>33</v>
      </c>
      <c r="E605" t="s">
        <v>6394</v>
      </c>
      <c r="F605" t="s">
        <v>201</v>
      </c>
      <c r="G605" t="s">
        <v>6395</v>
      </c>
      <c r="H605" t="s">
        <v>7550</v>
      </c>
      <c r="I605" t="b">
        <v>0</v>
      </c>
      <c r="J605">
        <v>120</v>
      </c>
      <c r="K605">
        <v>901</v>
      </c>
      <c r="L605">
        <v>161</v>
      </c>
      <c r="M605">
        <f>COUNTIF(H605:$H$2581,H605)</f>
        <v>11</v>
      </c>
    </row>
    <row r="606" spans="1:13" x14ac:dyDescent="0.2">
      <c r="A606">
        <v>1853</v>
      </c>
      <c r="B606" t="s">
        <v>631</v>
      </c>
      <c r="C606" t="s">
        <v>6621</v>
      </c>
      <c r="D606" t="s">
        <v>13</v>
      </c>
      <c r="E606" s="1" t="s">
        <v>6622</v>
      </c>
      <c r="F606" t="s">
        <v>634</v>
      </c>
      <c r="G606" t="s">
        <v>6623</v>
      </c>
      <c r="H606" t="s">
        <v>7588</v>
      </c>
      <c r="I606" t="s">
        <v>24</v>
      </c>
      <c r="J606">
        <v>215</v>
      </c>
      <c r="K606">
        <v>1854</v>
      </c>
      <c r="L606">
        <v>7</v>
      </c>
      <c r="M606">
        <f>COUNTIF(H606:$H$2581,H606)</f>
        <v>1</v>
      </c>
    </row>
    <row r="607" spans="1:13" x14ac:dyDescent="0.2">
      <c r="A607">
        <v>642</v>
      </c>
      <c r="B607" t="s">
        <v>237</v>
      </c>
      <c r="C607" t="s">
        <v>6765</v>
      </c>
      <c r="D607" t="s">
        <v>13</v>
      </c>
      <c r="E607" t="s">
        <v>6766</v>
      </c>
      <c r="F607" t="s">
        <v>240</v>
      </c>
      <c r="G607" t="s">
        <v>6767</v>
      </c>
      <c r="H607" t="s">
        <v>7592</v>
      </c>
      <c r="I607" t="b">
        <v>1</v>
      </c>
      <c r="J607">
        <v>92</v>
      </c>
      <c r="K607">
        <v>643</v>
      </c>
      <c r="L607">
        <v>106</v>
      </c>
      <c r="M607">
        <f>COUNTIF(H607:$H$2581,H607)</f>
        <v>1</v>
      </c>
    </row>
    <row r="608" spans="1:13" x14ac:dyDescent="0.2">
      <c r="A608">
        <v>1448</v>
      </c>
      <c r="B608" t="s">
        <v>2882</v>
      </c>
      <c r="C608" t="s">
        <v>6868</v>
      </c>
      <c r="D608" t="s">
        <v>13</v>
      </c>
      <c r="E608" t="s">
        <v>6869</v>
      </c>
      <c r="F608" t="s">
        <v>2885</v>
      </c>
      <c r="G608" t="s">
        <v>6870</v>
      </c>
      <c r="H608" t="s">
        <v>7596</v>
      </c>
      <c r="I608" t="b">
        <v>1</v>
      </c>
      <c r="J608">
        <v>175</v>
      </c>
      <c r="K608">
        <v>1449</v>
      </c>
      <c r="L608">
        <v>125</v>
      </c>
      <c r="M608">
        <f>COUNTIF(H608:$H$2581,H608)</f>
        <v>1</v>
      </c>
    </row>
    <row r="609" spans="1:13" x14ac:dyDescent="0.2">
      <c r="A609">
        <v>1576</v>
      </c>
      <c r="B609" t="s">
        <v>744</v>
      </c>
      <c r="C609" t="s">
        <v>7079</v>
      </c>
      <c r="D609" t="s">
        <v>13</v>
      </c>
      <c r="E609" t="s">
        <v>7080</v>
      </c>
      <c r="F609" t="s">
        <v>747</v>
      </c>
      <c r="G609" t="s">
        <v>7081</v>
      </c>
      <c r="H609" t="s">
        <v>7600</v>
      </c>
      <c r="I609" t="b">
        <v>0</v>
      </c>
      <c r="J609">
        <v>193</v>
      </c>
      <c r="K609">
        <v>1577</v>
      </c>
      <c r="L609">
        <v>14</v>
      </c>
      <c r="M609">
        <f>COUNTIF(H609:$H$2581,H609)</f>
        <v>1</v>
      </c>
    </row>
    <row r="610" spans="1:13" x14ac:dyDescent="0.2">
      <c r="A610">
        <v>569</v>
      </c>
      <c r="B610" t="s">
        <v>2797</v>
      </c>
      <c r="C610" t="s">
        <v>7357</v>
      </c>
      <c r="D610" t="s">
        <v>54</v>
      </c>
      <c r="E610" t="s">
        <v>7358</v>
      </c>
      <c r="F610" t="s">
        <v>2800</v>
      </c>
      <c r="G610" t="s">
        <v>7359</v>
      </c>
      <c r="H610" t="s">
        <v>7604</v>
      </c>
      <c r="I610" t="s">
        <v>24</v>
      </c>
      <c r="J610">
        <v>84</v>
      </c>
      <c r="K610">
        <v>570</v>
      </c>
      <c r="L610">
        <v>250</v>
      </c>
      <c r="M610">
        <f>COUNTIF(H610:$H$2581,H610)</f>
        <v>1</v>
      </c>
    </row>
    <row r="611" spans="1:13" x14ac:dyDescent="0.2">
      <c r="A611">
        <v>1785</v>
      </c>
      <c r="B611" t="s">
        <v>216</v>
      </c>
      <c r="C611" t="s">
        <v>7813</v>
      </c>
      <c r="D611" t="s">
        <v>13</v>
      </c>
      <c r="E611" t="s">
        <v>7814</v>
      </c>
      <c r="F611" t="s">
        <v>219</v>
      </c>
      <c r="G611" t="s">
        <v>7815</v>
      </c>
      <c r="H611" t="s">
        <v>7608</v>
      </c>
      <c r="I611" t="b">
        <v>1</v>
      </c>
      <c r="J611">
        <v>209</v>
      </c>
      <c r="K611">
        <v>1786</v>
      </c>
      <c r="L611">
        <v>27</v>
      </c>
      <c r="M611">
        <f>COUNTIF(H611:$H$2581,H611)</f>
        <v>3</v>
      </c>
    </row>
    <row r="612" spans="1:13" x14ac:dyDescent="0.2">
      <c r="A612">
        <v>380</v>
      </c>
      <c r="B612" t="s">
        <v>1659</v>
      </c>
      <c r="C612" t="s">
        <v>8019</v>
      </c>
      <c r="D612" t="s">
        <v>33</v>
      </c>
      <c r="E612" t="s">
        <v>8020</v>
      </c>
      <c r="F612" t="s">
        <v>1662</v>
      </c>
      <c r="G612" t="s">
        <v>8021</v>
      </c>
      <c r="H612" t="s">
        <v>7618</v>
      </c>
      <c r="I612" t="b">
        <v>0</v>
      </c>
      <c r="J612">
        <v>52</v>
      </c>
      <c r="K612">
        <v>381</v>
      </c>
      <c r="L612">
        <v>128</v>
      </c>
      <c r="M612">
        <f>COUNTIF(H612:$H$2581,H612)</f>
        <v>1</v>
      </c>
    </row>
    <row r="613" spans="1:13" x14ac:dyDescent="0.2">
      <c r="A613">
        <v>1380</v>
      </c>
      <c r="B613" t="s">
        <v>603</v>
      </c>
      <c r="C613" t="s">
        <v>8195</v>
      </c>
      <c r="D613" t="s">
        <v>13</v>
      </c>
      <c r="E613" t="s">
        <v>8196</v>
      </c>
      <c r="F613" t="s">
        <v>606</v>
      </c>
      <c r="G613" t="s">
        <v>8197</v>
      </c>
      <c r="H613" t="s">
        <v>7622</v>
      </c>
      <c r="I613" t="s">
        <v>24</v>
      </c>
      <c r="J613">
        <v>166</v>
      </c>
      <c r="K613">
        <v>1381</v>
      </c>
      <c r="L613">
        <v>30</v>
      </c>
      <c r="M613">
        <f>COUNTIF(H613:$H$2581,H613)</f>
        <v>1</v>
      </c>
    </row>
    <row r="614" spans="1:13" x14ac:dyDescent="0.2">
      <c r="A614">
        <v>647</v>
      </c>
      <c r="B614" t="s">
        <v>237</v>
      </c>
      <c r="C614" t="s">
        <v>8567</v>
      </c>
      <c r="D614" t="s">
        <v>13</v>
      </c>
      <c r="E614" t="s">
        <v>8568</v>
      </c>
      <c r="F614" t="s">
        <v>240</v>
      </c>
      <c r="G614" t="s">
        <v>8569</v>
      </c>
      <c r="H614" t="s">
        <v>7626</v>
      </c>
      <c r="I614" t="b">
        <v>1</v>
      </c>
      <c r="J614">
        <v>92</v>
      </c>
      <c r="K614">
        <v>648</v>
      </c>
      <c r="L614">
        <v>56</v>
      </c>
      <c r="M614">
        <f>COUNTIF(H614:$H$2581,H614)</f>
        <v>1</v>
      </c>
    </row>
    <row r="615" spans="1:13" x14ac:dyDescent="0.2">
      <c r="A615">
        <v>1735</v>
      </c>
      <c r="B615" t="s">
        <v>725</v>
      </c>
      <c r="C615" t="s">
        <v>8762</v>
      </c>
      <c r="D615" t="s">
        <v>54</v>
      </c>
      <c r="E615" t="s">
        <v>8763</v>
      </c>
      <c r="F615" t="s">
        <v>728</v>
      </c>
      <c r="G615" t="s">
        <v>8764</v>
      </c>
      <c r="H615" t="s">
        <v>7630</v>
      </c>
      <c r="I615" t="b">
        <v>1</v>
      </c>
      <c r="J615">
        <v>205</v>
      </c>
      <c r="K615">
        <v>1736</v>
      </c>
      <c r="L615">
        <v>31</v>
      </c>
      <c r="M615">
        <f>COUNTIF(H615:$H$2581,H615)</f>
        <v>1</v>
      </c>
    </row>
    <row r="616" spans="1:13" x14ac:dyDescent="0.2">
      <c r="A616">
        <v>315</v>
      </c>
      <c r="B616" t="s">
        <v>98</v>
      </c>
      <c r="C616" t="s">
        <v>99</v>
      </c>
      <c r="D616" t="s">
        <v>54</v>
      </c>
      <c r="E616" t="s">
        <v>100</v>
      </c>
      <c r="F616" t="s">
        <v>101</v>
      </c>
      <c r="G616" t="s">
        <v>102</v>
      </c>
      <c r="H616" t="s">
        <v>7634</v>
      </c>
      <c r="I616" t="s">
        <v>24</v>
      </c>
      <c r="J616">
        <v>46</v>
      </c>
      <c r="K616">
        <v>316</v>
      </c>
      <c r="L616">
        <v>45</v>
      </c>
      <c r="M616">
        <f>COUNTIF(H616:$H$2581,H616)</f>
        <v>1</v>
      </c>
    </row>
    <row r="617" spans="1:13" x14ac:dyDescent="0.2">
      <c r="A617">
        <v>316</v>
      </c>
      <c r="B617" t="s">
        <v>98</v>
      </c>
      <c r="C617" t="s">
        <v>354</v>
      </c>
      <c r="D617" t="s">
        <v>54</v>
      </c>
      <c r="E617" t="s">
        <v>355</v>
      </c>
      <c r="F617" t="s">
        <v>101</v>
      </c>
      <c r="G617" t="s">
        <v>356</v>
      </c>
      <c r="H617" t="s">
        <v>7637</v>
      </c>
      <c r="I617" t="s">
        <v>24</v>
      </c>
      <c r="J617">
        <v>46</v>
      </c>
      <c r="K617">
        <v>317</v>
      </c>
      <c r="L617">
        <v>1</v>
      </c>
      <c r="M617">
        <f>COUNTIF(H617:$H$2581,H617)</f>
        <v>3</v>
      </c>
    </row>
    <row r="618" spans="1:13" x14ac:dyDescent="0.2">
      <c r="A618">
        <v>2125</v>
      </c>
      <c r="B618" t="s">
        <v>581</v>
      </c>
      <c r="C618" t="s">
        <v>582</v>
      </c>
      <c r="D618" t="s">
        <v>54</v>
      </c>
      <c r="E618" t="s">
        <v>583</v>
      </c>
      <c r="F618" s="1" t="s">
        <v>584</v>
      </c>
      <c r="G618" t="s">
        <v>585</v>
      </c>
      <c r="H618" t="s">
        <v>7647</v>
      </c>
      <c r="I618" t="b">
        <v>1</v>
      </c>
      <c r="J618">
        <v>246</v>
      </c>
      <c r="K618">
        <v>2126</v>
      </c>
      <c r="L618">
        <v>46</v>
      </c>
      <c r="M618">
        <f>COUNTIF(H618:$H$2581,H618)</f>
        <v>2</v>
      </c>
    </row>
    <row r="619" spans="1:13" x14ac:dyDescent="0.2">
      <c r="A619">
        <v>1791</v>
      </c>
      <c r="B619" t="s">
        <v>1287</v>
      </c>
      <c r="C619" t="s">
        <v>1288</v>
      </c>
      <c r="D619" t="s">
        <v>13</v>
      </c>
      <c r="E619" t="s">
        <v>1289</v>
      </c>
      <c r="F619" t="s">
        <v>1290</v>
      </c>
      <c r="G619" t="s">
        <v>1291</v>
      </c>
      <c r="H619" t="s">
        <v>7654</v>
      </c>
      <c r="I619" t="s">
        <v>24</v>
      </c>
      <c r="J619">
        <v>210</v>
      </c>
      <c r="K619">
        <v>1792</v>
      </c>
      <c r="L619">
        <v>157</v>
      </c>
      <c r="M619">
        <f>COUNTIF(H619:$H$2581,H619)</f>
        <v>2</v>
      </c>
    </row>
    <row r="620" spans="1:13" x14ac:dyDescent="0.2">
      <c r="A620">
        <v>1274</v>
      </c>
      <c r="B620" t="s">
        <v>1273</v>
      </c>
      <c r="C620" t="s">
        <v>1767</v>
      </c>
      <c r="D620" t="s">
        <v>13</v>
      </c>
      <c r="E620" s="1" t="s">
        <v>1768</v>
      </c>
      <c r="F620" t="s">
        <v>1276</v>
      </c>
      <c r="G620" t="s">
        <v>1769</v>
      </c>
      <c r="H620" t="s">
        <v>7661</v>
      </c>
      <c r="I620" t="b">
        <v>1</v>
      </c>
      <c r="J620">
        <v>157</v>
      </c>
      <c r="K620">
        <v>1275</v>
      </c>
      <c r="L620">
        <v>84</v>
      </c>
      <c r="M620">
        <f>COUNTIF(H620:$H$2581,H620)</f>
        <v>1</v>
      </c>
    </row>
    <row r="621" spans="1:13" x14ac:dyDescent="0.2">
      <c r="A621">
        <v>1985</v>
      </c>
      <c r="B621" t="s">
        <v>1952</v>
      </c>
      <c r="C621" t="s">
        <v>1953</v>
      </c>
      <c r="D621" t="s">
        <v>13</v>
      </c>
      <c r="E621" t="s">
        <v>1954</v>
      </c>
      <c r="F621" t="s">
        <v>1955</v>
      </c>
      <c r="G621" t="s">
        <v>1956</v>
      </c>
      <c r="H621" t="s">
        <v>7665</v>
      </c>
      <c r="I621" t="s">
        <v>24</v>
      </c>
      <c r="J621">
        <v>229</v>
      </c>
      <c r="K621">
        <v>1986</v>
      </c>
      <c r="L621">
        <v>10</v>
      </c>
      <c r="M621">
        <f>COUNTIF(H621:$H$2581,H621)</f>
        <v>1</v>
      </c>
    </row>
    <row r="622" spans="1:13" x14ac:dyDescent="0.2">
      <c r="A622">
        <v>1396</v>
      </c>
      <c r="B622" t="s">
        <v>170</v>
      </c>
      <c r="C622" t="s">
        <v>2372</v>
      </c>
      <c r="D622" t="s">
        <v>13</v>
      </c>
      <c r="E622" t="s">
        <v>2373</v>
      </c>
      <c r="F622" t="s">
        <v>173</v>
      </c>
      <c r="G622" t="s">
        <v>2374</v>
      </c>
      <c r="H622" t="s">
        <v>7669</v>
      </c>
      <c r="I622" t="b">
        <v>1</v>
      </c>
      <c r="J622">
        <v>168</v>
      </c>
      <c r="K622">
        <v>1397</v>
      </c>
      <c r="L622">
        <v>121</v>
      </c>
      <c r="M622">
        <f>COUNTIF(H622:$H$2581,H622)</f>
        <v>1</v>
      </c>
    </row>
    <row r="623" spans="1:13" x14ac:dyDescent="0.2">
      <c r="A623">
        <v>377</v>
      </c>
      <c r="B623" t="s">
        <v>1659</v>
      </c>
      <c r="C623" t="s">
        <v>2812</v>
      </c>
      <c r="D623" t="s">
        <v>13</v>
      </c>
      <c r="E623" t="s">
        <v>2813</v>
      </c>
      <c r="F623" t="s">
        <v>1662</v>
      </c>
      <c r="G623" t="s">
        <v>2814</v>
      </c>
      <c r="H623" t="s">
        <v>7673</v>
      </c>
      <c r="I623" t="b">
        <v>0</v>
      </c>
      <c r="J623">
        <v>52</v>
      </c>
      <c r="K623">
        <v>378</v>
      </c>
      <c r="L623">
        <v>17</v>
      </c>
      <c r="M623">
        <f>COUNTIF(H623:$H$2581,H623)</f>
        <v>2</v>
      </c>
    </row>
    <row r="624" spans="1:13" x14ac:dyDescent="0.2">
      <c r="A624">
        <v>1053</v>
      </c>
      <c r="B624" t="s">
        <v>1884</v>
      </c>
      <c r="C624" t="s">
        <v>3275</v>
      </c>
      <c r="D624" t="s">
        <v>13</v>
      </c>
      <c r="E624" t="s">
        <v>3276</v>
      </c>
      <c r="F624" t="s">
        <v>1887</v>
      </c>
      <c r="G624" t="s">
        <v>3277</v>
      </c>
      <c r="H624" t="s">
        <v>7680</v>
      </c>
      <c r="I624" t="s">
        <v>24</v>
      </c>
      <c r="J624">
        <v>131</v>
      </c>
      <c r="K624">
        <v>1054</v>
      </c>
      <c r="L624">
        <v>21</v>
      </c>
      <c r="M624">
        <f>COUNTIF(H624:$H$2581,H624)</f>
        <v>14</v>
      </c>
    </row>
    <row r="625" spans="1:13" x14ac:dyDescent="0.2">
      <c r="A625">
        <v>537</v>
      </c>
      <c r="B625" t="s">
        <v>188</v>
      </c>
      <c r="C625" t="s">
        <v>3420</v>
      </c>
      <c r="D625" t="s">
        <v>54</v>
      </c>
      <c r="E625" t="s">
        <v>3421</v>
      </c>
      <c r="F625" t="s">
        <v>191</v>
      </c>
      <c r="G625" t="s">
        <v>3422</v>
      </c>
      <c r="H625" t="s">
        <v>7721</v>
      </c>
      <c r="I625" t="b">
        <v>0</v>
      </c>
      <c r="J625">
        <v>80</v>
      </c>
      <c r="K625">
        <v>538</v>
      </c>
      <c r="L625">
        <v>240</v>
      </c>
      <c r="M625">
        <f>COUNTIF(H625:$H$2581,H625)</f>
        <v>1</v>
      </c>
    </row>
    <row r="626" spans="1:13" x14ac:dyDescent="0.2">
      <c r="A626">
        <v>1650</v>
      </c>
      <c r="B626" t="s">
        <v>3361</v>
      </c>
      <c r="C626" t="s">
        <v>3598</v>
      </c>
      <c r="D626" t="s">
        <v>13</v>
      </c>
      <c r="E626" t="s">
        <v>3599</v>
      </c>
      <c r="F626" t="s">
        <v>3364</v>
      </c>
      <c r="G626" t="s">
        <v>3600</v>
      </c>
      <c r="H626" t="s">
        <v>7725</v>
      </c>
      <c r="I626" t="b">
        <v>0</v>
      </c>
      <c r="J626">
        <v>198</v>
      </c>
      <c r="K626">
        <v>1651</v>
      </c>
      <c r="L626">
        <v>39</v>
      </c>
      <c r="M626">
        <f>COUNTIF(H626:$H$2581,H626)</f>
        <v>1</v>
      </c>
    </row>
    <row r="627" spans="1:13" x14ac:dyDescent="0.2">
      <c r="A627">
        <v>1284</v>
      </c>
      <c r="B627" t="s">
        <v>1221</v>
      </c>
      <c r="C627" t="s">
        <v>3738</v>
      </c>
      <c r="D627" t="s">
        <v>13</v>
      </c>
      <c r="E627" t="s">
        <v>3739</v>
      </c>
      <c r="F627" t="s">
        <v>1224</v>
      </c>
      <c r="G627" t="s">
        <v>3740</v>
      </c>
      <c r="H627" t="s">
        <v>7729</v>
      </c>
      <c r="I627" t="b">
        <v>1</v>
      </c>
      <c r="J627">
        <v>158</v>
      </c>
      <c r="K627">
        <v>1285</v>
      </c>
      <c r="L627">
        <v>22</v>
      </c>
      <c r="M627">
        <f>COUNTIF(H627:$H$2581,H627)</f>
        <v>45</v>
      </c>
    </row>
    <row r="628" spans="1:13" x14ac:dyDescent="0.2">
      <c r="A628">
        <v>851</v>
      </c>
      <c r="B628" t="s">
        <v>193</v>
      </c>
      <c r="C628" t="s">
        <v>3816</v>
      </c>
      <c r="D628" t="s">
        <v>54</v>
      </c>
      <c r="E628" t="s">
        <v>3817</v>
      </c>
      <c r="F628" t="s">
        <v>196</v>
      </c>
      <c r="G628" t="s">
        <v>3818</v>
      </c>
      <c r="H628" t="s">
        <v>7864</v>
      </c>
      <c r="I628" t="s">
        <v>24</v>
      </c>
      <c r="J628">
        <v>117</v>
      </c>
      <c r="K628">
        <v>852</v>
      </c>
      <c r="L628">
        <v>270</v>
      </c>
      <c r="M628">
        <f>COUNTIF(H628:$H$2581,H628)</f>
        <v>1</v>
      </c>
    </row>
    <row r="629" spans="1:13" x14ac:dyDescent="0.2">
      <c r="A629">
        <v>1323</v>
      </c>
      <c r="B629" t="s">
        <v>1157</v>
      </c>
      <c r="C629" t="s">
        <v>4028</v>
      </c>
      <c r="D629" t="s">
        <v>54</v>
      </c>
      <c r="E629" t="s">
        <v>4029</v>
      </c>
      <c r="F629" t="s">
        <v>1160</v>
      </c>
      <c r="G629" t="s">
        <v>4030</v>
      </c>
      <c r="H629" t="s">
        <v>7868</v>
      </c>
      <c r="I629" t="b">
        <v>0</v>
      </c>
      <c r="J629">
        <v>162</v>
      </c>
      <c r="K629">
        <v>1324</v>
      </c>
      <c r="L629">
        <v>23</v>
      </c>
      <c r="M629">
        <f>COUNTIF(H629:$H$2581,H629)</f>
        <v>1</v>
      </c>
    </row>
    <row r="630" spans="1:13" x14ac:dyDescent="0.2">
      <c r="A630">
        <v>136</v>
      </c>
      <c r="B630" t="s">
        <v>58</v>
      </c>
      <c r="C630" t="s">
        <v>4176</v>
      </c>
      <c r="D630" t="s">
        <v>54</v>
      </c>
      <c r="E630" t="s">
        <v>4177</v>
      </c>
      <c r="F630" t="s">
        <v>61</v>
      </c>
      <c r="G630" t="s">
        <v>4178</v>
      </c>
      <c r="H630" t="s">
        <v>7872</v>
      </c>
      <c r="I630" t="b">
        <v>0</v>
      </c>
      <c r="J630">
        <v>24</v>
      </c>
      <c r="K630">
        <v>137</v>
      </c>
      <c r="L630">
        <v>64</v>
      </c>
      <c r="M630">
        <f>COUNTIF(H630:$H$2581,H630)</f>
        <v>1</v>
      </c>
    </row>
    <row r="631" spans="1:13" x14ac:dyDescent="0.2">
      <c r="A631">
        <v>2285</v>
      </c>
      <c r="B631" t="s">
        <v>1070</v>
      </c>
      <c r="C631" t="s">
        <v>4590</v>
      </c>
      <c r="D631" t="s">
        <v>13</v>
      </c>
      <c r="E631" t="s">
        <v>4591</v>
      </c>
      <c r="F631" t="s">
        <v>1073</v>
      </c>
      <c r="G631" t="s">
        <v>4592</v>
      </c>
      <c r="H631" t="s">
        <v>7876</v>
      </c>
      <c r="I631" t="b">
        <v>1</v>
      </c>
      <c r="J631">
        <v>268</v>
      </c>
      <c r="K631">
        <v>2286</v>
      </c>
      <c r="L631">
        <v>4</v>
      </c>
      <c r="M631">
        <f>COUNTIF(H631:$H$2581,H631)</f>
        <v>1</v>
      </c>
    </row>
    <row r="632" spans="1:13" x14ac:dyDescent="0.2">
      <c r="A632">
        <v>441</v>
      </c>
      <c r="B632" t="s">
        <v>778</v>
      </c>
      <c r="C632" t="s">
        <v>4881</v>
      </c>
      <c r="D632" t="s">
        <v>54</v>
      </c>
      <c r="E632" t="s">
        <v>4882</v>
      </c>
      <c r="F632" t="s">
        <v>781</v>
      </c>
      <c r="G632" t="s">
        <v>4883</v>
      </c>
      <c r="H632" t="s">
        <v>7880</v>
      </c>
      <c r="I632" t="b">
        <v>0</v>
      </c>
      <c r="J632">
        <v>64</v>
      </c>
      <c r="K632">
        <v>442</v>
      </c>
      <c r="L632">
        <v>34</v>
      </c>
      <c r="M632">
        <f>COUNTIF(H632:$H$2581,H632)</f>
        <v>6</v>
      </c>
    </row>
    <row r="633" spans="1:13" x14ac:dyDescent="0.2">
      <c r="A633">
        <v>1061</v>
      </c>
      <c r="B633" t="s">
        <v>1884</v>
      </c>
      <c r="C633" t="s">
        <v>4990</v>
      </c>
      <c r="D633" t="s">
        <v>54</v>
      </c>
      <c r="E633" t="s">
        <v>4991</v>
      </c>
      <c r="F633" t="s">
        <v>1887</v>
      </c>
      <c r="G633" t="s">
        <v>4992</v>
      </c>
      <c r="H633" t="s">
        <v>7899</v>
      </c>
      <c r="I633" t="s">
        <v>24</v>
      </c>
      <c r="J633">
        <v>131</v>
      </c>
      <c r="K633">
        <v>1062</v>
      </c>
      <c r="L633">
        <v>123</v>
      </c>
      <c r="M633">
        <f>COUNTIF(H633:$H$2581,H633)</f>
        <v>2</v>
      </c>
    </row>
    <row r="634" spans="1:13" x14ac:dyDescent="0.2">
      <c r="A634">
        <v>525</v>
      </c>
      <c r="B634" t="s">
        <v>881</v>
      </c>
      <c r="C634" t="s">
        <v>5255</v>
      </c>
      <c r="D634" t="s">
        <v>13</v>
      </c>
      <c r="E634" t="s">
        <v>5256</v>
      </c>
      <c r="F634" t="s">
        <v>884</v>
      </c>
      <c r="G634" t="s">
        <v>5257</v>
      </c>
      <c r="H634" t="s">
        <v>7906</v>
      </c>
      <c r="I634" t="s">
        <v>24</v>
      </c>
      <c r="J634">
        <v>77</v>
      </c>
      <c r="K634">
        <v>526</v>
      </c>
      <c r="L634">
        <v>35</v>
      </c>
      <c r="M634">
        <f>COUNTIF(H634:$H$2581,H634)</f>
        <v>14</v>
      </c>
    </row>
    <row r="635" spans="1:13" x14ac:dyDescent="0.2">
      <c r="A635">
        <v>1678</v>
      </c>
      <c r="B635" t="s">
        <v>1112</v>
      </c>
      <c r="C635" t="s">
        <v>5379</v>
      </c>
      <c r="D635" t="s">
        <v>13</v>
      </c>
      <c r="E635" t="s">
        <v>5380</v>
      </c>
      <c r="F635" t="s">
        <v>1115</v>
      </c>
      <c r="G635" t="s">
        <v>5381</v>
      </c>
      <c r="H635" t="s">
        <v>7949</v>
      </c>
      <c r="I635" t="b">
        <v>1</v>
      </c>
      <c r="J635">
        <v>202</v>
      </c>
      <c r="K635">
        <v>1679</v>
      </c>
      <c r="L635">
        <v>24</v>
      </c>
      <c r="M635">
        <f>COUNTIF(H635:$H$2581,H635)</f>
        <v>1</v>
      </c>
    </row>
    <row r="636" spans="1:13" x14ac:dyDescent="0.2">
      <c r="A636">
        <v>1020</v>
      </c>
      <c r="B636" t="s">
        <v>3182</v>
      </c>
      <c r="C636" t="s">
        <v>5515</v>
      </c>
      <c r="D636" t="s">
        <v>54</v>
      </c>
      <c r="E636" t="s">
        <v>5516</v>
      </c>
      <c r="F636" t="s">
        <v>3185</v>
      </c>
      <c r="G636" t="s">
        <v>5517</v>
      </c>
      <c r="H636" t="s">
        <v>7953</v>
      </c>
      <c r="I636" t="s">
        <v>24</v>
      </c>
      <c r="J636">
        <v>127</v>
      </c>
      <c r="K636">
        <v>1021</v>
      </c>
      <c r="L636">
        <v>13</v>
      </c>
      <c r="M636">
        <f>COUNTIF(H636:$H$2581,H636)</f>
        <v>1</v>
      </c>
    </row>
    <row r="637" spans="1:13" x14ac:dyDescent="0.2">
      <c r="A637">
        <v>922</v>
      </c>
      <c r="B637" t="s">
        <v>271</v>
      </c>
      <c r="C637" t="s">
        <v>5600</v>
      </c>
      <c r="D637" t="s">
        <v>54</v>
      </c>
      <c r="E637" t="s">
        <v>5601</v>
      </c>
      <c r="F637" t="s">
        <v>274</v>
      </c>
      <c r="G637" t="s">
        <v>5602</v>
      </c>
      <c r="H637" t="s">
        <v>7957</v>
      </c>
      <c r="I637" t="s">
        <v>24</v>
      </c>
      <c r="J637">
        <v>121</v>
      </c>
      <c r="K637">
        <v>923</v>
      </c>
      <c r="L637">
        <v>50</v>
      </c>
      <c r="M637">
        <f>COUNTIF(H637:$H$2581,H637)</f>
        <v>1</v>
      </c>
    </row>
    <row r="638" spans="1:13" x14ac:dyDescent="0.2">
      <c r="A638">
        <v>1740</v>
      </c>
      <c r="B638" t="s">
        <v>1497</v>
      </c>
      <c r="C638" t="s">
        <v>5784</v>
      </c>
      <c r="D638" t="s">
        <v>33</v>
      </c>
      <c r="E638" t="s">
        <v>5785</v>
      </c>
      <c r="F638" t="s">
        <v>1500</v>
      </c>
      <c r="G638" t="s">
        <v>5786</v>
      </c>
      <c r="H638" t="s">
        <v>7961</v>
      </c>
      <c r="I638" t="b">
        <v>0</v>
      </c>
      <c r="J638">
        <v>206</v>
      </c>
      <c r="K638">
        <v>1741</v>
      </c>
      <c r="L638">
        <v>25</v>
      </c>
      <c r="M638">
        <f>COUNTIF(H638:$H$2581,H638)</f>
        <v>13</v>
      </c>
    </row>
    <row r="639" spans="1:13" x14ac:dyDescent="0.2">
      <c r="A639">
        <v>1631</v>
      </c>
      <c r="B639" t="s">
        <v>720</v>
      </c>
      <c r="C639" t="s">
        <v>5943</v>
      </c>
      <c r="D639" t="s">
        <v>13</v>
      </c>
      <c r="E639" t="s">
        <v>5944</v>
      </c>
      <c r="F639" t="s">
        <v>723</v>
      </c>
      <c r="G639" t="s">
        <v>5945</v>
      </c>
      <c r="H639" t="s">
        <v>8000</v>
      </c>
      <c r="I639" t="b">
        <v>1</v>
      </c>
      <c r="J639">
        <v>197</v>
      </c>
      <c r="K639">
        <v>1632</v>
      </c>
      <c r="L639">
        <v>124</v>
      </c>
      <c r="M639">
        <f>COUNTIF(H639:$H$2581,H639)</f>
        <v>3</v>
      </c>
    </row>
    <row r="640" spans="1:13" x14ac:dyDescent="0.2">
      <c r="A640">
        <v>583</v>
      </c>
      <c r="B640" t="s">
        <v>3533</v>
      </c>
      <c r="C640" t="s">
        <v>6291</v>
      </c>
      <c r="D640" t="s">
        <v>54</v>
      </c>
      <c r="E640" t="s">
        <v>6292</v>
      </c>
      <c r="F640" t="s">
        <v>3536</v>
      </c>
      <c r="G640" t="s">
        <v>6293</v>
      </c>
      <c r="H640" t="s">
        <v>8010</v>
      </c>
      <c r="I640" t="s">
        <v>24</v>
      </c>
      <c r="J640">
        <v>87</v>
      </c>
      <c r="K640">
        <v>584</v>
      </c>
      <c r="L640">
        <v>9</v>
      </c>
      <c r="M640">
        <f>COUNTIF(H640:$H$2581,H640)</f>
        <v>1</v>
      </c>
    </row>
    <row r="641" spans="1:13" x14ac:dyDescent="0.2">
      <c r="A641">
        <v>974</v>
      </c>
      <c r="B641" t="s">
        <v>203</v>
      </c>
      <c r="C641" t="s">
        <v>6396</v>
      </c>
      <c r="D641" t="s">
        <v>54</v>
      </c>
      <c r="E641" t="s">
        <v>6397</v>
      </c>
      <c r="F641" t="s">
        <v>206</v>
      </c>
      <c r="G641" t="s">
        <v>6398</v>
      </c>
      <c r="H641" t="s">
        <v>8014</v>
      </c>
      <c r="I641" t="b">
        <v>1</v>
      </c>
      <c r="J641">
        <v>123</v>
      </c>
      <c r="K641">
        <v>975</v>
      </c>
      <c r="L641">
        <v>161</v>
      </c>
      <c r="M641">
        <f>COUNTIF(H641:$H$2581,H641)</f>
        <v>1</v>
      </c>
    </row>
    <row r="642" spans="1:13" x14ac:dyDescent="0.2">
      <c r="A642">
        <v>1859</v>
      </c>
      <c r="B642" t="s">
        <v>1295</v>
      </c>
      <c r="C642" t="s">
        <v>6624</v>
      </c>
      <c r="D642" t="s">
        <v>13</v>
      </c>
      <c r="E642" t="s">
        <v>6625</v>
      </c>
      <c r="F642" t="s">
        <v>1297</v>
      </c>
      <c r="G642" t="s">
        <v>6626</v>
      </c>
      <c r="H642" t="s">
        <v>8018</v>
      </c>
      <c r="I642" t="s">
        <v>24</v>
      </c>
      <c r="J642">
        <v>216</v>
      </c>
      <c r="K642">
        <v>1860</v>
      </c>
      <c r="L642">
        <v>7</v>
      </c>
      <c r="M642">
        <f>COUNTIF(H642:$H$2581,H642)</f>
        <v>17</v>
      </c>
    </row>
    <row r="643" spans="1:13" x14ac:dyDescent="0.2">
      <c r="A643">
        <v>686</v>
      </c>
      <c r="B643" t="s">
        <v>3704</v>
      </c>
      <c r="C643" t="s">
        <v>6768</v>
      </c>
      <c r="D643" t="s">
        <v>54</v>
      </c>
      <c r="E643" t="s">
        <v>6769</v>
      </c>
      <c r="F643" t="s">
        <v>3707</v>
      </c>
      <c r="G643" t="s">
        <v>6770</v>
      </c>
      <c r="H643" t="s">
        <v>8072</v>
      </c>
      <c r="I643" t="s">
        <v>24</v>
      </c>
      <c r="J643">
        <v>101</v>
      </c>
      <c r="K643">
        <v>687</v>
      </c>
      <c r="L643">
        <v>106</v>
      </c>
      <c r="M643">
        <f>COUNTIF(H643:$H$2581,H643)</f>
        <v>1</v>
      </c>
    </row>
    <row r="644" spans="1:13" x14ac:dyDescent="0.2">
      <c r="A644">
        <v>1638</v>
      </c>
      <c r="B644" t="s">
        <v>720</v>
      </c>
      <c r="C644" t="s">
        <v>6871</v>
      </c>
      <c r="D644" t="s">
        <v>13</v>
      </c>
      <c r="E644" t="s">
        <v>6872</v>
      </c>
      <c r="F644" t="s">
        <v>723</v>
      </c>
      <c r="G644" t="s">
        <v>6873</v>
      </c>
      <c r="H644" t="s">
        <v>8076</v>
      </c>
      <c r="I644" t="b">
        <v>1</v>
      </c>
      <c r="J644">
        <v>197</v>
      </c>
      <c r="K644">
        <v>1639</v>
      </c>
      <c r="L644">
        <v>125</v>
      </c>
      <c r="M644">
        <f>COUNTIF(H644:$H$2581,H644)</f>
        <v>1</v>
      </c>
    </row>
    <row r="645" spans="1:13" x14ac:dyDescent="0.2">
      <c r="A645">
        <v>1639</v>
      </c>
      <c r="B645" t="s">
        <v>720</v>
      </c>
      <c r="C645" t="s">
        <v>7082</v>
      </c>
      <c r="D645" t="s">
        <v>54</v>
      </c>
      <c r="E645" t="s">
        <v>7083</v>
      </c>
      <c r="F645" t="s">
        <v>723</v>
      </c>
      <c r="G645" t="s">
        <v>7084</v>
      </c>
      <c r="H645" t="s">
        <v>8080</v>
      </c>
      <c r="I645" t="b">
        <v>1</v>
      </c>
      <c r="J645">
        <v>197</v>
      </c>
      <c r="K645">
        <v>1640</v>
      </c>
      <c r="L645">
        <v>14</v>
      </c>
      <c r="M645">
        <f>COUNTIF(H645:$H$2581,H645)</f>
        <v>6</v>
      </c>
    </row>
    <row r="646" spans="1:13" x14ac:dyDescent="0.2">
      <c r="A646">
        <v>645</v>
      </c>
      <c r="B646" t="s">
        <v>237</v>
      </c>
      <c r="C646" t="s">
        <v>7361</v>
      </c>
      <c r="D646" t="s">
        <v>54</v>
      </c>
      <c r="E646" t="s">
        <v>7362</v>
      </c>
      <c r="F646" t="s">
        <v>240</v>
      </c>
      <c r="G646" t="s">
        <v>7363</v>
      </c>
      <c r="H646" t="s">
        <v>8099</v>
      </c>
      <c r="I646" t="b">
        <v>1</v>
      </c>
      <c r="J646">
        <v>92</v>
      </c>
      <c r="K646">
        <v>646</v>
      </c>
      <c r="L646">
        <v>250</v>
      </c>
      <c r="M646">
        <f>COUNTIF(H646:$H$2581,H646)</f>
        <v>12</v>
      </c>
    </row>
    <row r="647" spans="1:13" x14ac:dyDescent="0.2">
      <c r="A647">
        <v>1808</v>
      </c>
      <c r="B647" t="s">
        <v>1287</v>
      </c>
      <c r="C647" t="s">
        <v>7816</v>
      </c>
      <c r="D647" t="s">
        <v>13</v>
      </c>
      <c r="E647" t="s">
        <v>7817</v>
      </c>
      <c r="F647" t="s">
        <v>1290</v>
      </c>
      <c r="G647" t="s">
        <v>7818</v>
      </c>
      <c r="H647" t="s">
        <v>8136</v>
      </c>
      <c r="I647" t="s">
        <v>24</v>
      </c>
      <c r="J647">
        <v>210</v>
      </c>
      <c r="K647">
        <v>1809</v>
      </c>
      <c r="L647">
        <v>27</v>
      </c>
      <c r="M647">
        <f>COUNTIF(H647:$H$2581,H647)</f>
        <v>1</v>
      </c>
    </row>
    <row r="648" spans="1:13" x14ac:dyDescent="0.2">
      <c r="A648">
        <v>508</v>
      </c>
      <c r="B648" t="s">
        <v>2129</v>
      </c>
      <c r="C648" t="s">
        <v>8022</v>
      </c>
      <c r="D648" t="s">
        <v>33</v>
      </c>
      <c r="E648" t="s">
        <v>8023</v>
      </c>
      <c r="F648" t="s">
        <v>2132</v>
      </c>
      <c r="G648" t="s">
        <v>8024</v>
      </c>
      <c r="H648" t="s">
        <v>8140</v>
      </c>
      <c r="I648" t="b">
        <v>0</v>
      </c>
      <c r="J648">
        <v>72</v>
      </c>
      <c r="K648">
        <v>509</v>
      </c>
      <c r="L648">
        <v>128</v>
      </c>
      <c r="M648">
        <f>COUNTIF(H648:$H$2581,H648)</f>
        <v>35</v>
      </c>
    </row>
    <row r="649" spans="1:13" x14ac:dyDescent="0.2">
      <c r="A649">
        <v>1381</v>
      </c>
      <c r="B649" t="s">
        <v>603</v>
      </c>
      <c r="C649" t="s">
        <v>8198</v>
      </c>
      <c r="D649" t="s">
        <v>33</v>
      </c>
      <c r="E649" t="s">
        <v>8199</v>
      </c>
      <c r="F649" t="s">
        <v>606</v>
      </c>
      <c r="G649" t="s">
        <v>8200</v>
      </c>
      <c r="H649" t="s">
        <v>8246</v>
      </c>
      <c r="I649" t="s">
        <v>24</v>
      </c>
      <c r="J649">
        <v>166</v>
      </c>
      <c r="K649">
        <v>1382</v>
      </c>
      <c r="L649">
        <v>30</v>
      </c>
      <c r="M649">
        <f>COUNTIF(H649:$H$2581,H649)</f>
        <v>1</v>
      </c>
    </row>
    <row r="650" spans="1:13" x14ac:dyDescent="0.2">
      <c r="A650">
        <v>802</v>
      </c>
      <c r="B650" t="s">
        <v>116</v>
      </c>
      <c r="C650" t="s">
        <v>8570</v>
      </c>
      <c r="D650" t="s">
        <v>54</v>
      </c>
      <c r="E650" t="s">
        <v>8571</v>
      </c>
      <c r="F650" t="s">
        <v>119</v>
      </c>
      <c r="G650" t="s">
        <v>8572</v>
      </c>
      <c r="H650" t="s">
        <v>8250</v>
      </c>
      <c r="I650" t="s">
        <v>24</v>
      </c>
      <c r="J650">
        <v>112</v>
      </c>
      <c r="K650">
        <v>803</v>
      </c>
      <c r="L650">
        <v>56</v>
      </c>
      <c r="M650">
        <f>COUNTIF(H650:$H$2581,H650)</f>
        <v>2</v>
      </c>
    </row>
    <row r="651" spans="1:13" x14ac:dyDescent="0.2">
      <c r="A651">
        <v>1789</v>
      </c>
      <c r="B651" t="s">
        <v>216</v>
      </c>
      <c r="C651" t="s">
        <v>8765</v>
      </c>
      <c r="D651" t="s">
        <v>13</v>
      </c>
      <c r="E651" t="s">
        <v>8766</v>
      </c>
      <c r="F651" t="s">
        <v>219</v>
      </c>
      <c r="G651" t="s">
        <v>8767</v>
      </c>
      <c r="H651" t="s">
        <v>8257</v>
      </c>
      <c r="I651" t="b">
        <v>1</v>
      </c>
      <c r="J651">
        <v>209</v>
      </c>
      <c r="K651">
        <v>1790</v>
      </c>
      <c r="L651">
        <v>31</v>
      </c>
      <c r="M651">
        <f>COUNTIF(H651:$H$2581,H651)</f>
        <v>2</v>
      </c>
    </row>
    <row r="652" spans="1:13" x14ac:dyDescent="0.2">
      <c r="A652">
        <v>214</v>
      </c>
      <c r="B652" t="s">
        <v>93</v>
      </c>
      <c r="C652" t="s">
        <v>94</v>
      </c>
      <c r="D652" t="s">
        <v>13</v>
      </c>
      <c r="E652" t="s">
        <v>95</v>
      </c>
      <c r="F652" t="s">
        <v>96</v>
      </c>
      <c r="G652" t="s">
        <v>97</v>
      </c>
      <c r="H652" t="s">
        <v>8264</v>
      </c>
      <c r="I652" t="b">
        <v>1</v>
      </c>
      <c r="J652">
        <v>38</v>
      </c>
      <c r="K652">
        <v>215</v>
      </c>
      <c r="L652">
        <v>45</v>
      </c>
      <c r="M652">
        <f>COUNTIF(H652:$H$2581,H652)</f>
        <v>1</v>
      </c>
    </row>
    <row r="653" spans="1:13" x14ac:dyDescent="0.2">
      <c r="A653">
        <v>207</v>
      </c>
      <c r="B653" t="s">
        <v>88</v>
      </c>
      <c r="C653" t="s">
        <v>351</v>
      </c>
      <c r="D653" t="s">
        <v>13</v>
      </c>
      <c r="E653" t="s">
        <v>352</v>
      </c>
      <c r="F653" t="s">
        <v>91</v>
      </c>
      <c r="G653" t="s">
        <v>353</v>
      </c>
      <c r="H653" t="s">
        <v>8268</v>
      </c>
      <c r="I653" t="s">
        <v>24</v>
      </c>
      <c r="J653">
        <v>37</v>
      </c>
      <c r="K653">
        <v>208</v>
      </c>
      <c r="L653">
        <v>1</v>
      </c>
      <c r="M653">
        <f>COUNTIF(H653:$H$2581,H653)</f>
        <v>1</v>
      </c>
    </row>
    <row r="654" spans="1:13" x14ac:dyDescent="0.2">
      <c r="A654">
        <v>2118</v>
      </c>
      <c r="B654" t="s">
        <v>576</v>
      </c>
      <c r="C654" t="s">
        <v>577</v>
      </c>
      <c r="D654" t="s">
        <v>54</v>
      </c>
      <c r="E654" t="s">
        <v>578</v>
      </c>
      <c r="F654" t="s">
        <v>579</v>
      </c>
      <c r="G654" t="s">
        <v>580</v>
      </c>
      <c r="H654" t="s">
        <v>8272</v>
      </c>
      <c r="I654" t="s">
        <v>24</v>
      </c>
      <c r="J654">
        <v>244</v>
      </c>
      <c r="K654">
        <v>2119</v>
      </c>
      <c r="L654">
        <v>46</v>
      </c>
      <c r="M654">
        <f>COUNTIF(H654:$H$2581,H654)</f>
        <v>1</v>
      </c>
    </row>
    <row r="655" spans="1:13" x14ac:dyDescent="0.2">
      <c r="A655">
        <v>1849</v>
      </c>
      <c r="B655" t="s">
        <v>631</v>
      </c>
      <c r="C655" t="s">
        <v>1292</v>
      </c>
      <c r="D655" t="s">
        <v>54</v>
      </c>
      <c r="E655" t="s">
        <v>1293</v>
      </c>
      <c r="F655" t="s">
        <v>634</v>
      </c>
      <c r="G655" t="s">
        <v>1294</v>
      </c>
      <c r="H655" t="s">
        <v>8276</v>
      </c>
      <c r="I655" t="s">
        <v>24</v>
      </c>
      <c r="J655">
        <v>215</v>
      </c>
      <c r="K655">
        <v>1850</v>
      </c>
      <c r="L655">
        <v>157</v>
      </c>
      <c r="M655">
        <f>COUNTIF(H655:$H$2581,H655)</f>
        <v>1</v>
      </c>
    </row>
    <row r="656" spans="1:13" x14ac:dyDescent="0.2">
      <c r="A656">
        <v>1405</v>
      </c>
      <c r="B656" t="s">
        <v>1397</v>
      </c>
      <c r="C656" t="s">
        <v>1770</v>
      </c>
      <c r="D656" t="s">
        <v>13</v>
      </c>
      <c r="E656" t="s">
        <v>1771</v>
      </c>
      <c r="F656" t="s">
        <v>1400</v>
      </c>
      <c r="G656" t="s">
        <v>1772</v>
      </c>
      <c r="H656" t="s">
        <v>8280</v>
      </c>
      <c r="I656" t="b">
        <v>1</v>
      </c>
      <c r="J656">
        <v>169</v>
      </c>
      <c r="K656">
        <v>1406</v>
      </c>
      <c r="L656">
        <v>84</v>
      </c>
      <c r="M656">
        <f>COUNTIF(H656:$H$2581,H656)</f>
        <v>1</v>
      </c>
    </row>
    <row r="657" spans="1:13" x14ac:dyDescent="0.2">
      <c r="A657">
        <v>1993</v>
      </c>
      <c r="B657" t="s">
        <v>1957</v>
      </c>
      <c r="C657" t="s">
        <v>1958</v>
      </c>
      <c r="D657" t="s">
        <v>13</v>
      </c>
      <c r="E657" t="s">
        <v>1959</v>
      </c>
      <c r="F657" t="s">
        <v>1960</v>
      </c>
      <c r="G657" t="s">
        <v>1961</v>
      </c>
      <c r="H657" t="s">
        <v>8284</v>
      </c>
      <c r="I657" t="s">
        <v>24</v>
      </c>
      <c r="J657">
        <v>231</v>
      </c>
      <c r="K657">
        <v>1994</v>
      </c>
      <c r="L657">
        <v>10</v>
      </c>
      <c r="M657">
        <f>COUNTIF(H657:$H$2581,H657)</f>
        <v>1</v>
      </c>
    </row>
    <row r="658" spans="1:13" x14ac:dyDescent="0.2">
      <c r="A658">
        <v>276</v>
      </c>
      <c r="B658" t="s">
        <v>2105</v>
      </c>
      <c r="C658" t="s">
        <v>2282</v>
      </c>
      <c r="D658" t="s">
        <v>54</v>
      </c>
      <c r="E658" t="s">
        <v>2283</v>
      </c>
      <c r="F658" t="s">
        <v>2108</v>
      </c>
      <c r="G658" t="s">
        <v>2284</v>
      </c>
      <c r="H658" t="s">
        <v>8288</v>
      </c>
      <c r="I658" t="s">
        <v>24</v>
      </c>
      <c r="J658">
        <v>44</v>
      </c>
      <c r="K658">
        <v>277</v>
      </c>
      <c r="L658">
        <v>120</v>
      </c>
      <c r="M658">
        <f>COUNTIF(H658:$H$2581,H658)</f>
        <v>1</v>
      </c>
    </row>
    <row r="659" spans="1:13" x14ac:dyDescent="0.2">
      <c r="A659">
        <v>1493</v>
      </c>
      <c r="B659" t="s">
        <v>807</v>
      </c>
      <c r="C659" t="s">
        <v>2375</v>
      </c>
      <c r="D659" t="s">
        <v>54</v>
      </c>
      <c r="E659" t="s">
        <v>2376</v>
      </c>
      <c r="F659" t="s">
        <v>810</v>
      </c>
      <c r="G659" t="s">
        <v>2377</v>
      </c>
      <c r="H659" t="s">
        <v>8292</v>
      </c>
      <c r="I659" t="b">
        <v>1</v>
      </c>
      <c r="J659">
        <v>182</v>
      </c>
      <c r="K659">
        <v>1494</v>
      </c>
      <c r="L659">
        <v>121</v>
      </c>
      <c r="M659">
        <f>COUNTIF(H659:$H$2581,H659)</f>
        <v>1</v>
      </c>
    </row>
    <row r="660" spans="1:13" x14ac:dyDescent="0.2">
      <c r="A660">
        <v>691</v>
      </c>
      <c r="B660" t="s">
        <v>1131</v>
      </c>
      <c r="C660" t="s">
        <v>2815</v>
      </c>
      <c r="D660" t="s">
        <v>54</v>
      </c>
      <c r="E660" t="s">
        <v>2816</v>
      </c>
      <c r="F660" s="1" t="s">
        <v>1134</v>
      </c>
      <c r="G660" t="s">
        <v>2817</v>
      </c>
      <c r="H660" t="s">
        <v>8296</v>
      </c>
      <c r="I660" t="b">
        <v>0</v>
      </c>
      <c r="J660">
        <v>102</v>
      </c>
      <c r="K660">
        <v>692</v>
      </c>
      <c r="L660">
        <v>17</v>
      </c>
      <c r="M660">
        <f>COUNTIF(H660:$H$2581,H660)</f>
        <v>2</v>
      </c>
    </row>
    <row r="661" spans="1:13" x14ac:dyDescent="0.2">
      <c r="A661">
        <v>1328</v>
      </c>
      <c r="B661" t="s">
        <v>2235</v>
      </c>
      <c r="C661" t="s">
        <v>3278</v>
      </c>
      <c r="D661" t="s">
        <v>33</v>
      </c>
      <c r="E661" t="s">
        <v>3279</v>
      </c>
      <c r="F661" t="s">
        <v>2238</v>
      </c>
      <c r="G661" t="s">
        <v>3280</v>
      </c>
      <c r="H661" t="s">
        <v>8303</v>
      </c>
      <c r="I661" t="b">
        <v>0</v>
      </c>
      <c r="J661">
        <v>163</v>
      </c>
      <c r="K661">
        <v>1329</v>
      </c>
      <c r="L661">
        <v>21</v>
      </c>
      <c r="M661">
        <f>COUNTIF(H661:$H$2581,H661)</f>
        <v>2</v>
      </c>
    </row>
    <row r="662" spans="1:13" x14ac:dyDescent="0.2">
      <c r="A662">
        <v>834</v>
      </c>
      <c r="B662" t="s">
        <v>176</v>
      </c>
      <c r="C662" t="s">
        <v>3424</v>
      </c>
      <c r="D662" t="s">
        <v>54</v>
      </c>
      <c r="E662" t="s">
        <v>3425</v>
      </c>
      <c r="F662" t="s">
        <v>179</v>
      </c>
      <c r="G662" t="s">
        <v>3426</v>
      </c>
      <c r="H662" t="s">
        <v>8310</v>
      </c>
      <c r="I662" t="s">
        <v>24</v>
      </c>
      <c r="J662">
        <v>115</v>
      </c>
      <c r="K662">
        <v>835</v>
      </c>
      <c r="L662">
        <v>240</v>
      </c>
      <c r="M662">
        <f>COUNTIF(H662:$H$2581,H662)</f>
        <v>13</v>
      </c>
    </row>
    <row r="663" spans="1:13" x14ac:dyDescent="0.2">
      <c r="A663">
        <v>1689</v>
      </c>
      <c r="B663" t="s">
        <v>129</v>
      </c>
      <c r="C663" t="s">
        <v>3601</v>
      </c>
      <c r="D663" t="s">
        <v>13</v>
      </c>
      <c r="E663" t="s">
        <v>3602</v>
      </c>
      <c r="F663" t="s">
        <v>132</v>
      </c>
      <c r="G663" t="s">
        <v>3603</v>
      </c>
      <c r="H663" t="s">
        <v>8350</v>
      </c>
      <c r="I663" t="b">
        <v>1</v>
      </c>
      <c r="J663">
        <v>204</v>
      </c>
      <c r="K663">
        <v>1690</v>
      </c>
      <c r="L663">
        <v>39</v>
      </c>
      <c r="M663">
        <f>COUNTIF(H663:$H$2581,H663)</f>
        <v>2</v>
      </c>
    </row>
    <row r="664" spans="1:13" x14ac:dyDescent="0.2">
      <c r="A664">
        <v>1312</v>
      </c>
      <c r="B664" t="s">
        <v>1915</v>
      </c>
      <c r="C664" t="s">
        <v>3741</v>
      </c>
      <c r="D664" t="s">
        <v>13</v>
      </c>
      <c r="E664" t="s">
        <v>3742</v>
      </c>
      <c r="F664" t="s">
        <v>1918</v>
      </c>
      <c r="G664" t="s">
        <v>3743</v>
      </c>
      <c r="H664" t="s">
        <v>8357</v>
      </c>
      <c r="I664" t="s">
        <v>24</v>
      </c>
      <c r="J664">
        <v>161</v>
      </c>
      <c r="K664">
        <v>1313</v>
      </c>
      <c r="L664">
        <v>22</v>
      </c>
      <c r="M664">
        <f>COUNTIF(H664:$H$2581,H664)</f>
        <v>4</v>
      </c>
    </row>
    <row r="665" spans="1:13" x14ac:dyDescent="0.2">
      <c r="A665">
        <v>1056</v>
      </c>
      <c r="B665" t="s">
        <v>1884</v>
      </c>
      <c r="C665" t="s">
        <v>3819</v>
      </c>
      <c r="D665" t="s">
        <v>54</v>
      </c>
      <c r="E665" t="s">
        <v>3820</v>
      </c>
      <c r="F665" t="s">
        <v>1887</v>
      </c>
      <c r="G665" t="s">
        <v>3821</v>
      </c>
      <c r="H665" t="s">
        <v>8370</v>
      </c>
      <c r="I665" t="s">
        <v>24</v>
      </c>
      <c r="J665">
        <v>131</v>
      </c>
      <c r="K665">
        <v>1057</v>
      </c>
      <c r="L665">
        <v>270</v>
      </c>
      <c r="M665">
        <f>COUNTIF(H665:$H$2581,H665)</f>
        <v>4</v>
      </c>
    </row>
    <row r="666" spans="1:13" x14ac:dyDescent="0.2">
      <c r="A666">
        <v>1329</v>
      </c>
      <c r="B666" t="s">
        <v>2235</v>
      </c>
      <c r="C666" t="s">
        <v>4031</v>
      </c>
      <c r="D666" t="s">
        <v>54</v>
      </c>
      <c r="E666" t="s">
        <v>4032</v>
      </c>
      <c r="F666" t="s">
        <v>2238</v>
      </c>
      <c r="G666" t="s">
        <v>4033</v>
      </c>
      <c r="H666" t="s">
        <v>8383</v>
      </c>
      <c r="I666" t="b">
        <v>0</v>
      </c>
      <c r="J666">
        <v>163</v>
      </c>
      <c r="K666">
        <v>1330</v>
      </c>
      <c r="L666">
        <v>23</v>
      </c>
      <c r="M666">
        <f>COUNTIF(H666:$H$2581,H666)</f>
        <v>5</v>
      </c>
    </row>
    <row r="667" spans="1:13" x14ac:dyDescent="0.2">
      <c r="A667">
        <v>147</v>
      </c>
      <c r="B667" t="s">
        <v>63</v>
      </c>
      <c r="C667" t="s">
        <v>4179</v>
      </c>
      <c r="D667" t="s">
        <v>13</v>
      </c>
      <c r="E667" t="s">
        <v>4180</v>
      </c>
      <c r="F667" t="s">
        <v>66</v>
      </c>
      <c r="G667" t="s">
        <v>4181</v>
      </c>
      <c r="H667" t="s">
        <v>8399</v>
      </c>
      <c r="I667" t="s">
        <v>24</v>
      </c>
      <c r="J667">
        <v>27</v>
      </c>
      <c r="K667">
        <v>148</v>
      </c>
      <c r="L667">
        <v>64</v>
      </c>
      <c r="M667">
        <f>COUNTIF(H667:$H$2581,H667)</f>
        <v>1</v>
      </c>
    </row>
    <row r="668" spans="1:13" x14ac:dyDescent="0.2">
      <c r="A668">
        <v>2286</v>
      </c>
      <c r="B668" t="s">
        <v>1070</v>
      </c>
      <c r="C668" t="s">
        <v>4593</v>
      </c>
      <c r="D668" t="s">
        <v>13</v>
      </c>
      <c r="E668" t="s">
        <v>4594</v>
      </c>
      <c r="F668" t="s">
        <v>1073</v>
      </c>
      <c r="G668" t="s">
        <v>4595</v>
      </c>
      <c r="H668" t="s">
        <v>8403</v>
      </c>
      <c r="I668" t="b">
        <v>1</v>
      </c>
      <c r="J668">
        <v>268</v>
      </c>
      <c r="K668">
        <v>2287</v>
      </c>
      <c r="L668">
        <v>4</v>
      </c>
      <c r="M668">
        <f>COUNTIF(H668:$H$2581,H668)</f>
        <v>3</v>
      </c>
    </row>
    <row r="669" spans="1:13" x14ac:dyDescent="0.2">
      <c r="A669">
        <v>41</v>
      </c>
      <c r="B669" t="s">
        <v>2199</v>
      </c>
      <c r="C669" t="s">
        <v>4653</v>
      </c>
      <c r="D669" t="s">
        <v>13</v>
      </c>
      <c r="E669" t="s">
        <v>4654</v>
      </c>
      <c r="F669" t="s">
        <v>2202</v>
      </c>
      <c r="G669" t="s">
        <v>4655</v>
      </c>
      <c r="H669" t="s">
        <v>8413</v>
      </c>
      <c r="I669" t="s">
        <v>24</v>
      </c>
      <c r="J669">
        <v>7</v>
      </c>
      <c r="K669">
        <v>42</v>
      </c>
      <c r="L669">
        <v>33</v>
      </c>
      <c r="M669">
        <f>COUNTIF(H669:$H$2581,H669)</f>
        <v>7</v>
      </c>
    </row>
    <row r="670" spans="1:13" x14ac:dyDescent="0.2">
      <c r="A670">
        <v>488</v>
      </c>
      <c r="B670" t="s">
        <v>182</v>
      </c>
      <c r="C670" t="s">
        <v>4884</v>
      </c>
      <c r="D670" t="s">
        <v>13</v>
      </c>
      <c r="E670" t="s">
        <v>4885</v>
      </c>
      <c r="F670" t="s">
        <v>185</v>
      </c>
      <c r="G670" t="s">
        <v>4886</v>
      </c>
      <c r="H670" t="s">
        <v>8434</v>
      </c>
      <c r="I670" t="b">
        <v>1</v>
      </c>
      <c r="J670">
        <v>69</v>
      </c>
      <c r="K670">
        <v>489</v>
      </c>
      <c r="L670">
        <v>34</v>
      </c>
      <c r="M670">
        <f>COUNTIF(H670:$H$2581,H670)</f>
        <v>3</v>
      </c>
    </row>
    <row r="671" spans="1:13" x14ac:dyDescent="0.2">
      <c r="A671">
        <v>1093</v>
      </c>
      <c r="B671" t="s">
        <v>1075</v>
      </c>
      <c r="C671" t="s">
        <v>4993</v>
      </c>
      <c r="D671" t="s">
        <v>54</v>
      </c>
      <c r="E671" t="s">
        <v>4994</v>
      </c>
      <c r="F671" t="s">
        <v>1078</v>
      </c>
      <c r="G671" t="s">
        <v>4995</v>
      </c>
      <c r="H671" t="s">
        <v>8444</v>
      </c>
      <c r="I671" t="s">
        <v>24</v>
      </c>
      <c r="J671">
        <v>133</v>
      </c>
      <c r="K671">
        <v>1094</v>
      </c>
      <c r="L671">
        <v>123</v>
      </c>
      <c r="M671">
        <f>COUNTIF(H671:$H$2581,H671)</f>
        <v>2</v>
      </c>
    </row>
    <row r="672" spans="1:13" x14ac:dyDescent="0.2">
      <c r="A672">
        <v>709</v>
      </c>
      <c r="B672" t="s">
        <v>730</v>
      </c>
      <c r="C672" t="s">
        <v>5258</v>
      </c>
      <c r="D672" t="s">
        <v>13</v>
      </c>
      <c r="E672" t="s">
        <v>5259</v>
      </c>
      <c r="F672" t="s">
        <v>733</v>
      </c>
      <c r="G672" t="s">
        <v>5260</v>
      </c>
      <c r="H672" t="s">
        <v>8451</v>
      </c>
      <c r="I672" t="s">
        <v>24</v>
      </c>
      <c r="J672">
        <v>103</v>
      </c>
      <c r="K672">
        <v>710</v>
      </c>
      <c r="L672">
        <v>35</v>
      </c>
      <c r="M672">
        <f>COUNTIF(H672:$H$2581,H672)</f>
        <v>2</v>
      </c>
    </row>
    <row r="673" spans="1:13" x14ac:dyDescent="0.2">
      <c r="A673">
        <v>1719</v>
      </c>
      <c r="B673" t="s">
        <v>725</v>
      </c>
      <c r="C673" t="s">
        <v>5382</v>
      </c>
      <c r="D673" t="s">
        <v>54</v>
      </c>
      <c r="E673" t="s">
        <v>5383</v>
      </c>
      <c r="F673" t="s">
        <v>728</v>
      </c>
      <c r="G673" t="s">
        <v>5384</v>
      </c>
      <c r="H673" t="s">
        <v>8458</v>
      </c>
      <c r="I673" t="b">
        <v>1</v>
      </c>
      <c r="J673">
        <v>205</v>
      </c>
      <c r="K673">
        <v>1720</v>
      </c>
      <c r="L673">
        <v>24</v>
      </c>
      <c r="M673">
        <f>COUNTIF(H673:$H$2581,H673)</f>
        <v>1</v>
      </c>
    </row>
    <row r="674" spans="1:13" x14ac:dyDescent="0.2">
      <c r="A674">
        <v>1079</v>
      </c>
      <c r="B674" t="s">
        <v>2230</v>
      </c>
      <c r="C674" t="s">
        <v>5518</v>
      </c>
      <c r="D674" t="s">
        <v>13</v>
      </c>
      <c r="E674" t="s">
        <v>5519</v>
      </c>
      <c r="F674" t="s">
        <v>2233</v>
      </c>
      <c r="G674" t="s">
        <v>5520</v>
      </c>
      <c r="H674" t="s">
        <v>8462</v>
      </c>
      <c r="I674" t="s">
        <v>24</v>
      </c>
      <c r="J674">
        <v>132</v>
      </c>
      <c r="K674">
        <v>1080</v>
      </c>
      <c r="L674">
        <v>13</v>
      </c>
      <c r="M674">
        <f>COUNTIF(H674:$H$2581,H674)</f>
        <v>2</v>
      </c>
    </row>
    <row r="675" spans="1:13" x14ac:dyDescent="0.2">
      <c r="A675">
        <v>1078</v>
      </c>
      <c r="B675" t="s">
        <v>2230</v>
      </c>
      <c r="C675" t="s">
        <v>5603</v>
      </c>
      <c r="D675" t="s">
        <v>54</v>
      </c>
      <c r="E675" t="s">
        <v>5604</v>
      </c>
      <c r="F675" t="s">
        <v>2233</v>
      </c>
      <c r="G675" t="s">
        <v>5605</v>
      </c>
      <c r="H675" t="s">
        <v>8469</v>
      </c>
      <c r="I675" t="s">
        <v>24</v>
      </c>
      <c r="J675">
        <v>132</v>
      </c>
      <c r="K675">
        <v>1079</v>
      </c>
      <c r="L675">
        <v>50</v>
      </c>
      <c r="M675">
        <f>COUNTIF(H675:$H$2581,H675)</f>
        <v>7</v>
      </c>
    </row>
    <row r="676" spans="1:13" x14ac:dyDescent="0.2">
      <c r="A676">
        <v>1774</v>
      </c>
      <c r="B676" t="s">
        <v>216</v>
      </c>
      <c r="C676" t="s">
        <v>5787</v>
      </c>
      <c r="D676" t="s">
        <v>54</v>
      </c>
      <c r="E676" t="s">
        <v>5788</v>
      </c>
      <c r="F676" t="s">
        <v>219</v>
      </c>
      <c r="G676" t="s">
        <v>5789</v>
      </c>
      <c r="H676" t="s">
        <v>8490</v>
      </c>
      <c r="I676" t="b">
        <v>1</v>
      </c>
      <c r="J676">
        <v>209</v>
      </c>
      <c r="K676">
        <v>1775</v>
      </c>
      <c r="L676">
        <v>25</v>
      </c>
      <c r="M676">
        <f>COUNTIF(H676:$H$2581,H676)</f>
        <v>1</v>
      </c>
    </row>
    <row r="677" spans="1:13" x14ac:dyDescent="0.2">
      <c r="A677">
        <v>1668</v>
      </c>
      <c r="B677" t="s">
        <v>1059</v>
      </c>
      <c r="C677" t="s">
        <v>5946</v>
      </c>
      <c r="D677" t="s">
        <v>13</v>
      </c>
      <c r="E677" t="s">
        <v>5947</v>
      </c>
      <c r="F677" t="s">
        <v>1062</v>
      </c>
      <c r="G677" t="s">
        <v>5948</v>
      </c>
      <c r="H677" t="s">
        <v>8494</v>
      </c>
      <c r="I677" t="b">
        <v>1</v>
      </c>
      <c r="J677">
        <v>201</v>
      </c>
      <c r="K677">
        <v>1669</v>
      </c>
      <c r="L677">
        <v>124</v>
      </c>
      <c r="M677">
        <f>COUNTIF(H677:$H$2581,H677)</f>
        <v>1</v>
      </c>
    </row>
    <row r="678" spans="1:13" x14ac:dyDescent="0.2">
      <c r="A678">
        <v>772</v>
      </c>
      <c r="B678" t="s">
        <v>368</v>
      </c>
      <c r="C678" t="s">
        <v>6294</v>
      </c>
      <c r="D678" t="s">
        <v>13</v>
      </c>
      <c r="E678" t="s">
        <v>6295</v>
      </c>
      <c r="F678" t="s">
        <v>371</v>
      </c>
      <c r="G678" t="s">
        <v>6296</v>
      </c>
      <c r="H678" t="s">
        <v>8498</v>
      </c>
      <c r="I678" t="s">
        <v>24</v>
      </c>
      <c r="J678">
        <v>109</v>
      </c>
      <c r="K678">
        <v>773</v>
      </c>
      <c r="L678">
        <v>9</v>
      </c>
      <c r="M678">
        <f>COUNTIF(H678:$H$2581,H678)</f>
        <v>8</v>
      </c>
    </row>
    <row r="679" spans="1:13" x14ac:dyDescent="0.2">
      <c r="A679">
        <v>1134</v>
      </c>
      <c r="B679" t="s">
        <v>1186</v>
      </c>
      <c r="C679" t="s">
        <v>6399</v>
      </c>
      <c r="D679" t="s">
        <v>33</v>
      </c>
      <c r="E679" t="s">
        <v>6400</v>
      </c>
      <c r="F679" t="s">
        <v>1189</v>
      </c>
      <c r="G679" t="s">
        <v>6401</v>
      </c>
      <c r="H679" t="s">
        <v>8523</v>
      </c>
      <c r="I679" t="b">
        <v>0</v>
      </c>
      <c r="J679">
        <v>137</v>
      </c>
      <c r="K679">
        <v>1135</v>
      </c>
      <c r="L679">
        <v>161</v>
      </c>
      <c r="M679">
        <f>COUNTIF(H679:$H$2581,H679)</f>
        <v>1</v>
      </c>
    </row>
    <row r="680" spans="1:13" x14ac:dyDescent="0.2">
      <c r="A680">
        <v>1875</v>
      </c>
      <c r="B680" t="s">
        <v>749</v>
      </c>
      <c r="C680" t="s">
        <v>6627</v>
      </c>
      <c r="D680" t="s">
        <v>13</v>
      </c>
      <c r="E680" t="s">
        <v>6628</v>
      </c>
      <c r="F680" t="s">
        <v>752</v>
      </c>
      <c r="G680" t="s">
        <v>6629</v>
      </c>
      <c r="H680" t="s">
        <v>8527</v>
      </c>
      <c r="I680" t="s">
        <v>24</v>
      </c>
      <c r="J680">
        <v>218</v>
      </c>
      <c r="K680">
        <v>1876</v>
      </c>
      <c r="L680">
        <v>7</v>
      </c>
      <c r="M680">
        <f>COUNTIF(H680:$H$2581,H680)</f>
        <v>7</v>
      </c>
    </row>
    <row r="681" spans="1:13" x14ac:dyDescent="0.2">
      <c r="A681">
        <v>854</v>
      </c>
      <c r="B681" t="s">
        <v>193</v>
      </c>
      <c r="C681" t="s">
        <v>6771</v>
      </c>
      <c r="D681" t="s">
        <v>54</v>
      </c>
      <c r="E681" t="s">
        <v>6772</v>
      </c>
      <c r="F681" t="s">
        <v>196</v>
      </c>
      <c r="G681" t="s">
        <v>6773</v>
      </c>
      <c r="H681" t="s">
        <v>8549</v>
      </c>
      <c r="I681" t="s">
        <v>24</v>
      </c>
      <c r="J681">
        <v>117</v>
      </c>
      <c r="K681">
        <v>855</v>
      </c>
      <c r="L681">
        <v>106</v>
      </c>
      <c r="M681">
        <f>COUNTIF(H681:$H$2581,H681)</f>
        <v>22</v>
      </c>
    </row>
    <row r="682" spans="1:13" x14ac:dyDescent="0.2">
      <c r="A682">
        <v>1664</v>
      </c>
      <c r="B682" t="s">
        <v>287</v>
      </c>
      <c r="C682" t="s">
        <v>6874</v>
      </c>
      <c r="D682" t="s">
        <v>13</v>
      </c>
      <c r="E682" t="s">
        <v>6875</v>
      </c>
      <c r="F682" t="s">
        <v>290</v>
      </c>
      <c r="G682" t="s">
        <v>6876</v>
      </c>
      <c r="H682" t="s">
        <v>8618</v>
      </c>
      <c r="I682" t="b">
        <v>0</v>
      </c>
      <c r="J682">
        <v>200</v>
      </c>
      <c r="K682">
        <v>1665</v>
      </c>
      <c r="L682">
        <v>125</v>
      </c>
      <c r="M682">
        <f>COUNTIF(H682:$H$2581,H682)</f>
        <v>3</v>
      </c>
    </row>
    <row r="683" spans="1:13" x14ac:dyDescent="0.2">
      <c r="A683">
        <v>1725</v>
      </c>
      <c r="B683" t="s">
        <v>725</v>
      </c>
      <c r="C683" t="s">
        <v>7085</v>
      </c>
      <c r="D683" t="s">
        <v>54</v>
      </c>
      <c r="E683" t="s">
        <v>7086</v>
      </c>
      <c r="F683" t="s">
        <v>728</v>
      </c>
      <c r="G683" t="s">
        <v>7087</v>
      </c>
      <c r="H683" t="s">
        <v>8628</v>
      </c>
      <c r="I683" t="b">
        <v>1</v>
      </c>
      <c r="J683">
        <v>205</v>
      </c>
      <c r="K683">
        <v>1726</v>
      </c>
      <c r="L683">
        <v>14</v>
      </c>
      <c r="M683">
        <f>COUNTIF(H683:$H$2581,H683)</f>
        <v>4</v>
      </c>
    </row>
    <row r="684" spans="1:13" x14ac:dyDescent="0.2">
      <c r="A684">
        <v>800</v>
      </c>
      <c r="B684" t="s">
        <v>116</v>
      </c>
      <c r="C684" t="s">
        <v>7364</v>
      </c>
      <c r="D684" t="s">
        <v>54</v>
      </c>
      <c r="E684" t="s">
        <v>7365</v>
      </c>
      <c r="F684" t="s">
        <v>119</v>
      </c>
      <c r="G684" t="s">
        <v>7366</v>
      </c>
      <c r="H684" t="s">
        <v>8641</v>
      </c>
      <c r="I684" t="s">
        <v>24</v>
      </c>
      <c r="J684">
        <v>112</v>
      </c>
      <c r="K684">
        <v>801</v>
      </c>
      <c r="L684">
        <v>250</v>
      </c>
      <c r="M684">
        <f>COUNTIF(H684:$H$2581,H684)</f>
        <v>1</v>
      </c>
    </row>
    <row r="685" spans="1:13" x14ac:dyDescent="0.2">
      <c r="A685">
        <v>71</v>
      </c>
      <c r="B685" t="s">
        <v>25</v>
      </c>
      <c r="C685" t="s">
        <v>7677</v>
      </c>
      <c r="D685" t="s">
        <v>54</v>
      </c>
      <c r="E685" t="s">
        <v>7678</v>
      </c>
      <c r="F685" t="s">
        <v>28</v>
      </c>
      <c r="G685" t="s">
        <v>7679</v>
      </c>
      <c r="H685" t="s">
        <v>8645</v>
      </c>
      <c r="I685" t="b">
        <v>1</v>
      </c>
      <c r="J685">
        <v>11</v>
      </c>
      <c r="K685">
        <v>72</v>
      </c>
      <c r="L685">
        <v>54</v>
      </c>
      <c r="M685">
        <f>COUNTIF(H685:$H$2581,H685)</f>
        <v>2</v>
      </c>
    </row>
    <row r="686" spans="1:13" x14ac:dyDescent="0.2">
      <c r="A686">
        <v>1825</v>
      </c>
      <c r="B686" t="s">
        <v>434</v>
      </c>
      <c r="C686" t="s">
        <v>7819</v>
      </c>
      <c r="D686" t="s">
        <v>54</v>
      </c>
      <c r="E686" t="s">
        <v>7820</v>
      </c>
      <c r="F686" t="s">
        <v>437</v>
      </c>
      <c r="G686" t="s">
        <v>7821</v>
      </c>
      <c r="H686" t="s">
        <v>8652</v>
      </c>
      <c r="I686" t="b">
        <v>0</v>
      </c>
      <c r="J686">
        <v>212</v>
      </c>
      <c r="K686">
        <v>1826</v>
      </c>
      <c r="L686">
        <v>27</v>
      </c>
      <c r="M686">
        <f>COUNTIF(H686:$H$2581,H686)</f>
        <v>1</v>
      </c>
    </row>
    <row r="687" spans="1:13" x14ac:dyDescent="0.2">
      <c r="A687">
        <v>407</v>
      </c>
      <c r="B687" t="s">
        <v>1244</v>
      </c>
      <c r="C687" t="s">
        <v>7903</v>
      </c>
      <c r="D687" t="s">
        <v>54</v>
      </c>
      <c r="E687" t="s">
        <v>7904</v>
      </c>
      <c r="F687" t="s">
        <v>1247</v>
      </c>
      <c r="G687" t="s">
        <v>7905</v>
      </c>
      <c r="H687" t="s">
        <v>8655</v>
      </c>
      <c r="I687" t="b">
        <v>0</v>
      </c>
      <c r="J687">
        <v>57</v>
      </c>
      <c r="K687">
        <v>408</v>
      </c>
      <c r="L687">
        <v>183</v>
      </c>
      <c r="M687">
        <f>COUNTIF(H687:$H$2581,H687)</f>
        <v>1</v>
      </c>
    </row>
    <row r="688" spans="1:13" x14ac:dyDescent="0.2">
      <c r="A688">
        <v>698</v>
      </c>
      <c r="B688" t="s">
        <v>1131</v>
      </c>
      <c r="C688" t="s">
        <v>8025</v>
      </c>
      <c r="D688" t="s">
        <v>33</v>
      </c>
      <c r="E688" t="s">
        <v>8026</v>
      </c>
      <c r="F688" s="1" t="s">
        <v>1134</v>
      </c>
      <c r="G688" t="s">
        <v>8027</v>
      </c>
      <c r="H688" t="s">
        <v>8659</v>
      </c>
      <c r="I688" t="b">
        <v>0</v>
      </c>
      <c r="J688">
        <v>102</v>
      </c>
      <c r="K688">
        <v>699</v>
      </c>
      <c r="L688">
        <v>128</v>
      </c>
      <c r="M688">
        <f>COUNTIF(H688:$H$2581,H688)</f>
        <v>1</v>
      </c>
    </row>
    <row r="689" spans="1:13" x14ac:dyDescent="0.2">
      <c r="A689">
        <v>1418</v>
      </c>
      <c r="B689" t="s">
        <v>1397</v>
      </c>
      <c r="C689" t="s">
        <v>8201</v>
      </c>
      <c r="D689" t="s">
        <v>13</v>
      </c>
      <c r="E689" t="s">
        <v>8202</v>
      </c>
      <c r="F689" t="s">
        <v>1400</v>
      </c>
      <c r="G689" t="s">
        <v>8203</v>
      </c>
      <c r="H689" t="s">
        <v>8663</v>
      </c>
      <c r="I689" t="b">
        <v>1</v>
      </c>
      <c r="J689">
        <v>169</v>
      </c>
      <c r="K689">
        <v>1419</v>
      </c>
      <c r="L689">
        <v>30</v>
      </c>
      <c r="M689">
        <f>COUNTIF(H689:$H$2581,H689)</f>
        <v>1</v>
      </c>
    </row>
    <row r="690" spans="1:13" x14ac:dyDescent="0.2">
      <c r="A690">
        <v>1071</v>
      </c>
      <c r="B690" t="s">
        <v>1884</v>
      </c>
      <c r="C690" t="s">
        <v>8573</v>
      </c>
      <c r="D690" t="s">
        <v>54</v>
      </c>
      <c r="E690" t="s">
        <v>8574</v>
      </c>
      <c r="F690" t="s">
        <v>1887</v>
      </c>
      <c r="G690" t="s">
        <v>8575</v>
      </c>
      <c r="H690" t="s">
        <v>8667</v>
      </c>
      <c r="I690" t="s">
        <v>24</v>
      </c>
      <c r="J690">
        <v>131</v>
      </c>
      <c r="K690">
        <v>1072</v>
      </c>
      <c r="L690">
        <v>56</v>
      </c>
      <c r="M690">
        <f>COUNTIF(H690:$H$2581,H690)</f>
        <v>1</v>
      </c>
    </row>
    <row r="691" spans="1:13" x14ac:dyDescent="0.2">
      <c r="A691">
        <v>1856</v>
      </c>
      <c r="B691" t="s">
        <v>631</v>
      </c>
      <c r="C691" t="s">
        <v>8768</v>
      </c>
      <c r="D691" t="s">
        <v>13</v>
      </c>
      <c r="E691" t="s">
        <v>8769</v>
      </c>
      <c r="F691" t="s">
        <v>634</v>
      </c>
      <c r="G691" t="s">
        <v>8770</v>
      </c>
      <c r="H691" t="s">
        <v>8671</v>
      </c>
      <c r="I691" t="s">
        <v>24</v>
      </c>
      <c r="J691">
        <v>215</v>
      </c>
      <c r="K691">
        <v>1857</v>
      </c>
      <c r="L691">
        <v>31</v>
      </c>
      <c r="M691">
        <f>COUNTIF(H691:$H$2581,H691)</f>
        <v>3</v>
      </c>
    </row>
    <row r="692" spans="1:13" x14ac:dyDescent="0.2">
      <c r="A692">
        <v>206</v>
      </c>
      <c r="B692" t="s">
        <v>88</v>
      </c>
      <c r="C692" t="s">
        <v>89</v>
      </c>
      <c r="D692" t="s">
        <v>54</v>
      </c>
      <c r="E692" t="s">
        <v>90</v>
      </c>
      <c r="F692" t="s">
        <v>91</v>
      </c>
      <c r="G692" t="s">
        <v>92</v>
      </c>
      <c r="H692" t="s">
        <v>8681</v>
      </c>
      <c r="I692" t="s">
        <v>24</v>
      </c>
      <c r="J692">
        <v>37</v>
      </c>
      <c r="K692">
        <v>207</v>
      </c>
      <c r="L692">
        <v>45</v>
      </c>
      <c r="M692">
        <f>COUNTIF(H692:$H$2581,H692)</f>
        <v>2</v>
      </c>
    </row>
    <row r="693" spans="1:13" x14ac:dyDescent="0.2">
      <c r="A693">
        <v>197</v>
      </c>
      <c r="B693" t="s">
        <v>346</v>
      </c>
      <c r="C693" t="s">
        <v>347</v>
      </c>
      <c r="D693" t="s">
        <v>13</v>
      </c>
      <c r="E693" t="s">
        <v>348</v>
      </c>
      <c r="F693" t="s">
        <v>349</v>
      </c>
      <c r="G693" t="s">
        <v>350</v>
      </c>
      <c r="H693" t="s">
        <v>8688</v>
      </c>
      <c r="I693" t="b">
        <v>0</v>
      </c>
      <c r="J693">
        <v>36</v>
      </c>
      <c r="K693">
        <v>198</v>
      </c>
      <c r="L693">
        <v>1</v>
      </c>
      <c r="M693">
        <f>COUNTIF(H693:$H$2581,H693)</f>
        <v>2</v>
      </c>
    </row>
    <row r="694" spans="1:13" x14ac:dyDescent="0.2">
      <c r="A694">
        <v>1350</v>
      </c>
      <c r="B694" t="s">
        <v>571</v>
      </c>
      <c r="C694" t="s">
        <v>572</v>
      </c>
      <c r="D694" t="s">
        <v>13</v>
      </c>
      <c r="E694" t="s">
        <v>573</v>
      </c>
      <c r="F694" t="s">
        <v>574</v>
      </c>
      <c r="G694" t="s">
        <v>575</v>
      </c>
      <c r="H694" t="s">
        <v>8695</v>
      </c>
      <c r="I694" t="b">
        <v>0</v>
      </c>
      <c r="J694">
        <v>165</v>
      </c>
      <c r="K694">
        <v>1351</v>
      </c>
      <c r="L694">
        <v>46</v>
      </c>
      <c r="M694">
        <f>COUNTIF(H694:$H$2581,H694)</f>
        <v>1</v>
      </c>
    </row>
    <row r="695" spans="1:13" x14ac:dyDescent="0.2">
      <c r="A695">
        <v>1857</v>
      </c>
      <c r="B695" t="s">
        <v>1295</v>
      </c>
      <c r="C695" t="s">
        <v>1292</v>
      </c>
      <c r="D695" t="s">
        <v>54</v>
      </c>
      <c r="E695" t="s">
        <v>1296</v>
      </c>
      <c r="F695" t="s">
        <v>1297</v>
      </c>
      <c r="G695" t="s">
        <v>1294</v>
      </c>
      <c r="H695" t="s">
        <v>8699</v>
      </c>
      <c r="I695" t="s">
        <v>24</v>
      </c>
      <c r="J695">
        <v>216</v>
      </c>
      <c r="K695">
        <v>1858</v>
      </c>
      <c r="L695">
        <v>157</v>
      </c>
      <c r="M695">
        <f>COUNTIF(H695:$H$2581,H695)</f>
        <v>1</v>
      </c>
    </row>
    <row r="696" spans="1:13" x14ac:dyDescent="0.2">
      <c r="A696">
        <v>50</v>
      </c>
      <c r="B696" t="s">
        <v>1357</v>
      </c>
      <c r="C696" t="s">
        <v>1358</v>
      </c>
      <c r="D696" t="s">
        <v>54</v>
      </c>
      <c r="E696" t="s">
        <v>1359</v>
      </c>
      <c r="F696" t="s">
        <v>1360</v>
      </c>
      <c r="G696" t="s">
        <v>1361</v>
      </c>
      <c r="H696" t="s">
        <v>8703</v>
      </c>
      <c r="I696" t="b">
        <v>0</v>
      </c>
      <c r="J696">
        <v>8</v>
      </c>
      <c r="K696">
        <v>51</v>
      </c>
      <c r="L696">
        <v>37</v>
      </c>
      <c r="M696">
        <f>COUNTIF(H696:$H$2581,H696)</f>
        <v>1</v>
      </c>
    </row>
    <row r="697" spans="1:13" x14ac:dyDescent="0.2">
      <c r="A697">
        <v>1475</v>
      </c>
      <c r="B697" t="s">
        <v>1773</v>
      </c>
      <c r="C697" t="s">
        <v>1774</v>
      </c>
      <c r="D697" t="s">
        <v>33</v>
      </c>
      <c r="E697" t="s">
        <v>1775</v>
      </c>
      <c r="F697" t="s">
        <v>1776</v>
      </c>
      <c r="G697" t="s">
        <v>1777</v>
      </c>
      <c r="H697" t="s">
        <v>8707</v>
      </c>
      <c r="I697" t="b">
        <v>0</v>
      </c>
      <c r="J697">
        <v>180</v>
      </c>
      <c r="K697">
        <v>1476</v>
      </c>
      <c r="L697">
        <v>84</v>
      </c>
      <c r="M697">
        <f>COUNTIF(H697:$H$2581,H697)</f>
        <v>35</v>
      </c>
    </row>
    <row r="698" spans="1:13" x14ac:dyDescent="0.2">
      <c r="A698">
        <v>2040</v>
      </c>
      <c r="B698" t="s">
        <v>1313</v>
      </c>
      <c r="C698" t="s">
        <v>1962</v>
      </c>
      <c r="D698" t="s">
        <v>13</v>
      </c>
      <c r="E698" t="s">
        <v>1963</v>
      </c>
      <c r="F698" t="s">
        <v>1316</v>
      </c>
      <c r="G698" t="s">
        <v>1964</v>
      </c>
      <c r="H698" t="s">
        <v>8811</v>
      </c>
      <c r="I698" t="s">
        <v>24</v>
      </c>
      <c r="J698">
        <v>238</v>
      </c>
      <c r="K698">
        <v>2041</v>
      </c>
      <c r="L698">
        <v>10</v>
      </c>
      <c r="M698">
        <f>COUNTIF(H698:$H$2581,H698)</f>
        <v>10</v>
      </c>
    </row>
    <row r="699" spans="1:13" x14ac:dyDescent="0.2">
      <c r="A699">
        <v>467</v>
      </c>
      <c r="B699" t="s">
        <v>928</v>
      </c>
      <c r="C699" t="s">
        <v>2286</v>
      </c>
      <c r="D699" t="s">
        <v>33</v>
      </c>
      <c r="E699" t="s">
        <v>2287</v>
      </c>
      <c r="F699" t="s">
        <v>931</v>
      </c>
      <c r="G699" t="s">
        <v>2288</v>
      </c>
      <c r="H699" t="s">
        <v>8841</v>
      </c>
      <c r="I699" t="b">
        <v>0</v>
      </c>
      <c r="J699">
        <v>67</v>
      </c>
      <c r="K699">
        <v>468</v>
      </c>
      <c r="L699">
        <v>120</v>
      </c>
      <c r="M699">
        <f>COUNTIF(H699:$H$2581,H699)</f>
        <v>1</v>
      </c>
    </row>
    <row r="700" spans="1:13" x14ac:dyDescent="0.2">
      <c r="A700">
        <v>1494</v>
      </c>
      <c r="B700" t="s">
        <v>807</v>
      </c>
      <c r="C700" t="s">
        <v>2378</v>
      </c>
      <c r="D700" t="s">
        <v>13</v>
      </c>
      <c r="E700" t="s">
        <v>2379</v>
      </c>
      <c r="F700" t="s">
        <v>810</v>
      </c>
      <c r="G700" t="s">
        <v>2380</v>
      </c>
      <c r="H700" t="s">
        <v>8845</v>
      </c>
      <c r="I700" t="b">
        <v>1</v>
      </c>
      <c r="J700">
        <v>182</v>
      </c>
      <c r="K700">
        <v>1495</v>
      </c>
      <c r="L700">
        <v>121</v>
      </c>
      <c r="M700">
        <f>COUNTIF(H700:$H$2581,H700)</f>
        <v>1</v>
      </c>
    </row>
    <row r="701" spans="1:13" x14ac:dyDescent="0.2">
      <c r="A701">
        <v>954</v>
      </c>
      <c r="B701" t="s">
        <v>203</v>
      </c>
      <c r="C701" t="s">
        <v>2818</v>
      </c>
      <c r="D701" t="s">
        <v>13</v>
      </c>
      <c r="E701" t="s">
        <v>2819</v>
      </c>
      <c r="F701" t="s">
        <v>206</v>
      </c>
      <c r="G701" t="s">
        <v>2820</v>
      </c>
      <c r="H701" t="s">
        <v>8849</v>
      </c>
      <c r="I701" t="b">
        <v>1</v>
      </c>
      <c r="J701">
        <v>123</v>
      </c>
      <c r="K701">
        <v>955</v>
      </c>
      <c r="L701">
        <v>17</v>
      </c>
      <c r="M701">
        <f>COUNTIF(H701:$H$2581,H701)</f>
        <v>1</v>
      </c>
    </row>
    <row r="702" spans="1:13" x14ac:dyDescent="0.2">
      <c r="A702">
        <v>1363</v>
      </c>
      <c r="B702" t="s">
        <v>603</v>
      </c>
      <c r="C702" t="s">
        <v>3281</v>
      </c>
      <c r="D702" t="s">
        <v>13</v>
      </c>
      <c r="E702" t="s">
        <v>3282</v>
      </c>
      <c r="F702" t="s">
        <v>606</v>
      </c>
      <c r="G702" t="s">
        <v>3283</v>
      </c>
      <c r="H702" t="s">
        <v>8853</v>
      </c>
      <c r="I702" t="s">
        <v>24</v>
      </c>
      <c r="J702">
        <v>166</v>
      </c>
      <c r="K702">
        <v>1364</v>
      </c>
      <c r="L702">
        <v>21</v>
      </c>
      <c r="M702">
        <f>COUNTIF(H702:$H$2581,H702)</f>
        <v>1</v>
      </c>
    </row>
    <row r="703" spans="1:13" x14ac:dyDescent="0.2">
      <c r="A703">
        <v>962</v>
      </c>
      <c r="B703" t="s">
        <v>203</v>
      </c>
      <c r="C703" t="s">
        <v>3427</v>
      </c>
      <c r="D703" t="s">
        <v>13</v>
      </c>
      <c r="E703" t="s">
        <v>3428</v>
      </c>
      <c r="F703" t="s">
        <v>206</v>
      </c>
      <c r="G703" t="s">
        <v>3429</v>
      </c>
      <c r="H703" t="s">
        <v>8857</v>
      </c>
      <c r="I703" t="b">
        <v>1</v>
      </c>
      <c r="J703">
        <v>123</v>
      </c>
      <c r="K703">
        <v>963</v>
      </c>
      <c r="L703">
        <v>240</v>
      </c>
      <c r="M703">
        <f>COUNTIF(H703:$H$2581,H703)</f>
        <v>1</v>
      </c>
    </row>
    <row r="704" spans="1:13" x14ac:dyDescent="0.2">
      <c r="A704">
        <v>1766</v>
      </c>
      <c r="B704" t="s">
        <v>216</v>
      </c>
      <c r="C704" t="s">
        <v>3604</v>
      </c>
      <c r="D704" t="s">
        <v>13</v>
      </c>
      <c r="E704" t="s">
        <v>3605</v>
      </c>
      <c r="F704" t="s">
        <v>219</v>
      </c>
      <c r="G704" t="s">
        <v>3606</v>
      </c>
      <c r="H704" t="s">
        <v>8861</v>
      </c>
      <c r="I704" t="b">
        <v>1</v>
      </c>
      <c r="J704">
        <v>209</v>
      </c>
      <c r="K704">
        <v>1767</v>
      </c>
      <c r="L704">
        <v>39</v>
      </c>
      <c r="M704">
        <f>COUNTIF(H704:$H$2581,H704)</f>
        <v>2</v>
      </c>
    </row>
    <row r="705" spans="1:13" x14ac:dyDescent="0.2">
      <c r="A705">
        <v>1497</v>
      </c>
      <c r="B705" t="s">
        <v>807</v>
      </c>
      <c r="C705" t="s">
        <v>3744</v>
      </c>
      <c r="D705" t="s">
        <v>13</v>
      </c>
      <c r="E705" t="s">
        <v>3745</v>
      </c>
      <c r="F705" t="s">
        <v>810</v>
      </c>
      <c r="G705" t="s">
        <v>3746</v>
      </c>
      <c r="H705" t="s">
        <v>8868</v>
      </c>
      <c r="I705" t="b">
        <v>1</v>
      </c>
      <c r="J705">
        <v>182</v>
      </c>
      <c r="K705">
        <v>1498</v>
      </c>
      <c r="L705">
        <v>22</v>
      </c>
      <c r="M705">
        <f>COUNTIF(H705:$H$2581,H705)</f>
        <v>1</v>
      </c>
    </row>
    <row r="706" spans="1:13" x14ac:dyDescent="0.2">
      <c r="A706">
        <v>1254</v>
      </c>
      <c r="B706" t="s">
        <v>3822</v>
      </c>
      <c r="C706" t="s">
        <v>3823</v>
      </c>
      <c r="D706" t="s">
        <v>13</v>
      </c>
      <c r="E706" t="s">
        <v>3824</v>
      </c>
      <c r="F706" t="s">
        <v>3825</v>
      </c>
      <c r="G706" t="s">
        <v>3826</v>
      </c>
      <c r="H706" t="s">
        <v>8872</v>
      </c>
      <c r="I706" t="s">
        <v>24</v>
      </c>
      <c r="J706">
        <v>155</v>
      </c>
      <c r="K706">
        <v>1255</v>
      </c>
      <c r="L706">
        <v>270</v>
      </c>
      <c r="M706">
        <f>COUNTIF(H706:$H$2581,H706)</f>
        <v>1</v>
      </c>
    </row>
    <row r="707" spans="1:13" x14ac:dyDescent="0.2">
      <c r="A707">
        <v>54</v>
      </c>
      <c r="B707" t="s">
        <v>1357</v>
      </c>
      <c r="C707" t="s">
        <v>3948</v>
      </c>
      <c r="D707" t="s">
        <v>54</v>
      </c>
      <c r="E707" t="s">
        <v>3949</v>
      </c>
      <c r="F707" t="s">
        <v>1360</v>
      </c>
      <c r="G707" t="s">
        <v>3950</v>
      </c>
      <c r="H707" t="s">
        <v>8876</v>
      </c>
      <c r="I707" t="b">
        <v>0</v>
      </c>
      <c r="J707">
        <v>8</v>
      </c>
      <c r="K707">
        <v>55</v>
      </c>
      <c r="L707">
        <v>40</v>
      </c>
      <c r="M707">
        <f>COUNTIF(H707:$H$2581,H707)</f>
        <v>1</v>
      </c>
    </row>
    <row r="708" spans="1:13" x14ac:dyDescent="0.2">
      <c r="A708">
        <v>1366</v>
      </c>
      <c r="B708" t="s">
        <v>603</v>
      </c>
      <c r="C708" t="s">
        <v>4034</v>
      </c>
      <c r="D708" t="s">
        <v>13</v>
      </c>
      <c r="E708" t="s">
        <v>4035</v>
      </c>
      <c r="F708" t="s">
        <v>606</v>
      </c>
      <c r="G708" t="s">
        <v>4036</v>
      </c>
      <c r="H708" t="s">
        <v>8880</v>
      </c>
      <c r="I708" t="s">
        <v>24</v>
      </c>
      <c r="J708">
        <v>166</v>
      </c>
      <c r="K708">
        <v>1367</v>
      </c>
      <c r="L708">
        <v>23</v>
      </c>
      <c r="M708">
        <f>COUNTIF(H708:$H$2581,H708)</f>
        <v>1</v>
      </c>
    </row>
    <row r="709" spans="1:13" x14ac:dyDescent="0.2">
      <c r="A709">
        <v>210</v>
      </c>
      <c r="B709" t="s">
        <v>88</v>
      </c>
      <c r="C709" t="s">
        <v>4182</v>
      </c>
      <c r="D709" t="s">
        <v>13</v>
      </c>
      <c r="E709" t="s">
        <v>4183</v>
      </c>
      <c r="F709" t="s">
        <v>91</v>
      </c>
      <c r="G709" t="s">
        <v>4184</v>
      </c>
      <c r="H709" t="s">
        <v>8884</v>
      </c>
      <c r="I709" t="s">
        <v>24</v>
      </c>
      <c r="J709">
        <v>37</v>
      </c>
      <c r="K709">
        <v>211</v>
      </c>
      <c r="L709">
        <v>64</v>
      </c>
      <c r="M709">
        <f>COUNTIF(H709:$H$2581,H709)</f>
        <v>1</v>
      </c>
    </row>
    <row r="710" spans="1:13" x14ac:dyDescent="0.2">
      <c r="A710">
        <v>2287</v>
      </c>
      <c r="B710" t="s">
        <v>1070</v>
      </c>
      <c r="C710" t="s">
        <v>4596</v>
      </c>
      <c r="D710" t="s">
        <v>13</v>
      </c>
      <c r="E710" t="s">
        <v>4597</v>
      </c>
      <c r="F710" t="s">
        <v>1073</v>
      </c>
      <c r="G710" t="s">
        <v>4598</v>
      </c>
      <c r="H710" t="s">
        <v>8888</v>
      </c>
      <c r="I710" t="b">
        <v>1</v>
      </c>
      <c r="J710">
        <v>268</v>
      </c>
      <c r="K710">
        <v>2288</v>
      </c>
      <c r="L710">
        <v>4</v>
      </c>
      <c r="M710">
        <f>COUNTIF(H710:$H$2581,H710)</f>
        <v>3</v>
      </c>
    </row>
    <row r="711" spans="1:13" x14ac:dyDescent="0.2">
      <c r="A711">
        <v>248</v>
      </c>
      <c r="B711" t="s">
        <v>1849</v>
      </c>
      <c r="C711" t="s">
        <v>4657</v>
      </c>
      <c r="D711" t="s">
        <v>13</v>
      </c>
      <c r="E711" t="s">
        <v>4658</v>
      </c>
      <c r="F711" t="s">
        <v>1852</v>
      </c>
      <c r="G711" t="s">
        <v>4659</v>
      </c>
      <c r="H711" t="s">
        <v>8898</v>
      </c>
      <c r="I711" t="b">
        <v>0</v>
      </c>
      <c r="J711">
        <v>41</v>
      </c>
      <c r="K711">
        <v>249</v>
      </c>
      <c r="L711">
        <v>33</v>
      </c>
      <c r="M711">
        <f>COUNTIF(H711:$H$2581,H711)</f>
        <v>1</v>
      </c>
    </row>
    <row r="712" spans="1:13" x14ac:dyDescent="0.2">
      <c r="A712">
        <v>660</v>
      </c>
      <c r="B712" t="s">
        <v>2346</v>
      </c>
      <c r="C712" t="s">
        <v>4887</v>
      </c>
      <c r="D712" t="s">
        <v>13</v>
      </c>
      <c r="E712" t="s">
        <v>4888</v>
      </c>
      <c r="F712" t="s">
        <v>2349</v>
      </c>
      <c r="G712" t="s">
        <v>4889</v>
      </c>
      <c r="H712" t="s">
        <v>8901</v>
      </c>
      <c r="I712" t="s">
        <v>24</v>
      </c>
      <c r="J712">
        <v>97</v>
      </c>
      <c r="K712">
        <v>661</v>
      </c>
      <c r="L712">
        <v>34</v>
      </c>
      <c r="M712">
        <f>COUNTIF(H712:$H$2581,H712)</f>
        <v>1</v>
      </c>
    </row>
    <row r="713" spans="1:13" x14ac:dyDescent="0.2">
      <c r="A713">
        <v>1225</v>
      </c>
      <c r="B713" t="s">
        <v>4996</v>
      </c>
      <c r="C713" t="s">
        <v>4997</v>
      </c>
      <c r="D713" t="s">
        <v>33</v>
      </c>
      <c r="E713" t="s">
        <v>4998</v>
      </c>
      <c r="F713" t="s">
        <v>4999</v>
      </c>
      <c r="G713" t="s">
        <v>5000</v>
      </c>
      <c r="H713" t="s">
        <v>8905</v>
      </c>
      <c r="I713" t="b">
        <v>0</v>
      </c>
      <c r="J713">
        <v>151</v>
      </c>
      <c r="K713">
        <v>1226</v>
      </c>
      <c r="L713">
        <v>123</v>
      </c>
      <c r="M713">
        <f>COUNTIF(H713:$H$2581,H713)</f>
        <v>1</v>
      </c>
    </row>
    <row r="714" spans="1:13" x14ac:dyDescent="0.2">
      <c r="A714">
        <v>753</v>
      </c>
      <c r="B714" t="s">
        <v>1868</v>
      </c>
      <c r="C714" t="s">
        <v>5261</v>
      </c>
      <c r="D714" t="s">
        <v>13</v>
      </c>
      <c r="E714" t="s">
        <v>5262</v>
      </c>
      <c r="F714" t="s">
        <v>1871</v>
      </c>
      <c r="G714" t="s">
        <v>5263</v>
      </c>
      <c r="H714" t="s">
        <v>8909</v>
      </c>
      <c r="I714" t="s">
        <v>24</v>
      </c>
      <c r="J714">
        <v>107</v>
      </c>
      <c r="K714">
        <v>754</v>
      </c>
      <c r="L714">
        <v>35</v>
      </c>
      <c r="M714">
        <f>COUNTIF(H714:$H$2581,H714)</f>
        <v>3</v>
      </c>
    </row>
    <row r="715" spans="1:13" x14ac:dyDescent="0.2">
      <c r="A715">
        <v>1749</v>
      </c>
      <c r="B715" t="s">
        <v>1403</v>
      </c>
      <c r="C715" t="s">
        <v>5385</v>
      </c>
      <c r="D715" t="s">
        <v>13</v>
      </c>
      <c r="E715" t="s">
        <v>5386</v>
      </c>
      <c r="F715" t="s">
        <v>1406</v>
      </c>
      <c r="G715" t="s">
        <v>5387</v>
      </c>
      <c r="H715" t="s">
        <v>8919</v>
      </c>
      <c r="I715" t="b">
        <v>1</v>
      </c>
      <c r="J715">
        <v>207</v>
      </c>
      <c r="K715">
        <v>1750</v>
      </c>
      <c r="L715">
        <v>24</v>
      </c>
      <c r="M715">
        <f>COUNTIF(H715:$H$2581,H715)</f>
        <v>1</v>
      </c>
    </row>
    <row r="716" spans="1:13" x14ac:dyDescent="0.2">
      <c r="A716">
        <v>15</v>
      </c>
      <c r="B716" t="s">
        <v>1840</v>
      </c>
      <c r="C716" t="s">
        <v>5432</v>
      </c>
      <c r="D716" t="s">
        <v>54</v>
      </c>
      <c r="E716" t="s">
        <v>5433</v>
      </c>
      <c r="F716" t="s">
        <v>1843</v>
      </c>
      <c r="G716" t="s">
        <v>5434</v>
      </c>
      <c r="H716" t="s">
        <v>8922</v>
      </c>
      <c r="I716" t="s">
        <v>24</v>
      </c>
      <c r="J716">
        <v>4</v>
      </c>
      <c r="K716">
        <v>16</v>
      </c>
      <c r="L716">
        <v>12</v>
      </c>
      <c r="M716">
        <f>COUNTIF(H716:$H$2581,H716)</f>
        <v>1</v>
      </c>
    </row>
    <row r="717" spans="1:13" x14ac:dyDescent="0.2">
      <c r="A717">
        <v>1170</v>
      </c>
      <c r="B717" t="s">
        <v>429</v>
      </c>
      <c r="C717" t="s">
        <v>5521</v>
      </c>
      <c r="D717" t="s">
        <v>33</v>
      </c>
      <c r="E717" t="s">
        <v>5522</v>
      </c>
      <c r="F717" t="s">
        <v>432</v>
      </c>
      <c r="G717" t="s">
        <v>5523</v>
      </c>
      <c r="H717" t="s">
        <v>8926</v>
      </c>
      <c r="I717" t="b">
        <v>0</v>
      </c>
      <c r="J717">
        <v>143</v>
      </c>
      <c r="K717">
        <v>1171</v>
      </c>
      <c r="L717">
        <v>13</v>
      </c>
      <c r="M717">
        <f>COUNTIF(H717:$H$2581,H717)</f>
        <v>3</v>
      </c>
    </row>
    <row r="718" spans="1:13" x14ac:dyDescent="0.2">
      <c r="A718">
        <v>1227</v>
      </c>
      <c r="B718" t="s">
        <v>4996</v>
      </c>
      <c r="C718" t="s">
        <v>5606</v>
      </c>
      <c r="D718" t="s">
        <v>54</v>
      </c>
      <c r="E718" t="s">
        <v>5607</v>
      </c>
      <c r="F718" t="s">
        <v>4999</v>
      </c>
      <c r="G718" t="s">
        <v>5608</v>
      </c>
      <c r="H718" t="s">
        <v>8934</v>
      </c>
      <c r="I718" t="b">
        <v>0</v>
      </c>
      <c r="J718">
        <v>151</v>
      </c>
      <c r="K718">
        <v>1228</v>
      </c>
      <c r="L718">
        <v>50</v>
      </c>
      <c r="M718">
        <f>COUNTIF(H718:$H$2581,H718)</f>
        <v>1</v>
      </c>
    </row>
    <row r="719" spans="1:13" x14ac:dyDescent="0.2">
      <c r="A719">
        <v>1799</v>
      </c>
      <c r="B719" t="s">
        <v>1287</v>
      </c>
      <c r="C719" t="s">
        <v>5790</v>
      </c>
      <c r="D719" t="s">
        <v>13</v>
      </c>
      <c r="E719" t="s">
        <v>5791</v>
      </c>
      <c r="F719" t="s">
        <v>1290</v>
      </c>
      <c r="G719" t="s">
        <v>5792</v>
      </c>
      <c r="H719" t="s">
        <v>8938</v>
      </c>
      <c r="I719" t="s">
        <v>24</v>
      </c>
      <c r="J719">
        <v>210</v>
      </c>
      <c r="K719">
        <v>1800</v>
      </c>
      <c r="L719">
        <v>25</v>
      </c>
      <c r="M719">
        <f>COUNTIF(H719:$H$2581,H719)</f>
        <v>1</v>
      </c>
    </row>
    <row r="720" spans="1:13" x14ac:dyDescent="0.2">
      <c r="A720">
        <v>1840</v>
      </c>
      <c r="B720" t="s">
        <v>1198</v>
      </c>
      <c r="C720" t="s">
        <v>5949</v>
      </c>
      <c r="D720" t="s">
        <v>54</v>
      </c>
      <c r="E720" t="s">
        <v>5950</v>
      </c>
      <c r="F720" t="s">
        <v>1201</v>
      </c>
      <c r="G720" t="s">
        <v>5951</v>
      </c>
      <c r="H720" t="s">
        <v>8942</v>
      </c>
      <c r="I720" t="s">
        <v>24</v>
      </c>
      <c r="J720">
        <v>214</v>
      </c>
      <c r="K720">
        <v>1841</v>
      </c>
      <c r="L720">
        <v>124</v>
      </c>
      <c r="M720">
        <f>COUNTIF(H720:$H$2581,H720)</f>
        <v>1</v>
      </c>
    </row>
    <row r="721" spans="1:13" x14ac:dyDescent="0.2">
      <c r="A721">
        <v>785</v>
      </c>
      <c r="B721" t="s">
        <v>373</v>
      </c>
      <c r="C721" t="s">
        <v>6297</v>
      </c>
      <c r="D721" t="s">
        <v>54</v>
      </c>
      <c r="E721" t="s">
        <v>6298</v>
      </c>
      <c r="F721" s="1" t="s">
        <v>376</v>
      </c>
      <c r="G721" t="s">
        <v>6299</v>
      </c>
      <c r="H721" t="s">
        <v>8946</v>
      </c>
      <c r="I721" t="s">
        <v>24</v>
      </c>
      <c r="J721">
        <v>111</v>
      </c>
      <c r="K721">
        <v>786</v>
      </c>
      <c r="L721">
        <v>9</v>
      </c>
      <c r="M721">
        <f>COUNTIF(H721:$H$2581,H721)</f>
        <v>5</v>
      </c>
    </row>
    <row r="722" spans="1:13" x14ac:dyDescent="0.2">
      <c r="A722">
        <v>1171</v>
      </c>
      <c r="B722" t="s">
        <v>429</v>
      </c>
      <c r="C722" t="s">
        <v>6402</v>
      </c>
      <c r="D722" t="s">
        <v>33</v>
      </c>
      <c r="E722" t="s">
        <v>6403</v>
      </c>
      <c r="F722" t="s">
        <v>432</v>
      </c>
      <c r="G722" t="s">
        <v>6404</v>
      </c>
      <c r="H722" t="s">
        <v>8962</v>
      </c>
      <c r="I722" t="b">
        <v>0</v>
      </c>
      <c r="J722">
        <v>143</v>
      </c>
      <c r="K722">
        <v>1172</v>
      </c>
      <c r="L722">
        <v>161</v>
      </c>
      <c r="M722">
        <f>COUNTIF(H722:$H$2581,H722)</f>
        <v>1</v>
      </c>
    </row>
    <row r="723" spans="1:13" x14ac:dyDescent="0.2">
      <c r="A723">
        <v>1941</v>
      </c>
      <c r="B723" t="s">
        <v>439</v>
      </c>
      <c r="C723" t="s">
        <v>6630</v>
      </c>
      <c r="D723" t="s">
        <v>13</v>
      </c>
      <c r="E723" t="s">
        <v>6631</v>
      </c>
      <c r="F723" t="s">
        <v>442</v>
      </c>
      <c r="G723" t="s">
        <v>6632</v>
      </c>
      <c r="H723" t="s">
        <v>8966</v>
      </c>
      <c r="I723" t="b">
        <v>0</v>
      </c>
      <c r="J723">
        <v>224</v>
      </c>
      <c r="K723">
        <v>1942</v>
      </c>
      <c r="L723">
        <v>7</v>
      </c>
      <c r="M723">
        <f>COUNTIF(H723:$H$2581,H723)</f>
        <v>2</v>
      </c>
    </row>
    <row r="724" spans="1:13" x14ac:dyDescent="0.2">
      <c r="A724">
        <v>865</v>
      </c>
      <c r="B724" t="s">
        <v>1091</v>
      </c>
      <c r="C724" t="s">
        <v>6774</v>
      </c>
      <c r="D724" t="s">
        <v>54</v>
      </c>
      <c r="E724" t="s">
        <v>6775</v>
      </c>
      <c r="F724" t="s">
        <v>1094</v>
      </c>
      <c r="G724" t="s">
        <v>6776</v>
      </c>
      <c r="H724" t="s">
        <v>8976</v>
      </c>
      <c r="I724" t="b">
        <v>1</v>
      </c>
      <c r="J724">
        <v>118</v>
      </c>
      <c r="K724">
        <v>866</v>
      </c>
      <c r="L724">
        <v>106</v>
      </c>
      <c r="M724">
        <f>COUNTIF(H724:$H$2581,H724)</f>
        <v>1</v>
      </c>
    </row>
    <row r="725" spans="1:13" x14ac:dyDescent="0.2">
      <c r="A725">
        <v>1752</v>
      </c>
      <c r="B725" t="s">
        <v>1403</v>
      </c>
      <c r="C725" t="s">
        <v>6877</v>
      </c>
      <c r="D725" t="s">
        <v>13</v>
      </c>
      <c r="E725" t="s">
        <v>6878</v>
      </c>
      <c r="F725" t="s">
        <v>1406</v>
      </c>
      <c r="G725" t="s">
        <v>6879</v>
      </c>
      <c r="I725" t="b">
        <v>1</v>
      </c>
      <c r="J725">
        <v>207</v>
      </c>
      <c r="K725">
        <v>1753</v>
      </c>
      <c r="L725">
        <v>125</v>
      </c>
      <c r="M725">
        <f>COUNTIF(H725:$H$2581,H725)</f>
        <v>0</v>
      </c>
    </row>
    <row r="726" spans="1:13" x14ac:dyDescent="0.2">
      <c r="A726">
        <v>1754</v>
      </c>
      <c r="B726" t="s">
        <v>1403</v>
      </c>
      <c r="C726" t="s">
        <v>7088</v>
      </c>
      <c r="D726" t="s">
        <v>13</v>
      </c>
      <c r="E726" t="s">
        <v>7089</v>
      </c>
      <c r="F726" t="s">
        <v>1406</v>
      </c>
      <c r="G726" t="s">
        <v>7090</v>
      </c>
      <c r="H726" t="s">
        <v>30</v>
      </c>
      <c r="I726" t="b">
        <v>1</v>
      </c>
      <c r="J726">
        <v>207</v>
      </c>
      <c r="K726">
        <v>1755</v>
      </c>
      <c r="L726">
        <v>14</v>
      </c>
      <c r="M726">
        <f>COUNTIF(H726:$H$2581,H726)</f>
        <v>29</v>
      </c>
    </row>
    <row r="727" spans="1:13" x14ac:dyDescent="0.2">
      <c r="A727">
        <v>644</v>
      </c>
      <c r="B727" t="s">
        <v>237</v>
      </c>
      <c r="C727" t="s">
        <v>7134</v>
      </c>
      <c r="D727" t="s">
        <v>54</v>
      </c>
      <c r="E727" t="s">
        <v>7135</v>
      </c>
      <c r="F727" t="s">
        <v>240</v>
      </c>
      <c r="G727" t="s">
        <v>7136</v>
      </c>
      <c r="H727" t="s">
        <v>30</v>
      </c>
      <c r="I727" t="b">
        <v>1</v>
      </c>
      <c r="J727">
        <v>92</v>
      </c>
      <c r="K727">
        <v>645</v>
      </c>
      <c r="L727">
        <v>281</v>
      </c>
      <c r="M727">
        <f>COUNTIF(H727:$H$2581,H727)</f>
        <v>28</v>
      </c>
    </row>
    <row r="728" spans="1:13" x14ac:dyDescent="0.2">
      <c r="A728">
        <v>882</v>
      </c>
      <c r="B728" t="s">
        <v>1192</v>
      </c>
      <c r="C728" t="s">
        <v>7367</v>
      </c>
      <c r="D728" t="s">
        <v>54</v>
      </c>
      <c r="E728" t="s">
        <v>7368</v>
      </c>
      <c r="F728" t="s">
        <v>1195</v>
      </c>
      <c r="G728" t="s">
        <v>7369</v>
      </c>
      <c r="H728" t="s">
        <v>30</v>
      </c>
      <c r="I728" t="s">
        <v>24</v>
      </c>
      <c r="J728">
        <v>119</v>
      </c>
      <c r="K728">
        <v>883</v>
      </c>
      <c r="L728">
        <v>250</v>
      </c>
      <c r="M728">
        <f>COUNTIF(H728:$H$2581,H728)</f>
        <v>27</v>
      </c>
    </row>
    <row r="729" spans="1:13" x14ac:dyDescent="0.2">
      <c r="A729">
        <v>127</v>
      </c>
      <c r="B729" t="s">
        <v>52</v>
      </c>
      <c r="C729" t="s">
        <v>7681</v>
      </c>
      <c r="D729" t="s">
        <v>13</v>
      </c>
      <c r="E729" t="s">
        <v>7682</v>
      </c>
      <c r="F729" t="s">
        <v>56</v>
      </c>
      <c r="G729" t="s">
        <v>7683</v>
      </c>
      <c r="H729" t="s">
        <v>30</v>
      </c>
      <c r="I729" t="b">
        <v>0</v>
      </c>
      <c r="J729">
        <v>22</v>
      </c>
      <c r="K729">
        <v>128</v>
      </c>
      <c r="L729">
        <v>54</v>
      </c>
      <c r="M729">
        <f>COUNTIF(H729:$H$2581,H729)</f>
        <v>26</v>
      </c>
    </row>
    <row r="730" spans="1:13" x14ac:dyDescent="0.2">
      <c r="A730">
        <v>1843</v>
      </c>
      <c r="B730" t="s">
        <v>1198</v>
      </c>
      <c r="C730" t="s">
        <v>7822</v>
      </c>
      <c r="D730" t="s">
        <v>54</v>
      </c>
      <c r="E730" t="s">
        <v>7823</v>
      </c>
      <c r="F730" t="s">
        <v>1201</v>
      </c>
      <c r="G730" t="s">
        <v>7824</v>
      </c>
      <c r="H730" t="s">
        <v>30</v>
      </c>
      <c r="I730" t="s">
        <v>24</v>
      </c>
      <c r="J730">
        <v>214</v>
      </c>
      <c r="K730">
        <v>1844</v>
      </c>
      <c r="L730">
        <v>27</v>
      </c>
      <c r="M730">
        <f>COUNTIF(H730:$H$2581,H730)</f>
        <v>25</v>
      </c>
    </row>
    <row r="731" spans="1:13" x14ac:dyDescent="0.2">
      <c r="A731">
        <v>676</v>
      </c>
      <c r="B731" t="s">
        <v>822</v>
      </c>
      <c r="C731" t="s">
        <v>7907</v>
      </c>
      <c r="D731" t="s">
        <v>54</v>
      </c>
      <c r="E731" t="s">
        <v>7908</v>
      </c>
      <c r="F731" t="s">
        <v>825</v>
      </c>
      <c r="G731" t="s">
        <v>7909</v>
      </c>
      <c r="H731" t="s">
        <v>30</v>
      </c>
      <c r="I731" t="s">
        <v>24</v>
      </c>
      <c r="J731">
        <v>99</v>
      </c>
      <c r="K731">
        <v>677</v>
      </c>
      <c r="L731">
        <v>183</v>
      </c>
      <c r="M731">
        <f>COUNTIF(H731:$H$2581,H731)</f>
        <v>24</v>
      </c>
    </row>
    <row r="732" spans="1:13" x14ac:dyDescent="0.2">
      <c r="A732">
        <v>667</v>
      </c>
      <c r="B732" t="s">
        <v>2053</v>
      </c>
      <c r="C732" t="s">
        <v>7958</v>
      </c>
      <c r="D732" t="s">
        <v>13</v>
      </c>
      <c r="E732" t="s">
        <v>7959</v>
      </c>
      <c r="F732" s="1" t="s">
        <v>2056</v>
      </c>
      <c r="G732" t="s">
        <v>7960</v>
      </c>
      <c r="H732" t="s">
        <v>30</v>
      </c>
      <c r="I732" t="s">
        <v>24</v>
      </c>
      <c r="J732">
        <v>98</v>
      </c>
      <c r="K732">
        <v>668</v>
      </c>
      <c r="L732">
        <v>284</v>
      </c>
      <c r="M732">
        <f>COUNTIF(H732:$H$2581,H732)</f>
        <v>23</v>
      </c>
    </row>
    <row r="733" spans="1:13" x14ac:dyDescent="0.2">
      <c r="A733">
        <v>985</v>
      </c>
      <c r="B733" t="s">
        <v>203</v>
      </c>
      <c r="C733" t="s">
        <v>8028</v>
      </c>
      <c r="D733" t="s">
        <v>13</v>
      </c>
      <c r="E733" t="s">
        <v>8029</v>
      </c>
      <c r="F733" t="s">
        <v>206</v>
      </c>
      <c r="G733" t="s">
        <v>8030</v>
      </c>
      <c r="H733" t="s">
        <v>30</v>
      </c>
      <c r="I733" t="b">
        <v>1</v>
      </c>
      <c r="J733">
        <v>123</v>
      </c>
      <c r="K733">
        <v>986</v>
      </c>
      <c r="L733">
        <v>128</v>
      </c>
      <c r="M733">
        <f>COUNTIF(H733:$H$2581,H733)</f>
        <v>22</v>
      </c>
    </row>
    <row r="734" spans="1:13" x14ac:dyDescent="0.2">
      <c r="A734">
        <v>1673</v>
      </c>
      <c r="B734" t="s">
        <v>1059</v>
      </c>
      <c r="C734" t="s">
        <v>8204</v>
      </c>
      <c r="D734" t="s">
        <v>13</v>
      </c>
      <c r="E734" t="s">
        <v>8205</v>
      </c>
      <c r="F734" t="s">
        <v>1062</v>
      </c>
      <c r="G734" t="s">
        <v>8206</v>
      </c>
      <c r="H734" t="s">
        <v>30</v>
      </c>
      <c r="I734" t="b">
        <v>1</v>
      </c>
      <c r="J734">
        <v>201</v>
      </c>
      <c r="K734">
        <v>1674</v>
      </c>
      <c r="L734">
        <v>30</v>
      </c>
      <c r="M734">
        <f>COUNTIF(H734:$H$2581,H734)</f>
        <v>21</v>
      </c>
    </row>
    <row r="735" spans="1:13" x14ac:dyDescent="0.2">
      <c r="A735">
        <v>56</v>
      </c>
      <c r="B735" t="s">
        <v>1357</v>
      </c>
      <c r="C735" t="s">
        <v>8307</v>
      </c>
      <c r="D735" t="s">
        <v>13</v>
      </c>
      <c r="E735" t="s">
        <v>8308</v>
      </c>
      <c r="F735" t="s">
        <v>1360</v>
      </c>
      <c r="G735" t="s">
        <v>8309</v>
      </c>
      <c r="H735" t="s">
        <v>30</v>
      </c>
      <c r="I735" t="b">
        <v>0</v>
      </c>
      <c r="J735">
        <v>8</v>
      </c>
      <c r="K735">
        <v>57</v>
      </c>
      <c r="L735">
        <v>42</v>
      </c>
      <c r="M735">
        <f>COUNTIF(H735:$H$2581,H735)</f>
        <v>20</v>
      </c>
    </row>
    <row r="736" spans="1:13" x14ac:dyDescent="0.2">
      <c r="A736">
        <v>1419</v>
      </c>
      <c r="B736" t="s">
        <v>1397</v>
      </c>
      <c r="C736" t="s">
        <v>8576</v>
      </c>
      <c r="D736" t="s">
        <v>13</v>
      </c>
      <c r="E736" t="s">
        <v>8577</v>
      </c>
      <c r="F736" t="s">
        <v>1400</v>
      </c>
      <c r="G736" t="s">
        <v>8578</v>
      </c>
      <c r="H736" t="s">
        <v>30</v>
      </c>
      <c r="I736" t="b">
        <v>1</v>
      </c>
      <c r="J736">
        <v>169</v>
      </c>
      <c r="K736">
        <v>1420</v>
      </c>
      <c r="L736">
        <v>56</v>
      </c>
      <c r="M736">
        <f>COUNTIF(H736:$H$2581,H736)</f>
        <v>19</v>
      </c>
    </row>
    <row r="737" spans="1:13" x14ac:dyDescent="0.2">
      <c r="A737">
        <v>1861</v>
      </c>
      <c r="B737" t="s">
        <v>1295</v>
      </c>
      <c r="C737" t="s">
        <v>8768</v>
      </c>
      <c r="D737" t="s">
        <v>54</v>
      </c>
      <c r="E737" s="1" t="s">
        <v>8771</v>
      </c>
      <c r="F737" t="s">
        <v>1297</v>
      </c>
      <c r="G737" t="s">
        <v>8770</v>
      </c>
      <c r="H737" t="s">
        <v>30</v>
      </c>
      <c r="I737" t="s">
        <v>24</v>
      </c>
      <c r="J737">
        <v>216</v>
      </c>
      <c r="K737">
        <v>1862</v>
      </c>
      <c r="L737">
        <v>31</v>
      </c>
      <c r="M737">
        <f>COUNTIF(H737:$H$2581,H737)</f>
        <v>18</v>
      </c>
    </row>
    <row r="738" spans="1:13" x14ac:dyDescent="0.2">
      <c r="A738">
        <v>192</v>
      </c>
      <c r="B738" t="s">
        <v>83</v>
      </c>
      <c r="C738" t="s">
        <v>84</v>
      </c>
      <c r="D738" t="s">
        <v>54</v>
      </c>
      <c r="E738" t="s">
        <v>85</v>
      </c>
      <c r="F738" t="s">
        <v>86</v>
      </c>
      <c r="G738" t="s">
        <v>87</v>
      </c>
      <c r="H738" t="s">
        <v>30</v>
      </c>
      <c r="I738" t="b">
        <v>0</v>
      </c>
      <c r="J738">
        <v>35</v>
      </c>
      <c r="K738">
        <v>193</v>
      </c>
      <c r="L738">
        <v>45</v>
      </c>
      <c r="M738">
        <f>COUNTIF(H738:$H$2581,H738)</f>
        <v>17</v>
      </c>
    </row>
    <row r="739" spans="1:13" x14ac:dyDescent="0.2">
      <c r="A739">
        <v>173</v>
      </c>
      <c r="B739" t="s">
        <v>78</v>
      </c>
      <c r="C739" t="s">
        <v>343</v>
      </c>
      <c r="D739" t="s">
        <v>54</v>
      </c>
      <c r="E739" t="s">
        <v>344</v>
      </c>
      <c r="F739" t="s">
        <v>81</v>
      </c>
      <c r="G739" t="s">
        <v>345</v>
      </c>
      <c r="H739" t="s">
        <v>30</v>
      </c>
      <c r="I739" t="b">
        <v>1</v>
      </c>
      <c r="J739">
        <v>33</v>
      </c>
      <c r="K739">
        <v>174</v>
      </c>
      <c r="L739">
        <v>1</v>
      </c>
      <c r="M739">
        <f>COUNTIF(H739:$H$2581,H739)</f>
        <v>16</v>
      </c>
    </row>
    <row r="740" spans="1:13" x14ac:dyDescent="0.2">
      <c r="A740">
        <v>776</v>
      </c>
      <c r="B740" t="s">
        <v>111</v>
      </c>
      <c r="C740" t="s">
        <v>568</v>
      </c>
      <c r="D740" t="s">
        <v>54</v>
      </c>
      <c r="E740" t="s">
        <v>569</v>
      </c>
      <c r="F740" t="s">
        <v>114</v>
      </c>
      <c r="G740" t="s">
        <v>570</v>
      </c>
      <c r="H740" t="s">
        <v>30</v>
      </c>
      <c r="I740" t="s">
        <v>24</v>
      </c>
      <c r="J740">
        <v>110</v>
      </c>
      <c r="K740">
        <v>777</v>
      </c>
      <c r="L740">
        <v>46</v>
      </c>
      <c r="M740">
        <f>COUNTIF(H740:$H$2581,H740)</f>
        <v>15</v>
      </c>
    </row>
    <row r="741" spans="1:13" x14ac:dyDescent="0.2">
      <c r="A741">
        <v>1918</v>
      </c>
      <c r="B741" t="s">
        <v>439</v>
      </c>
      <c r="C741" t="s">
        <v>1298</v>
      </c>
      <c r="D741" t="s">
        <v>33</v>
      </c>
      <c r="E741" t="s">
        <v>1299</v>
      </c>
      <c r="F741" t="s">
        <v>442</v>
      </c>
      <c r="G741" t="s">
        <v>1300</v>
      </c>
      <c r="H741" t="s">
        <v>30</v>
      </c>
      <c r="I741" t="b">
        <v>0</v>
      </c>
      <c r="J741">
        <v>224</v>
      </c>
      <c r="K741">
        <v>1919</v>
      </c>
      <c r="L741">
        <v>157</v>
      </c>
      <c r="M741">
        <f>COUNTIF(H741:$H$2581,H741)</f>
        <v>14</v>
      </c>
    </row>
    <row r="742" spans="1:13" x14ac:dyDescent="0.2">
      <c r="A742">
        <v>62</v>
      </c>
      <c r="B742" t="s">
        <v>25</v>
      </c>
      <c r="C742" t="s">
        <v>1363</v>
      </c>
      <c r="D742" t="s">
        <v>54</v>
      </c>
      <c r="E742" t="s">
        <v>1364</v>
      </c>
      <c r="F742" t="s">
        <v>28</v>
      </c>
      <c r="G742" t="s">
        <v>1365</v>
      </c>
      <c r="H742" t="s">
        <v>30</v>
      </c>
      <c r="I742" t="b">
        <v>1</v>
      </c>
      <c r="J742">
        <v>11</v>
      </c>
      <c r="K742">
        <v>63</v>
      </c>
      <c r="L742">
        <v>37</v>
      </c>
      <c r="M742">
        <f>COUNTIF(H742:$H$2581,H742)</f>
        <v>13</v>
      </c>
    </row>
    <row r="743" spans="1:13" x14ac:dyDescent="0.2">
      <c r="A743">
        <v>1491</v>
      </c>
      <c r="B743" t="s">
        <v>807</v>
      </c>
      <c r="C743" t="s">
        <v>1778</v>
      </c>
      <c r="D743" t="s">
        <v>54</v>
      </c>
      <c r="E743" t="s">
        <v>1779</v>
      </c>
      <c r="F743" t="s">
        <v>810</v>
      </c>
      <c r="G743" t="s">
        <v>1780</v>
      </c>
      <c r="H743" t="s">
        <v>30</v>
      </c>
      <c r="I743" t="b">
        <v>1</v>
      </c>
      <c r="J743">
        <v>182</v>
      </c>
      <c r="K743">
        <v>1492</v>
      </c>
      <c r="L743">
        <v>84</v>
      </c>
      <c r="M743">
        <f>COUNTIF(H743:$H$2581,H743)</f>
        <v>12</v>
      </c>
    </row>
    <row r="744" spans="1:13" x14ac:dyDescent="0.2">
      <c r="A744">
        <v>2058</v>
      </c>
      <c r="B744" t="s">
        <v>1965</v>
      </c>
      <c r="C744" t="s">
        <v>1966</v>
      </c>
      <c r="D744" t="s">
        <v>13</v>
      </c>
      <c r="E744" t="s">
        <v>1967</v>
      </c>
      <c r="F744" t="s">
        <v>1968</v>
      </c>
      <c r="G744" t="s">
        <v>1969</v>
      </c>
      <c r="H744" t="s">
        <v>30</v>
      </c>
      <c r="I744" t="b">
        <v>1</v>
      </c>
      <c r="J744">
        <v>240</v>
      </c>
      <c r="K744">
        <v>2059</v>
      </c>
      <c r="L744">
        <v>10</v>
      </c>
      <c r="M744">
        <f>COUNTIF(H744:$H$2581,H744)</f>
        <v>11</v>
      </c>
    </row>
    <row r="745" spans="1:13" x14ac:dyDescent="0.2">
      <c r="A745">
        <v>670</v>
      </c>
      <c r="B745" t="s">
        <v>822</v>
      </c>
      <c r="C745" t="s">
        <v>2289</v>
      </c>
      <c r="D745" t="s">
        <v>13</v>
      </c>
      <c r="E745" t="s">
        <v>2290</v>
      </c>
      <c r="F745" t="s">
        <v>825</v>
      </c>
      <c r="G745" t="s">
        <v>2291</v>
      </c>
      <c r="H745" t="s">
        <v>30</v>
      </c>
      <c r="I745" t="s">
        <v>24</v>
      </c>
      <c r="J745">
        <v>99</v>
      </c>
      <c r="K745">
        <v>671</v>
      </c>
      <c r="L745">
        <v>120</v>
      </c>
      <c r="M745">
        <f>COUNTIF(H745:$H$2581,H745)</f>
        <v>10</v>
      </c>
    </row>
    <row r="746" spans="1:13" x14ac:dyDescent="0.2">
      <c r="A746">
        <v>1762</v>
      </c>
      <c r="B746" t="s">
        <v>216</v>
      </c>
      <c r="C746" t="s">
        <v>2381</v>
      </c>
      <c r="D746" t="s">
        <v>54</v>
      </c>
      <c r="E746" t="s">
        <v>2382</v>
      </c>
      <c r="F746" t="s">
        <v>219</v>
      </c>
      <c r="G746" t="s">
        <v>2383</v>
      </c>
      <c r="H746" t="s">
        <v>30</v>
      </c>
      <c r="I746" t="b">
        <v>1</v>
      </c>
      <c r="J746">
        <v>209</v>
      </c>
      <c r="K746">
        <v>1763</v>
      </c>
      <c r="L746">
        <v>121</v>
      </c>
      <c r="M746">
        <f>COUNTIF(H746:$H$2581,H746)</f>
        <v>9</v>
      </c>
    </row>
    <row r="747" spans="1:13" x14ac:dyDescent="0.2">
      <c r="A747">
        <v>1327</v>
      </c>
      <c r="B747" t="s">
        <v>2235</v>
      </c>
      <c r="C747" t="s">
        <v>2821</v>
      </c>
      <c r="D747" t="s">
        <v>13</v>
      </c>
      <c r="E747" t="s">
        <v>2822</v>
      </c>
      <c r="F747" t="s">
        <v>2238</v>
      </c>
      <c r="G747" t="s">
        <v>2823</v>
      </c>
      <c r="H747" t="s">
        <v>30</v>
      </c>
      <c r="I747" t="b">
        <v>0</v>
      </c>
      <c r="J747">
        <v>163</v>
      </c>
      <c r="K747">
        <v>1328</v>
      </c>
      <c r="L747">
        <v>17</v>
      </c>
      <c r="M747">
        <f>COUNTIF(H747:$H$2581,H747)</f>
        <v>8</v>
      </c>
    </row>
    <row r="748" spans="1:13" x14ac:dyDescent="0.2">
      <c r="A748">
        <v>222</v>
      </c>
      <c r="B748" t="s">
        <v>1120</v>
      </c>
      <c r="C748" t="s">
        <v>2940</v>
      </c>
      <c r="D748" t="s">
        <v>33</v>
      </c>
      <c r="E748" t="s">
        <v>2941</v>
      </c>
      <c r="F748" s="1" t="s">
        <v>1123</v>
      </c>
      <c r="G748" t="s">
        <v>2942</v>
      </c>
      <c r="H748" t="s">
        <v>30</v>
      </c>
      <c r="I748" t="b">
        <v>0</v>
      </c>
      <c r="J748">
        <v>40</v>
      </c>
      <c r="K748">
        <v>223</v>
      </c>
      <c r="L748">
        <v>100</v>
      </c>
      <c r="M748">
        <f>COUNTIF(H748:$H$2581,H748)</f>
        <v>7</v>
      </c>
    </row>
    <row r="749" spans="1:13" x14ac:dyDescent="0.2">
      <c r="A749">
        <v>1364</v>
      </c>
      <c r="B749" t="s">
        <v>603</v>
      </c>
      <c r="C749" t="s">
        <v>3284</v>
      </c>
      <c r="D749" t="s">
        <v>54</v>
      </c>
      <c r="E749" t="s">
        <v>3285</v>
      </c>
      <c r="F749" t="s">
        <v>606</v>
      </c>
      <c r="G749" t="s">
        <v>3286</v>
      </c>
      <c r="H749" t="s">
        <v>30</v>
      </c>
      <c r="I749" t="s">
        <v>24</v>
      </c>
      <c r="J749">
        <v>166</v>
      </c>
      <c r="K749">
        <v>1365</v>
      </c>
      <c r="L749">
        <v>21</v>
      </c>
      <c r="M749">
        <f>COUNTIF(H749:$H$2581,H749)</f>
        <v>6</v>
      </c>
    </row>
    <row r="750" spans="1:13" x14ac:dyDescent="0.2">
      <c r="A750">
        <v>994</v>
      </c>
      <c r="B750" t="s">
        <v>1876</v>
      </c>
      <c r="C750" t="s">
        <v>3430</v>
      </c>
      <c r="D750" t="s">
        <v>54</v>
      </c>
      <c r="E750" t="s">
        <v>3431</v>
      </c>
      <c r="F750" t="s">
        <v>1879</v>
      </c>
      <c r="G750" t="s">
        <v>3432</v>
      </c>
      <c r="H750" t="s">
        <v>30</v>
      </c>
      <c r="I750" t="s">
        <v>24</v>
      </c>
      <c r="J750">
        <v>124</v>
      </c>
      <c r="K750">
        <v>995</v>
      </c>
      <c r="L750">
        <v>240</v>
      </c>
      <c r="M750">
        <f>COUNTIF(H750:$H$2581,H750)</f>
        <v>5</v>
      </c>
    </row>
    <row r="751" spans="1:13" x14ac:dyDescent="0.2">
      <c r="A751">
        <v>1883</v>
      </c>
      <c r="B751" t="s">
        <v>619</v>
      </c>
      <c r="C751" t="s">
        <v>3607</v>
      </c>
      <c r="D751" t="s">
        <v>54</v>
      </c>
      <c r="E751" t="s">
        <v>3608</v>
      </c>
      <c r="F751" t="s">
        <v>622</v>
      </c>
      <c r="G751" t="s">
        <v>3609</v>
      </c>
      <c r="H751" t="s">
        <v>30</v>
      </c>
      <c r="I751" t="b">
        <v>1</v>
      </c>
      <c r="J751">
        <v>219</v>
      </c>
      <c r="K751">
        <v>1884</v>
      </c>
      <c r="L751">
        <v>39</v>
      </c>
      <c r="M751">
        <f>COUNTIF(H751:$H$2581,H751)</f>
        <v>4</v>
      </c>
    </row>
    <row r="752" spans="1:13" x14ac:dyDescent="0.2">
      <c r="A752">
        <v>1546</v>
      </c>
      <c r="B752" t="s">
        <v>282</v>
      </c>
      <c r="C752" t="s">
        <v>3747</v>
      </c>
      <c r="D752" t="s">
        <v>33</v>
      </c>
      <c r="E752" t="s">
        <v>3748</v>
      </c>
      <c r="F752" t="s">
        <v>285</v>
      </c>
      <c r="G752" t="s">
        <v>3749</v>
      </c>
      <c r="H752" t="s">
        <v>30</v>
      </c>
      <c r="I752" t="b">
        <v>0</v>
      </c>
      <c r="J752">
        <v>188</v>
      </c>
      <c r="K752">
        <v>1547</v>
      </c>
      <c r="L752">
        <v>22</v>
      </c>
      <c r="M752">
        <f>COUNTIF(H752:$H$2581,H752)</f>
        <v>3</v>
      </c>
    </row>
    <row r="753" spans="1:13" x14ac:dyDescent="0.2">
      <c r="A753">
        <v>1451</v>
      </c>
      <c r="B753" t="s">
        <v>2651</v>
      </c>
      <c r="C753" t="s">
        <v>3827</v>
      </c>
      <c r="D753" t="s">
        <v>54</v>
      </c>
      <c r="E753" t="s">
        <v>3828</v>
      </c>
      <c r="F753" t="s">
        <v>2654</v>
      </c>
      <c r="G753" t="s">
        <v>3829</v>
      </c>
      <c r="H753" t="s">
        <v>30</v>
      </c>
      <c r="I753" t="b">
        <v>0</v>
      </c>
      <c r="J753">
        <v>176</v>
      </c>
      <c r="K753">
        <v>1452</v>
      </c>
      <c r="L753">
        <v>270</v>
      </c>
      <c r="M753">
        <f>COUNTIF(H753:$H$2581,H753)</f>
        <v>2</v>
      </c>
    </row>
    <row r="754" spans="1:13" x14ac:dyDescent="0.2">
      <c r="A754">
        <v>135</v>
      </c>
      <c r="B754" t="s">
        <v>58</v>
      </c>
      <c r="C754" t="s">
        <v>3952</v>
      </c>
      <c r="D754" t="s">
        <v>54</v>
      </c>
      <c r="E754" t="s">
        <v>3953</v>
      </c>
      <c r="F754" t="s">
        <v>61</v>
      </c>
      <c r="G754" t="s">
        <v>3954</v>
      </c>
      <c r="H754" t="s">
        <v>30</v>
      </c>
      <c r="I754" t="b">
        <v>0</v>
      </c>
      <c r="J754">
        <v>24</v>
      </c>
      <c r="K754">
        <v>136</v>
      </c>
      <c r="L754">
        <v>40</v>
      </c>
      <c r="M754">
        <f>COUNTIF(H754:$H$2581,H754)</f>
        <v>1</v>
      </c>
    </row>
    <row r="755" spans="1:13" x14ac:dyDescent="0.2">
      <c r="A755">
        <v>1498</v>
      </c>
      <c r="B755" t="s">
        <v>807</v>
      </c>
      <c r="C755" t="s">
        <v>4037</v>
      </c>
      <c r="D755" t="s">
        <v>54</v>
      </c>
      <c r="E755" t="s">
        <v>4038</v>
      </c>
      <c r="F755" t="s">
        <v>810</v>
      </c>
      <c r="G755" t="s">
        <v>4039</v>
      </c>
      <c r="H755" t="s">
        <v>187</v>
      </c>
      <c r="I755" t="b">
        <v>1</v>
      </c>
      <c r="J755">
        <v>182</v>
      </c>
      <c r="K755">
        <v>1499</v>
      </c>
      <c r="L755">
        <v>23</v>
      </c>
      <c r="M755">
        <f>COUNTIF(H755:$H$2581,H755)</f>
        <v>9</v>
      </c>
    </row>
    <row r="756" spans="1:13" x14ac:dyDescent="0.2">
      <c r="A756">
        <v>496</v>
      </c>
      <c r="B756" t="s">
        <v>362</v>
      </c>
      <c r="C756" t="s">
        <v>4185</v>
      </c>
      <c r="D756" t="s">
        <v>13</v>
      </c>
      <c r="E756" t="s">
        <v>4186</v>
      </c>
      <c r="F756" t="s">
        <v>365</v>
      </c>
      <c r="G756" t="s">
        <v>4187</v>
      </c>
      <c r="H756" t="s">
        <v>187</v>
      </c>
      <c r="I756" t="b">
        <v>1</v>
      </c>
      <c r="J756">
        <v>70</v>
      </c>
      <c r="K756">
        <v>497</v>
      </c>
      <c r="L756">
        <v>64</v>
      </c>
      <c r="M756">
        <f>COUNTIF(H756:$H$2581,H756)</f>
        <v>8</v>
      </c>
    </row>
    <row r="757" spans="1:13" x14ac:dyDescent="0.2">
      <c r="A757">
        <v>2288</v>
      </c>
      <c r="B757" t="s">
        <v>1070</v>
      </c>
      <c r="C757" t="s">
        <v>4599</v>
      </c>
      <c r="D757" t="s">
        <v>54</v>
      </c>
      <c r="E757" t="s">
        <v>4600</v>
      </c>
      <c r="F757" t="s">
        <v>1073</v>
      </c>
      <c r="G757" t="s">
        <v>4601</v>
      </c>
      <c r="H757" t="s">
        <v>187</v>
      </c>
      <c r="I757" t="b">
        <v>1</v>
      </c>
      <c r="J757">
        <v>268</v>
      </c>
      <c r="K757">
        <v>2289</v>
      </c>
      <c r="L757">
        <v>4</v>
      </c>
      <c r="M757">
        <f>COUNTIF(H757:$H$2581,H757)</f>
        <v>7</v>
      </c>
    </row>
    <row r="758" spans="1:13" x14ac:dyDescent="0.2">
      <c r="A758">
        <v>257</v>
      </c>
      <c r="B758" t="s">
        <v>1503</v>
      </c>
      <c r="C758" t="s">
        <v>4660</v>
      </c>
      <c r="D758" t="s">
        <v>33</v>
      </c>
      <c r="E758" t="s">
        <v>4661</v>
      </c>
      <c r="F758" t="s">
        <v>1506</v>
      </c>
      <c r="G758" t="s">
        <v>4662</v>
      </c>
      <c r="H758" t="s">
        <v>187</v>
      </c>
      <c r="I758" t="b">
        <v>0</v>
      </c>
      <c r="J758">
        <v>42</v>
      </c>
      <c r="K758">
        <v>258</v>
      </c>
      <c r="L758">
        <v>33</v>
      </c>
      <c r="M758">
        <f>COUNTIF(H758:$H$2581,H758)</f>
        <v>6</v>
      </c>
    </row>
    <row r="759" spans="1:13" x14ac:dyDescent="0.2">
      <c r="A759">
        <v>752</v>
      </c>
      <c r="B759" t="s">
        <v>1868</v>
      </c>
      <c r="C759" t="s">
        <v>4890</v>
      </c>
      <c r="D759" t="s">
        <v>13</v>
      </c>
      <c r="E759" t="s">
        <v>4891</v>
      </c>
      <c r="F759" t="s">
        <v>1871</v>
      </c>
      <c r="G759" t="s">
        <v>4892</v>
      </c>
      <c r="H759" t="s">
        <v>187</v>
      </c>
      <c r="I759" t="s">
        <v>24</v>
      </c>
      <c r="J759">
        <v>107</v>
      </c>
      <c r="K759">
        <v>753</v>
      </c>
      <c r="L759">
        <v>34</v>
      </c>
      <c r="M759">
        <f>COUNTIF(H759:$H$2581,H759)</f>
        <v>5</v>
      </c>
    </row>
    <row r="760" spans="1:13" x14ac:dyDescent="0.2">
      <c r="A760">
        <v>1412</v>
      </c>
      <c r="B760" t="s">
        <v>1397</v>
      </c>
      <c r="C760" t="s">
        <v>5001</v>
      </c>
      <c r="D760" t="s">
        <v>13</v>
      </c>
      <c r="E760" t="s">
        <v>5002</v>
      </c>
      <c r="F760" t="s">
        <v>1400</v>
      </c>
      <c r="G760" t="s">
        <v>5003</v>
      </c>
      <c r="H760" t="s">
        <v>187</v>
      </c>
      <c r="I760" t="b">
        <v>1</v>
      </c>
      <c r="J760">
        <v>169</v>
      </c>
      <c r="K760">
        <v>1413</v>
      </c>
      <c r="L760">
        <v>123</v>
      </c>
      <c r="M760">
        <f>COUNTIF(H760:$H$2581,H760)</f>
        <v>4</v>
      </c>
    </row>
    <row r="761" spans="1:13" x14ac:dyDescent="0.2">
      <c r="A761">
        <v>879</v>
      </c>
      <c r="B761" t="s">
        <v>1192</v>
      </c>
      <c r="C761" t="s">
        <v>5264</v>
      </c>
      <c r="D761" t="s">
        <v>54</v>
      </c>
      <c r="E761" t="s">
        <v>5265</v>
      </c>
      <c r="F761" t="s">
        <v>1195</v>
      </c>
      <c r="G761" t="s">
        <v>5266</v>
      </c>
      <c r="H761" t="s">
        <v>187</v>
      </c>
      <c r="I761" t="s">
        <v>24</v>
      </c>
      <c r="J761">
        <v>119</v>
      </c>
      <c r="K761">
        <v>880</v>
      </c>
      <c r="L761">
        <v>35</v>
      </c>
      <c r="M761">
        <f>COUNTIF(H761:$H$2581,H761)</f>
        <v>3</v>
      </c>
    </row>
    <row r="762" spans="1:13" x14ac:dyDescent="0.2">
      <c r="A762">
        <v>1772</v>
      </c>
      <c r="B762" t="s">
        <v>216</v>
      </c>
      <c r="C762" t="s">
        <v>5388</v>
      </c>
      <c r="D762" t="s">
        <v>13</v>
      </c>
      <c r="E762" t="s">
        <v>5389</v>
      </c>
      <c r="F762" t="s">
        <v>219</v>
      </c>
      <c r="G762" t="s">
        <v>5390</v>
      </c>
      <c r="H762" t="s">
        <v>187</v>
      </c>
      <c r="I762" t="b">
        <v>1</v>
      </c>
      <c r="J762">
        <v>209</v>
      </c>
      <c r="K762">
        <v>1773</v>
      </c>
      <c r="L762">
        <v>24</v>
      </c>
      <c r="M762">
        <f>COUNTIF(H762:$H$2581,H762)</f>
        <v>2</v>
      </c>
    </row>
    <row r="763" spans="1:13" x14ac:dyDescent="0.2">
      <c r="A763">
        <v>30</v>
      </c>
      <c r="B763" t="s">
        <v>2448</v>
      </c>
      <c r="C763" t="s">
        <v>5436</v>
      </c>
      <c r="D763" t="s">
        <v>33</v>
      </c>
      <c r="E763" t="s">
        <v>5437</v>
      </c>
      <c r="F763" t="s">
        <v>2451</v>
      </c>
      <c r="G763" t="s">
        <v>5438</v>
      </c>
      <c r="H763" t="s">
        <v>187</v>
      </c>
      <c r="I763" t="s">
        <v>24</v>
      </c>
      <c r="J763">
        <v>6</v>
      </c>
      <c r="K763">
        <v>31</v>
      </c>
      <c r="L763">
        <v>12</v>
      </c>
      <c r="M763">
        <f>COUNTIF(H763:$H$2581,H763)</f>
        <v>1</v>
      </c>
    </row>
    <row r="764" spans="1:13" x14ac:dyDescent="0.2">
      <c r="A764">
        <v>1652</v>
      </c>
      <c r="B764" t="s">
        <v>3361</v>
      </c>
      <c r="C764" t="s">
        <v>5524</v>
      </c>
      <c r="D764" t="s">
        <v>13</v>
      </c>
      <c r="E764" t="s">
        <v>5525</v>
      </c>
      <c r="F764" t="s">
        <v>3364</v>
      </c>
      <c r="G764" t="s">
        <v>5526</v>
      </c>
      <c r="H764" t="s">
        <v>276</v>
      </c>
      <c r="I764" t="b">
        <v>0</v>
      </c>
      <c r="J764">
        <v>198</v>
      </c>
      <c r="K764">
        <v>1653</v>
      </c>
      <c r="L764">
        <v>13</v>
      </c>
      <c r="M764">
        <f>COUNTIF(H764:$H$2581,H764)</f>
        <v>4</v>
      </c>
    </row>
    <row r="765" spans="1:13" x14ac:dyDescent="0.2">
      <c r="A765">
        <v>1335</v>
      </c>
      <c r="B765" t="s">
        <v>2235</v>
      </c>
      <c r="C765" t="s">
        <v>5609</v>
      </c>
      <c r="D765" t="s">
        <v>33</v>
      </c>
      <c r="E765" t="s">
        <v>5610</v>
      </c>
      <c r="F765" t="s">
        <v>2238</v>
      </c>
      <c r="G765" t="s">
        <v>5611</v>
      </c>
      <c r="H765" t="s">
        <v>276</v>
      </c>
      <c r="I765" t="b">
        <v>0</v>
      </c>
      <c r="J765">
        <v>163</v>
      </c>
      <c r="K765">
        <v>1336</v>
      </c>
      <c r="L765">
        <v>50</v>
      </c>
      <c r="M765">
        <f>COUNTIF(H765:$H$2581,H765)</f>
        <v>3</v>
      </c>
    </row>
    <row r="766" spans="1:13" x14ac:dyDescent="0.2">
      <c r="A766">
        <v>1911</v>
      </c>
      <c r="B766" t="s">
        <v>4687</v>
      </c>
      <c r="C766" t="s">
        <v>5793</v>
      </c>
      <c r="D766" t="s">
        <v>54</v>
      </c>
      <c r="E766" t="s">
        <v>5794</v>
      </c>
      <c r="F766" t="s">
        <v>4690</v>
      </c>
      <c r="G766" t="s">
        <v>5795</v>
      </c>
      <c r="H766" t="s">
        <v>276</v>
      </c>
      <c r="I766" t="s">
        <v>24</v>
      </c>
      <c r="J766">
        <v>223</v>
      </c>
      <c r="K766">
        <v>1912</v>
      </c>
      <c r="L766">
        <v>25</v>
      </c>
      <c r="M766">
        <f>COUNTIF(H766:$H$2581,H766)</f>
        <v>2</v>
      </c>
    </row>
    <row r="767" spans="1:13" x14ac:dyDescent="0.2">
      <c r="A767">
        <v>1959</v>
      </c>
      <c r="B767" t="s">
        <v>1472</v>
      </c>
      <c r="C767" t="s">
        <v>5952</v>
      </c>
      <c r="D767" t="s">
        <v>13</v>
      </c>
      <c r="E767" t="s">
        <v>5953</v>
      </c>
      <c r="F767" t="s">
        <v>1475</v>
      </c>
      <c r="G767" t="s">
        <v>5954</v>
      </c>
      <c r="H767" t="s">
        <v>276</v>
      </c>
      <c r="I767" t="b">
        <v>0</v>
      </c>
      <c r="J767">
        <v>225</v>
      </c>
      <c r="K767">
        <v>1960</v>
      </c>
      <c r="L767">
        <v>124</v>
      </c>
      <c r="M767">
        <f>COUNTIF(H767:$H$2581,H767)</f>
        <v>1</v>
      </c>
    </row>
    <row r="768" spans="1:13" x14ac:dyDescent="0.2">
      <c r="A768">
        <v>362</v>
      </c>
      <c r="B768" t="s">
        <v>975</v>
      </c>
      <c r="C768" t="s">
        <v>6157</v>
      </c>
      <c r="D768" t="s">
        <v>13</v>
      </c>
      <c r="E768" t="s">
        <v>6158</v>
      </c>
      <c r="F768" s="1" t="s">
        <v>978</v>
      </c>
      <c r="G768" t="s">
        <v>6159</v>
      </c>
      <c r="H768" t="s">
        <v>302</v>
      </c>
      <c r="I768" t="b">
        <v>1</v>
      </c>
      <c r="J768">
        <v>50</v>
      </c>
      <c r="K768">
        <v>363</v>
      </c>
      <c r="L768">
        <v>167</v>
      </c>
      <c r="M768">
        <f>COUNTIF(H768:$H$2581,H768)</f>
        <v>26</v>
      </c>
    </row>
    <row r="769" spans="1:13" x14ac:dyDescent="0.2">
      <c r="A769">
        <v>1583</v>
      </c>
      <c r="B769" t="s">
        <v>121</v>
      </c>
      <c r="C769" t="s">
        <v>6300</v>
      </c>
      <c r="D769" t="s">
        <v>13</v>
      </c>
      <c r="E769" t="s">
        <v>6301</v>
      </c>
      <c r="F769" t="s">
        <v>124</v>
      </c>
      <c r="G769" t="s">
        <v>6302</v>
      </c>
      <c r="H769" t="s">
        <v>302</v>
      </c>
      <c r="I769" t="s">
        <v>24</v>
      </c>
      <c r="J769">
        <v>194</v>
      </c>
      <c r="K769">
        <v>1584</v>
      </c>
      <c r="L769">
        <v>9</v>
      </c>
      <c r="M769">
        <f>COUNTIF(H769:$H$2581,H769)</f>
        <v>25</v>
      </c>
    </row>
    <row r="770" spans="1:13" x14ac:dyDescent="0.2">
      <c r="A770">
        <v>1228</v>
      </c>
      <c r="B770" t="s">
        <v>4996</v>
      </c>
      <c r="C770" t="s">
        <v>6405</v>
      </c>
      <c r="D770" t="s">
        <v>33</v>
      </c>
      <c r="E770" t="s">
        <v>6406</v>
      </c>
      <c r="F770" t="s">
        <v>4999</v>
      </c>
      <c r="G770" t="s">
        <v>6407</v>
      </c>
      <c r="H770" t="s">
        <v>302</v>
      </c>
      <c r="I770" t="b">
        <v>0</v>
      </c>
      <c r="J770">
        <v>151</v>
      </c>
      <c r="K770">
        <v>1229</v>
      </c>
      <c r="L770">
        <v>161</v>
      </c>
      <c r="M770">
        <f>COUNTIF(H770:$H$2581,H770)</f>
        <v>24</v>
      </c>
    </row>
    <row r="771" spans="1:13" x14ac:dyDescent="0.2">
      <c r="A771">
        <v>1942</v>
      </c>
      <c r="B771" t="s">
        <v>439</v>
      </c>
      <c r="C771" t="s">
        <v>6633</v>
      </c>
      <c r="D771" t="s">
        <v>13</v>
      </c>
      <c r="E771" t="s">
        <v>6634</v>
      </c>
      <c r="F771" t="s">
        <v>442</v>
      </c>
      <c r="G771" t="s">
        <v>6635</v>
      </c>
      <c r="H771" t="s">
        <v>302</v>
      </c>
      <c r="I771" t="b">
        <v>0</v>
      </c>
      <c r="J771">
        <v>224</v>
      </c>
      <c r="K771">
        <v>1943</v>
      </c>
      <c r="L771">
        <v>7</v>
      </c>
      <c r="M771">
        <f>COUNTIF(H771:$H$2581,H771)</f>
        <v>23</v>
      </c>
    </row>
    <row r="772" spans="1:13" x14ac:dyDescent="0.2">
      <c r="A772">
        <v>975</v>
      </c>
      <c r="B772" t="s">
        <v>203</v>
      </c>
      <c r="C772" t="s">
        <v>6777</v>
      </c>
      <c r="D772" t="s">
        <v>54</v>
      </c>
      <c r="E772" t="s">
        <v>6778</v>
      </c>
      <c r="F772" t="s">
        <v>206</v>
      </c>
      <c r="G772" t="s">
        <v>6779</v>
      </c>
      <c r="H772" t="s">
        <v>302</v>
      </c>
      <c r="I772" t="b">
        <v>1</v>
      </c>
      <c r="J772">
        <v>123</v>
      </c>
      <c r="K772">
        <v>976</v>
      </c>
      <c r="L772">
        <v>106</v>
      </c>
      <c r="M772">
        <f>COUNTIF(H772:$H$2581,H772)</f>
        <v>22</v>
      </c>
    </row>
    <row r="773" spans="1:13" x14ac:dyDescent="0.2">
      <c r="A773">
        <v>1801</v>
      </c>
      <c r="B773" t="s">
        <v>1287</v>
      </c>
      <c r="C773" t="s">
        <v>6880</v>
      </c>
      <c r="D773" t="s">
        <v>13</v>
      </c>
      <c r="E773" t="s">
        <v>6881</v>
      </c>
      <c r="F773" t="s">
        <v>1290</v>
      </c>
      <c r="G773" t="s">
        <v>6882</v>
      </c>
      <c r="H773" t="s">
        <v>302</v>
      </c>
      <c r="I773" t="s">
        <v>24</v>
      </c>
      <c r="J773">
        <v>210</v>
      </c>
      <c r="K773">
        <v>1802</v>
      </c>
      <c r="L773">
        <v>125</v>
      </c>
      <c r="M773">
        <f>COUNTIF(H773:$H$2581,H773)</f>
        <v>21</v>
      </c>
    </row>
    <row r="774" spans="1:13" x14ac:dyDescent="0.2">
      <c r="A774">
        <v>1831</v>
      </c>
      <c r="B774" t="s">
        <v>1589</v>
      </c>
      <c r="C774" t="s">
        <v>7091</v>
      </c>
      <c r="D774" t="s">
        <v>13</v>
      </c>
      <c r="E774" t="s">
        <v>7092</v>
      </c>
      <c r="F774" t="s">
        <v>1592</v>
      </c>
      <c r="G774" t="s">
        <v>7093</v>
      </c>
      <c r="H774" t="s">
        <v>302</v>
      </c>
      <c r="I774" t="s">
        <v>24</v>
      </c>
      <c r="J774">
        <v>213</v>
      </c>
      <c r="K774">
        <v>1832</v>
      </c>
      <c r="L774">
        <v>14</v>
      </c>
      <c r="M774">
        <f>COUNTIF(H774:$H$2581,H774)</f>
        <v>20</v>
      </c>
    </row>
    <row r="775" spans="1:13" x14ac:dyDescent="0.2">
      <c r="A775">
        <v>824</v>
      </c>
      <c r="B775" t="s">
        <v>594</v>
      </c>
      <c r="C775" t="s">
        <v>7138</v>
      </c>
      <c r="D775" t="s">
        <v>13</v>
      </c>
      <c r="E775" t="s">
        <v>7139</v>
      </c>
      <c r="F775" t="s">
        <v>597</v>
      </c>
      <c r="G775" t="s">
        <v>7140</v>
      </c>
      <c r="H775" t="s">
        <v>302</v>
      </c>
      <c r="I775" t="b">
        <v>1</v>
      </c>
      <c r="J775">
        <v>114</v>
      </c>
      <c r="K775">
        <v>825</v>
      </c>
      <c r="L775">
        <v>281</v>
      </c>
      <c r="M775">
        <f>COUNTIF(H775:$H$2581,H775)</f>
        <v>19</v>
      </c>
    </row>
    <row r="776" spans="1:13" x14ac:dyDescent="0.2">
      <c r="A776">
        <v>1082</v>
      </c>
      <c r="B776" t="s">
        <v>2230</v>
      </c>
      <c r="C776" t="s">
        <v>7370</v>
      </c>
      <c r="D776" t="s">
        <v>54</v>
      </c>
      <c r="E776" t="s">
        <v>7371</v>
      </c>
      <c r="F776" t="s">
        <v>2233</v>
      </c>
      <c r="G776" t="s">
        <v>7372</v>
      </c>
      <c r="H776" t="s">
        <v>302</v>
      </c>
      <c r="I776" t="s">
        <v>24</v>
      </c>
      <c r="J776">
        <v>132</v>
      </c>
      <c r="K776">
        <v>1083</v>
      </c>
      <c r="L776">
        <v>250</v>
      </c>
      <c r="M776">
        <f>COUNTIF(H776:$H$2581,H776)</f>
        <v>18</v>
      </c>
    </row>
    <row r="777" spans="1:13" x14ac:dyDescent="0.2">
      <c r="A777">
        <v>32</v>
      </c>
      <c r="B777" t="s">
        <v>2448</v>
      </c>
      <c r="C777" t="s">
        <v>7506</v>
      </c>
      <c r="D777" t="s">
        <v>13</v>
      </c>
      <c r="E777" t="s">
        <v>7507</v>
      </c>
      <c r="F777" t="s">
        <v>2451</v>
      </c>
      <c r="G777" t="s">
        <v>7508</v>
      </c>
      <c r="H777" t="s">
        <v>302</v>
      </c>
      <c r="I777" t="s">
        <v>24</v>
      </c>
      <c r="J777">
        <v>6</v>
      </c>
      <c r="K777">
        <v>33</v>
      </c>
      <c r="L777">
        <v>26</v>
      </c>
      <c r="M777">
        <f>COUNTIF(H777:$H$2581,H777)</f>
        <v>17</v>
      </c>
    </row>
    <row r="778" spans="1:13" x14ac:dyDescent="0.2">
      <c r="A778">
        <v>138</v>
      </c>
      <c r="B778" t="s">
        <v>58</v>
      </c>
      <c r="C778" t="s">
        <v>7684</v>
      </c>
      <c r="D778" t="s">
        <v>54</v>
      </c>
      <c r="E778" t="s">
        <v>7685</v>
      </c>
      <c r="F778" t="s">
        <v>61</v>
      </c>
      <c r="G778" t="s">
        <v>7686</v>
      </c>
      <c r="H778" t="s">
        <v>302</v>
      </c>
      <c r="I778" t="b">
        <v>0</v>
      </c>
      <c r="J778">
        <v>24</v>
      </c>
      <c r="K778">
        <v>139</v>
      </c>
      <c r="L778">
        <v>54</v>
      </c>
      <c r="M778">
        <f>COUNTIF(H778:$H$2581,H778)</f>
        <v>16</v>
      </c>
    </row>
    <row r="779" spans="1:13" x14ac:dyDescent="0.2">
      <c r="A779">
        <v>1877</v>
      </c>
      <c r="B779" t="s">
        <v>749</v>
      </c>
      <c r="C779" t="s">
        <v>7825</v>
      </c>
      <c r="D779" t="s">
        <v>13</v>
      </c>
      <c r="E779" t="s">
        <v>7826</v>
      </c>
      <c r="F779" t="s">
        <v>752</v>
      </c>
      <c r="G779" t="s">
        <v>7827</v>
      </c>
      <c r="H779" t="s">
        <v>302</v>
      </c>
      <c r="I779" t="s">
        <v>24</v>
      </c>
      <c r="J779">
        <v>218</v>
      </c>
      <c r="K779">
        <v>1878</v>
      </c>
      <c r="L779">
        <v>27</v>
      </c>
      <c r="M779">
        <f>COUNTIF(H779:$H$2581,H779)</f>
        <v>15</v>
      </c>
    </row>
    <row r="780" spans="1:13" x14ac:dyDescent="0.2">
      <c r="A780">
        <v>909</v>
      </c>
      <c r="B780" t="s">
        <v>198</v>
      </c>
      <c r="C780" t="s">
        <v>7910</v>
      </c>
      <c r="D780" t="s">
        <v>54</v>
      </c>
      <c r="E780" t="s">
        <v>7911</v>
      </c>
      <c r="F780" t="s">
        <v>201</v>
      </c>
      <c r="G780" t="s">
        <v>7912</v>
      </c>
      <c r="H780" t="s">
        <v>302</v>
      </c>
      <c r="I780" t="b">
        <v>0</v>
      </c>
      <c r="J780">
        <v>120</v>
      </c>
      <c r="K780">
        <v>910</v>
      </c>
      <c r="L780">
        <v>183</v>
      </c>
      <c r="M780">
        <f>COUNTIF(H780:$H$2581,H780)</f>
        <v>14</v>
      </c>
    </row>
    <row r="781" spans="1:13" x14ac:dyDescent="0.2">
      <c r="A781">
        <v>828</v>
      </c>
      <c r="B781" t="s">
        <v>594</v>
      </c>
      <c r="C781" t="s">
        <v>7962</v>
      </c>
      <c r="D781" t="s">
        <v>54</v>
      </c>
      <c r="E781" t="s">
        <v>7963</v>
      </c>
      <c r="F781" t="s">
        <v>597</v>
      </c>
      <c r="G781" t="s">
        <v>7964</v>
      </c>
      <c r="H781" t="s">
        <v>302</v>
      </c>
      <c r="I781" t="b">
        <v>1</v>
      </c>
      <c r="J781">
        <v>114</v>
      </c>
      <c r="K781">
        <v>829</v>
      </c>
      <c r="L781">
        <v>284</v>
      </c>
      <c r="M781">
        <f>COUNTIF(H781:$H$2581,H781)</f>
        <v>13</v>
      </c>
    </row>
    <row r="782" spans="1:13" x14ac:dyDescent="0.2">
      <c r="A782">
        <v>1151</v>
      </c>
      <c r="B782" t="s">
        <v>957</v>
      </c>
      <c r="C782" t="s">
        <v>8031</v>
      </c>
      <c r="D782" t="s">
        <v>13</v>
      </c>
      <c r="E782" t="s">
        <v>8032</v>
      </c>
      <c r="F782" t="s">
        <v>960</v>
      </c>
      <c r="G782" t="s">
        <v>8033</v>
      </c>
      <c r="H782" t="s">
        <v>302</v>
      </c>
      <c r="I782" t="s">
        <v>24</v>
      </c>
      <c r="J782">
        <v>140</v>
      </c>
      <c r="K782">
        <v>1152</v>
      </c>
      <c r="L782">
        <v>128</v>
      </c>
      <c r="M782">
        <f>COUNTIF(H782:$H$2581,H782)</f>
        <v>12</v>
      </c>
    </row>
    <row r="783" spans="1:13" x14ac:dyDescent="0.2">
      <c r="A783">
        <v>35</v>
      </c>
      <c r="B783" t="s">
        <v>2448</v>
      </c>
      <c r="C783" t="s">
        <v>8096</v>
      </c>
      <c r="D783" t="s">
        <v>54</v>
      </c>
      <c r="E783" t="s">
        <v>8097</v>
      </c>
      <c r="F783" t="s">
        <v>2451</v>
      </c>
      <c r="G783" t="s">
        <v>8098</v>
      </c>
      <c r="H783" t="s">
        <v>302</v>
      </c>
      <c r="I783" t="s">
        <v>24</v>
      </c>
      <c r="J783">
        <v>6</v>
      </c>
      <c r="K783">
        <v>36</v>
      </c>
      <c r="L783">
        <v>29</v>
      </c>
      <c r="M783">
        <f>COUNTIF(H783:$H$2581,H783)</f>
        <v>11</v>
      </c>
    </row>
    <row r="784" spans="1:13" x14ac:dyDescent="0.2">
      <c r="A784">
        <v>1696</v>
      </c>
      <c r="B784" t="s">
        <v>129</v>
      </c>
      <c r="C784" t="s">
        <v>8207</v>
      </c>
      <c r="D784" t="s">
        <v>13</v>
      </c>
      <c r="E784" t="s">
        <v>8208</v>
      </c>
      <c r="F784" t="s">
        <v>132</v>
      </c>
      <c r="G784" t="s">
        <v>8209</v>
      </c>
      <c r="H784" t="s">
        <v>302</v>
      </c>
      <c r="I784" t="b">
        <v>1</v>
      </c>
      <c r="J784">
        <v>204</v>
      </c>
      <c r="K784">
        <v>1697</v>
      </c>
      <c r="L784">
        <v>30</v>
      </c>
      <c r="M784">
        <f>COUNTIF(H784:$H$2581,H784)</f>
        <v>10</v>
      </c>
    </row>
    <row r="785" spans="1:13" x14ac:dyDescent="0.2">
      <c r="A785">
        <v>73</v>
      </c>
      <c r="B785" t="s">
        <v>25</v>
      </c>
      <c r="C785" t="s">
        <v>8311</v>
      </c>
      <c r="D785" t="s">
        <v>54</v>
      </c>
      <c r="E785" t="s">
        <v>8312</v>
      </c>
      <c r="F785" t="s">
        <v>28</v>
      </c>
      <c r="G785" t="s">
        <v>8313</v>
      </c>
      <c r="H785" t="s">
        <v>302</v>
      </c>
      <c r="I785" t="b">
        <v>1</v>
      </c>
      <c r="J785">
        <v>11</v>
      </c>
      <c r="K785">
        <v>74</v>
      </c>
      <c r="L785">
        <v>42</v>
      </c>
      <c r="M785">
        <f>COUNTIF(H785:$H$2581,H785)</f>
        <v>9</v>
      </c>
    </row>
    <row r="786" spans="1:13" x14ac:dyDescent="0.2">
      <c r="A786">
        <v>1504</v>
      </c>
      <c r="B786" t="s">
        <v>807</v>
      </c>
      <c r="C786" t="s">
        <v>8579</v>
      </c>
      <c r="D786" t="s">
        <v>13</v>
      </c>
      <c r="E786" t="s">
        <v>8580</v>
      </c>
      <c r="F786" t="s">
        <v>810</v>
      </c>
      <c r="G786" t="s">
        <v>8581</v>
      </c>
      <c r="H786" t="s">
        <v>302</v>
      </c>
      <c r="I786" t="b">
        <v>1</v>
      </c>
      <c r="J786">
        <v>182</v>
      </c>
      <c r="K786">
        <v>1505</v>
      </c>
      <c r="L786">
        <v>56</v>
      </c>
      <c r="M786">
        <f>COUNTIF(H786:$H$2581,H786)</f>
        <v>8</v>
      </c>
    </row>
    <row r="787" spans="1:13" x14ac:dyDescent="0.2">
      <c r="A787">
        <v>1902</v>
      </c>
      <c r="B787" t="s">
        <v>8049</v>
      </c>
      <c r="C787" t="s">
        <v>8772</v>
      </c>
      <c r="D787" t="s">
        <v>54</v>
      </c>
      <c r="E787" t="s">
        <v>8773</v>
      </c>
      <c r="F787" t="s">
        <v>8052</v>
      </c>
      <c r="G787" t="s">
        <v>8774</v>
      </c>
      <c r="H787" t="s">
        <v>302</v>
      </c>
      <c r="I787" t="b">
        <v>0</v>
      </c>
      <c r="J787">
        <v>221</v>
      </c>
      <c r="K787">
        <v>1903</v>
      </c>
      <c r="L787">
        <v>31</v>
      </c>
      <c r="M787">
        <f>COUNTIF(H787:$H$2581,H787)</f>
        <v>7</v>
      </c>
    </row>
    <row r="788" spans="1:13" x14ac:dyDescent="0.2">
      <c r="A788">
        <v>172</v>
      </c>
      <c r="B788" t="s">
        <v>78</v>
      </c>
      <c r="C788" t="s">
        <v>79</v>
      </c>
      <c r="D788" t="s">
        <v>54</v>
      </c>
      <c r="E788" s="1" t="s">
        <v>80</v>
      </c>
      <c r="F788" t="s">
        <v>81</v>
      </c>
      <c r="G788" t="s">
        <v>82</v>
      </c>
      <c r="H788" t="s">
        <v>302</v>
      </c>
      <c r="I788" t="b">
        <v>1</v>
      </c>
      <c r="J788">
        <v>33</v>
      </c>
      <c r="K788">
        <v>173</v>
      </c>
      <c r="L788">
        <v>45</v>
      </c>
      <c r="M788">
        <f>COUNTIF(H788:$H$2581,H788)</f>
        <v>6</v>
      </c>
    </row>
    <row r="789" spans="1:13" x14ac:dyDescent="0.2">
      <c r="A789">
        <v>168</v>
      </c>
      <c r="B789" t="s">
        <v>73</v>
      </c>
      <c r="C789" t="s">
        <v>340</v>
      </c>
      <c r="D789" t="s">
        <v>54</v>
      </c>
      <c r="E789" t="s">
        <v>341</v>
      </c>
      <c r="F789" t="s">
        <v>76</v>
      </c>
      <c r="G789" t="s">
        <v>342</v>
      </c>
      <c r="H789" t="s">
        <v>302</v>
      </c>
      <c r="I789" t="s">
        <v>24</v>
      </c>
      <c r="J789">
        <v>32</v>
      </c>
      <c r="K789">
        <v>169</v>
      </c>
      <c r="L789">
        <v>1</v>
      </c>
      <c r="M789">
        <f>COUNTIF(H789:$H$2581,H789)</f>
        <v>5</v>
      </c>
    </row>
    <row r="790" spans="1:13" x14ac:dyDescent="0.2">
      <c r="A790">
        <v>766</v>
      </c>
      <c r="B790" t="s">
        <v>368</v>
      </c>
      <c r="C790" t="s">
        <v>565</v>
      </c>
      <c r="D790" t="s">
        <v>13</v>
      </c>
      <c r="E790" t="s">
        <v>566</v>
      </c>
      <c r="F790" t="s">
        <v>371</v>
      </c>
      <c r="G790" t="s">
        <v>567</v>
      </c>
      <c r="H790" t="s">
        <v>302</v>
      </c>
      <c r="I790" t="s">
        <v>24</v>
      </c>
      <c r="J790">
        <v>109</v>
      </c>
      <c r="K790">
        <v>767</v>
      </c>
      <c r="L790">
        <v>46</v>
      </c>
      <c r="M790">
        <f>COUNTIF(H790:$H$2581,H790)</f>
        <v>4</v>
      </c>
    </row>
    <row r="791" spans="1:13" x14ac:dyDescent="0.2">
      <c r="A791">
        <v>1919</v>
      </c>
      <c r="B791" t="s">
        <v>439</v>
      </c>
      <c r="C791" t="s">
        <v>1301</v>
      </c>
      <c r="D791" t="s">
        <v>33</v>
      </c>
      <c r="E791" t="s">
        <v>1302</v>
      </c>
      <c r="F791" t="s">
        <v>442</v>
      </c>
      <c r="G791" t="s">
        <v>1303</v>
      </c>
      <c r="H791" t="s">
        <v>302</v>
      </c>
      <c r="I791" t="b">
        <v>0</v>
      </c>
      <c r="J791">
        <v>224</v>
      </c>
      <c r="K791">
        <v>1920</v>
      </c>
      <c r="L791">
        <v>157</v>
      </c>
      <c r="M791">
        <f>COUNTIF(H791:$H$2581,H791)</f>
        <v>3</v>
      </c>
    </row>
    <row r="792" spans="1:13" x14ac:dyDescent="0.2">
      <c r="A792">
        <v>85</v>
      </c>
      <c r="B792" t="s">
        <v>311</v>
      </c>
      <c r="C792" t="s">
        <v>1366</v>
      </c>
      <c r="D792" t="s">
        <v>54</v>
      </c>
      <c r="E792" t="s">
        <v>1367</v>
      </c>
      <c r="F792" s="1" t="s">
        <v>314</v>
      </c>
      <c r="G792" t="s">
        <v>1368</v>
      </c>
      <c r="H792" t="s">
        <v>302</v>
      </c>
      <c r="I792" t="s">
        <v>24</v>
      </c>
      <c r="J792">
        <v>14</v>
      </c>
      <c r="K792">
        <v>86</v>
      </c>
      <c r="L792">
        <v>37</v>
      </c>
      <c r="M792">
        <f>COUNTIF(H792:$H$2581,H792)</f>
        <v>2</v>
      </c>
    </row>
    <row r="793" spans="1:13" x14ac:dyDescent="0.2">
      <c r="A793">
        <v>1616</v>
      </c>
      <c r="B793" t="s">
        <v>720</v>
      </c>
      <c r="C793" t="s">
        <v>1781</v>
      </c>
      <c r="D793" t="s">
        <v>54</v>
      </c>
      <c r="E793" t="s">
        <v>1782</v>
      </c>
      <c r="F793" t="s">
        <v>723</v>
      </c>
      <c r="G793" t="s">
        <v>1783</v>
      </c>
      <c r="H793" t="s">
        <v>302</v>
      </c>
      <c r="I793" t="b">
        <v>1</v>
      </c>
      <c r="J793">
        <v>197</v>
      </c>
      <c r="K793">
        <v>1617</v>
      </c>
      <c r="L793">
        <v>84</v>
      </c>
      <c r="M793">
        <f>COUNTIF(H793:$H$2581,H793)</f>
        <v>1</v>
      </c>
    </row>
    <row r="794" spans="1:13" x14ac:dyDescent="0.2">
      <c r="A794">
        <v>2071</v>
      </c>
      <c r="B794" t="s">
        <v>1970</v>
      </c>
      <c r="C794" t="s">
        <v>1971</v>
      </c>
      <c r="D794" t="s">
        <v>13</v>
      </c>
      <c r="E794" t="s">
        <v>1972</v>
      </c>
      <c r="F794" t="s">
        <v>1973</v>
      </c>
      <c r="G794" t="s">
        <v>1974</v>
      </c>
      <c r="H794" t="s">
        <v>404</v>
      </c>
      <c r="I794" t="s">
        <v>24</v>
      </c>
      <c r="J794">
        <v>241</v>
      </c>
      <c r="K794">
        <v>2072</v>
      </c>
      <c r="L794">
        <v>10</v>
      </c>
      <c r="M794">
        <f>COUNTIF(H794:$H$2581,H794)</f>
        <v>3</v>
      </c>
    </row>
    <row r="795" spans="1:13" x14ac:dyDescent="0.2">
      <c r="A795">
        <v>949</v>
      </c>
      <c r="B795" t="s">
        <v>203</v>
      </c>
      <c r="C795" t="s">
        <v>2292</v>
      </c>
      <c r="D795" t="s">
        <v>54</v>
      </c>
      <c r="E795" t="s">
        <v>2293</v>
      </c>
      <c r="F795" t="s">
        <v>206</v>
      </c>
      <c r="G795" t="s">
        <v>2294</v>
      </c>
      <c r="H795" t="s">
        <v>404</v>
      </c>
      <c r="I795" t="b">
        <v>1</v>
      </c>
      <c r="J795">
        <v>123</v>
      </c>
      <c r="K795">
        <v>950</v>
      </c>
      <c r="L795">
        <v>120</v>
      </c>
      <c r="M795">
        <f>COUNTIF(H795:$H$2581,H795)</f>
        <v>2</v>
      </c>
    </row>
    <row r="796" spans="1:13" x14ac:dyDescent="0.2">
      <c r="A796">
        <v>1892</v>
      </c>
      <c r="B796" t="s">
        <v>1485</v>
      </c>
      <c r="C796" t="s">
        <v>2384</v>
      </c>
      <c r="D796" t="s">
        <v>13</v>
      </c>
      <c r="E796" t="s">
        <v>2385</v>
      </c>
      <c r="F796" t="s">
        <v>1488</v>
      </c>
      <c r="G796" t="s">
        <v>2386</v>
      </c>
      <c r="H796" t="s">
        <v>404</v>
      </c>
      <c r="I796" t="b">
        <v>1</v>
      </c>
      <c r="J796">
        <v>220</v>
      </c>
      <c r="K796">
        <v>1893</v>
      </c>
      <c r="L796">
        <v>121</v>
      </c>
      <c r="M796">
        <f>COUNTIF(H796:$H$2581,H796)</f>
        <v>1</v>
      </c>
    </row>
    <row r="797" spans="1:13" x14ac:dyDescent="0.2">
      <c r="A797">
        <v>1354</v>
      </c>
      <c r="B797" t="s">
        <v>571</v>
      </c>
      <c r="C797" t="s">
        <v>2824</v>
      </c>
      <c r="D797" t="s">
        <v>13</v>
      </c>
      <c r="E797" t="s">
        <v>2825</v>
      </c>
      <c r="F797" t="s">
        <v>574</v>
      </c>
      <c r="G797" t="s">
        <v>2826</v>
      </c>
      <c r="H797" t="s">
        <v>423</v>
      </c>
      <c r="I797" t="b">
        <v>0</v>
      </c>
      <c r="J797">
        <v>165</v>
      </c>
      <c r="K797">
        <v>1355</v>
      </c>
      <c r="L797">
        <v>17</v>
      </c>
      <c r="M797">
        <f>COUNTIF(H797:$H$2581,H797)</f>
        <v>5</v>
      </c>
    </row>
    <row r="798" spans="1:13" x14ac:dyDescent="0.2">
      <c r="A798">
        <v>254</v>
      </c>
      <c r="B798" t="s">
        <v>1503</v>
      </c>
      <c r="C798" t="s">
        <v>2944</v>
      </c>
      <c r="D798" t="s">
        <v>33</v>
      </c>
      <c r="E798" t="s">
        <v>2945</v>
      </c>
      <c r="F798" t="s">
        <v>1506</v>
      </c>
      <c r="G798" t="s">
        <v>2946</v>
      </c>
      <c r="H798" t="s">
        <v>423</v>
      </c>
      <c r="I798" t="b">
        <v>0</v>
      </c>
      <c r="J798">
        <v>42</v>
      </c>
      <c r="K798">
        <v>255</v>
      </c>
      <c r="L798">
        <v>100</v>
      </c>
      <c r="M798">
        <f>COUNTIF(H798:$H$2581,H798)</f>
        <v>4</v>
      </c>
    </row>
    <row r="799" spans="1:13" x14ac:dyDescent="0.2">
      <c r="A799">
        <v>1407</v>
      </c>
      <c r="B799" t="s">
        <v>1397</v>
      </c>
      <c r="C799" t="s">
        <v>3287</v>
      </c>
      <c r="D799" t="s">
        <v>13</v>
      </c>
      <c r="E799" t="s">
        <v>3288</v>
      </c>
      <c r="F799" t="s">
        <v>1400</v>
      </c>
      <c r="G799" t="s">
        <v>3289</v>
      </c>
      <c r="H799" t="s">
        <v>423</v>
      </c>
      <c r="I799" t="b">
        <v>1</v>
      </c>
      <c r="J799">
        <v>169</v>
      </c>
      <c r="K799">
        <v>1408</v>
      </c>
      <c r="L799">
        <v>21</v>
      </c>
      <c r="M799">
        <f>COUNTIF(H799:$H$2581,H799)</f>
        <v>3</v>
      </c>
    </row>
    <row r="800" spans="1:13" x14ac:dyDescent="0.2">
      <c r="A800">
        <v>1074</v>
      </c>
      <c r="B800" t="s">
        <v>2230</v>
      </c>
      <c r="C800" t="s">
        <v>3433</v>
      </c>
      <c r="D800" t="s">
        <v>54</v>
      </c>
      <c r="E800" t="s">
        <v>3434</v>
      </c>
      <c r="F800" t="s">
        <v>2233</v>
      </c>
      <c r="G800" t="s">
        <v>3435</v>
      </c>
      <c r="H800" t="s">
        <v>423</v>
      </c>
      <c r="I800" t="s">
        <v>24</v>
      </c>
      <c r="J800">
        <v>132</v>
      </c>
      <c r="K800">
        <v>1075</v>
      </c>
      <c r="L800">
        <v>240</v>
      </c>
      <c r="M800">
        <f>COUNTIF(H800:$H$2581,H800)</f>
        <v>2</v>
      </c>
    </row>
    <row r="801" spans="1:13" x14ac:dyDescent="0.2">
      <c r="A801">
        <v>1965</v>
      </c>
      <c r="B801" t="s">
        <v>381</v>
      </c>
      <c r="C801" t="s">
        <v>3610</v>
      </c>
      <c r="D801" t="s">
        <v>54</v>
      </c>
      <c r="E801" t="s">
        <v>3611</v>
      </c>
      <c r="F801" t="s">
        <v>384</v>
      </c>
      <c r="G801" t="s">
        <v>3612</v>
      </c>
      <c r="H801" t="s">
        <v>423</v>
      </c>
      <c r="I801" t="s">
        <v>24</v>
      </c>
      <c r="J801">
        <v>226</v>
      </c>
      <c r="K801">
        <v>1966</v>
      </c>
      <c r="L801">
        <v>39</v>
      </c>
      <c r="M801">
        <f>COUNTIF(H801:$H$2581,H801)</f>
        <v>1</v>
      </c>
    </row>
    <row r="802" spans="1:13" x14ac:dyDescent="0.2">
      <c r="A802">
        <v>1556</v>
      </c>
      <c r="B802" t="s">
        <v>3069</v>
      </c>
      <c r="C802" t="s">
        <v>3750</v>
      </c>
      <c r="D802" t="s">
        <v>13</v>
      </c>
      <c r="E802" t="s">
        <v>3751</v>
      </c>
      <c r="F802" t="s">
        <v>3072</v>
      </c>
      <c r="G802" t="s">
        <v>3752</v>
      </c>
      <c r="H802" t="s">
        <v>460</v>
      </c>
      <c r="I802" t="b">
        <v>1</v>
      </c>
      <c r="J802">
        <v>190</v>
      </c>
      <c r="K802">
        <v>1557</v>
      </c>
      <c r="L802">
        <v>22</v>
      </c>
      <c r="M802">
        <f>COUNTIF(H802:$H$2581,H802)</f>
        <v>5</v>
      </c>
    </row>
    <row r="803" spans="1:13" x14ac:dyDescent="0.2">
      <c r="A803">
        <v>1572</v>
      </c>
      <c r="B803" t="s">
        <v>744</v>
      </c>
      <c r="C803" t="s">
        <v>3830</v>
      </c>
      <c r="D803" t="s">
        <v>33</v>
      </c>
      <c r="E803" t="s">
        <v>3831</v>
      </c>
      <c r="F803" t="s">
        <v>747</v>
      </c>
      <c r="G803" t="s">
        <v>3832</v>
      </c>
      <c r="H803" t="s">
        <v>460</v>
      </c>
      <c r="I803" t="b">
        <v>0</v>
      </c>
      <c r="J803">
        <v>193</v>
      </c>
      <c r="K803">
        <v>1573</v>
      </c>
      <c r="L803">
        <v>270</v>
      </c>
      <c r="M803">
        <f>COUNTIF(H803:$H$2581,H803)</f>
        <v>4</v>
      </c>
    </row>
    <row r="804" spans="1:13" x14ac:dyDescent="0.2">
      <c r="A804">
        <v>225</v>
      </c>
      <c r="B804" t="s">
        <v>1120</v>
      </c>
      <c r="C804" t="s">
        <v>3867</v>
      </c>
      <c r="D804" t="s">
        <v>54</v>
      </c>
      <c r="E804" t="s">
        <v>3868</v>
      </c>
      <c r="F804" s="1" t="s">
        <v>1123</v>
      </c>
      <c r="G804" t="s">
        <v>3869</v>
      </c>
      <c r="H804" t="s">
        <v>460</v>
      </c>
      <c r="I804" t="b">
        <v>0</v>
      </c>
      <c r="J804">
        <v>40</v>
      </c>
      <c r="K804">
        <v>226</v>
      </c>
      <c r="L804">
        <v>101</v>
      </c>
      <c r="M804">
        <f>COUNTIF(H804:$H$2581,H804)</f>
        <v>3</v>
      </c>
    </row>
    <row r="805" spans="1:13" x14ac:dyDescent="0.2">
      <c r="A805">
        <v>226</v>
      </c>
      <c r="B805" t="s">
        <v>1120</v>
      </c>
      <c r="C805" t="s">
        <v>3955</v>
      </c>
      <c r="D805" t="s">
        <v>13</v>
      </c>
      <c r="E805" t="s">
        <v>3956</v>
      </c>
      <c r="F805" s="1" t="s">
        <v>1123</v>
      </c>
      <c r="G805" t="s">
        <v>3957</v>
      </c>
      <c r="H805" t="s">
        <v>460</v>
      </c>
      <c r="I805" t="b">
        <v>0</v>
      </c>
      <c r="J805">
        <v>40</v>
      </c>
      <c r="K805">
        <v>227</v>
      </c>
      <c r="L805">
        <v>40</v>
      </c>
      <c r="M805">
        <f>COUNTIF(H805:$H$2581,H805)</f>
        <v>2</v>
      </c>
    </row>
    <row r="806" spans="1:13" x14ac:dyDescent="0.2">
      <c r="A806">
        <v>1623</v>
      </c>
      <c r="B806" t="s">
        <v>720</v>
      </c>
      <c r="C806" t="s">
        <v>4040</v>
      </c>
      <c r="D806" t="s">
        <v>54</v>
      </c>
      <c r="E806" t="s">
        <v>4041</v>
      </c>
      <c r="F806" t="s">
        <v>723</v>
      </c>
      <c r="G806" t="s">
        <v>4042</v>
      </c>
      <c r="H806" t="s">
        <v>460</v>
      </c>
      <c r="I806" t="b">
        <v>1</v>
      </c>
      <c r="J806">
        <v>197</v>
      </c>
      <c r="K806">
        <v>1624</v>
      </c>
      <c r="L806">
        <v>23</v>
      </c>
      <c r="M806">
        <f>COUNTIF(H806:$H$2581,H806)</f>
        <v>1</v>
      </c>
    </row>
    <row r="807" spans="1:13" x14ac:dyDescent="0.2">
      <c r="A807">
        <v>549</v>
      </c>
      <c r="B807" t="s">
        <v>103</v>
      </c>
      <c r="C807" t="s">
        <v>4173</v>
      </c>
      <c r="D807" t="s">
        <v>54</v>
      </c>
      <c r="E807" t="s">
        <v>4188</v>
      </c>
      <c r="F807" t="s">
        <v>105</v>
      </c>
      <c r="G807" t="s">
        <v>4175</v>
      </c>
      <c r="H807" t="s">
        <v>503</v>
      </c>
      <c r="I807" t="b">
        <v>0</v>
      </c>
      <c r="J807">
        <v>81</v>
      </c>
      <c r="K807">
        <v>550</v>
      </c>
      <c r="L807">
        <v>64</v>
      </c>
      <c r="M807">
        <f>COUNTIF(H807:$H$2581,H807)</f>
        <v>1</v>
      </c>
    </row>
    <row r="808" spans="1:13" x14ac:dyDescent="0.2">
      <c r="A808">
        <v>2316</v>
      </c>
      <c r="B808" t="s">
        <v>292</v>
      </c>
      <c r="C808" t="s">
        <v>4602</v>
      </c>
      <c r="D808" t="s">
        <v>13</v>
      </c>
      <c r="E808" t="s">
        <v>4603</v>
      </c>
      <c r="F808" t="s">
        <v>295</v>
      </c>
      <c r="G808" t="s">
        <v>4604</v>
      </c>
      <c r="H808" t="s">
        <v>518</v>
      </c>
      <c r="I808" t="b">
        <v>0</v>
      </c>
      <c r="J808">
        <v>272</v>
      </c>
      <c r="K808">
        <v>2317</v>
      </c>
      <c r="L808">
        <v>4</v>
      </c>
      <c r="M808">
        <f>COUNTIF(H808:$H$2581,H808)</f>
        <v>1</v>
      </c>
    </row>
    <row r="809" spans="1:13" x14ac:dyDescent="0.2">
      <c r="A809">
        <v>750</v>
      </c>
      <c r="B809" t="s">
        <v>1868</v>
      </c>
      <c r="C809" t="s">
        <v>4663</v>
      </c>
      <c r="D809" t="s">
        <v>13</v>
      </c>
      <c r="E809" t="s">
        <v>4664</v>
      </c>
      <c r="F809" t="s">
        <v>1871</v>
      </c>
      <c r="G809" t="s">
        <v>4665</v>
      </c>
      <c r="H809" t="s">
        <v>531</v>
      </c>
      <c r="I809" t="s">
        <v>24</v>
      </c>
      <c r="J809">
        <v>107</v>
      </c>
      <c r="K809">
        <v>751</v>
      </c>
      <c r="L809">
        <v>33</v>
      </c>
      <c r="M809">
        <f>COUNTIF(H809:$H$2581,H809)</f>
        <v>16</v>
      </c>
    </row>
    <row r="810" spans="1:13" x14ac:dyDescent="0.2">
      <c r="A810">
        <v>919</v>
      </c>
      <c r="B810" t="s">
        <v>271</v>
      </c>
      <c r="C810" t="s">
        <v>4893</v>
      </c>
      <c r="D810" t="s">
        <v>54</v>
      </c>
      <c r="E810" t="s">
        <v>4894</v>
      </c>
      <c r="F810" t="s">
        <v>274</v>
      </c>
      <c r="G810" t="s">
        <v>4895</v>
      </c>
      <c r="H810" t="s">
        <v>531</v>
      </c>
      <c r="I810" t="s">
        <v>24</v>
      </c>
      <c r="J810">
        <v>121</v>
      </c>
      <c r="K810">
        <v>920</v>
      </c>
      <c r="L810">
        <v>34</v>
      </c>
      <c r="M810">
        <f>COUNTIF(H810:$H$2581,H810)</f>
        <v>15</v>
      </c>
    </row>
    <row r="811" spans="1:13" x14ac:dyDescent="0.2">
      <c r="A811">
        <v>1771</v>
      </c>
      <c r="B811" t="s">
        <v>216</v>
      </c>
      <c r="C811" t="s">
        <v>5004</v>
      </c>
      <c r="D811" t="s">
        <v>13</v>
      </c>
      <c r="E811" t="s">
        <v>5005</v>
      </c>
      <c r="F811" t="s">
        <v>219</v>
      </c>
      <c r="G811" t="s">
        <v>5006</v>
      </c>
      <c r="H811" t="s">
        <v>531</v>
      </c>
      <c r="I811" t="b">
        <v>1</v>
      </c>
      <c r="J811">
        <v>209</v>
      </c>
      <c r="K811">
        <v>1772</v>
      </c>
      <c r="L811">
        <v>123</v>
      </c>
      <c r="M811">
        <f>COUNTIF(H811:$H$2581,H811)</f>
        <v>14</v>
      </c>
    </row>
    <row r="812" spans="1:13" x14ac:dyDescent="0.2">
      <c r="A812">
        <v>1174</v>
      </c>
      <c r="B812" t="s">
        <v>1665</v>
      </c>
      <c r="C812" t="s">
        <v>5267</v>
      </c>
      <c r="D812" t="s">
        <v>13</v>
      </c>
      <c r="E812" t="s">
        <v>5268</v>
      </c>
      <c r="F812" t="s">
        <v>1668</v>
      </c>
      <c r="G812" t="s">
        <v>5269</v>
      </c>
      <c r="H812" t="s">
        <v>531</v>
      </c>
      <c r="I812" t="b">
        <v>1</v>
      </c>
      <c r="J812">
        <v>144</v>
      </c>
      <c r="K812">
        <v>1175</v>
      </c>
      <c r="L812">
        <v>35</v>
      </c>
      <c r="M812">
        <f>COUNTIF(H812:$H$2581,H812)</f>
        <v>13</v>
      </c>
    </row>
    <row r="813" spans="1:13" x14ac:dyDescent="0.2">
      <c r="A813">
        <v>1773</v>
      </c>
      <c r="B813" t="s">
        <v>216</v>
      </c>
      <c r="C813" t="s">
        <v>5391</v>
      </c>
      <c r="D813" t="s">
        <v>13</v>
      </c>
      <c r="E813" s="1" t="s">
        <v>5392</v>
      </c>
      <c r="F813" t="s">
        <v>219</v>
      </c>
      <c r="G813" t="s">
        <v>5393</v>
      </c>
      <c r="H813" t="s">
        <v>531</v>
      </c>
      <c r="I813" t="b">
        <v>1</v>
      </c>
      <c r="J813">
        <v>209</v>
      </c>
      <c r="K813">
        <v>1774</v>
      </c>
      <c r="L813">
        <v>24</v>
      </c>
      <c r="M813">
        <f>COUNTIF(H813:$H$2581,H813)</f>
        <v>12</v>
      </c>
    </row>
    <row r="814" spans="1:13" x14ac:dyDescent="0.2">
      <c r="A814">
        <v>754</v>
      </c>
      <c r="B814" t="s">
        <v>1868</v>
      </c>
      <c r="C814" t="s">
        <v>5439</v>
      </c>
      <c r="D814" t="s">
        <v>13</v>
      </c>
      <c r="E814" t="s">
        <v>5440</v>
      </c>
      <c r="F814" t="s">
        <v>1871</v>
      </c>
      <c r="G814" t="s">
        <v>5441</v>
      </c>
      <c r="H814" t="s">
        <v>531</v>
      </c>
      <c r="I814" t="s">
        <v>24</v>
      </c>
      <c r="J814">
        <v>107</v>
      </c>
      <c r="K814">
        <v>755</v>
      </c>
      <c r="L814">
        <v>12</v>
      </c>
      <c r="M814">
        <f>COUNTIF(H814:$H$2581,H814)</f>
        <v>11</v>
      </c>
    </row>
    <row r="815" spans="1:13" x14ac:dyDescent="0.2">
      <c r="A815">
        <v>1739</v>
      </c>
      <c r="B815" t="s">
        <v>1497</v>
      </c>
      <c r="C815" t="s">
        <v>5527</v>
      </c>
      <c r="D815" t="s">
        <v>33</v>
      </c>
      <c r="E815" t="s">
        <v>5528</v>
      </c>
      <c r="F815" t="s">
        <v>1500</v>
      </c>
      <c r="G815" t="s">
        <v>5529</v>
      </c>
      <c r="H815" t="s">
        <v>531</v>
      </c>
      <c r="I815" t="b">
        <v>0</v>
      </c>
      <c r="J815">
        <v>206</v>
      </c>
      <c r="K815">
        <v>1740</v>
      </c>
      <c r="L815">
        <v>13</v>
      </c>
      <c r="M815">
        <f>COUNTIF(H815:$H$2581,H815)</f>
        <v>10</v>
      </c>
    </row>
    <row r="816" spans="1:13" x14ac:dyDescent="0.2">
      <c r="A816">
        <v>1499</v>
      </c>
      <c r="B816" t="s">
        <v>807</v>
      </c>
      <c r="C816" t="s">
        <v>5612</v>
      </c>
      <c r="D816" t="s">
        <v>54</v>
      </c>
      <c r="E816" t="s">
        <v>5613</v>
      </c>
      <c r="F816" t="s">
        <v>810</v>
      </c>
      <c r="G816" t="s">
        <v>5614</v>
      </c>
      <c r="H816" t="s">
        <v>531</v>
      </c>
      <c r="I816" t="b">
        <v>1</v>
      </c>
      <c r="J816">
        <v>182</v>
      </c>
      <c r="K816">
        <v>1500</v>
      </c>
      <c r="L816">
        <v>50</v>
      </c>
      <c r="M816">
        <f>COUNTIF(H816:$H$2581,H816)</f>
        <v>9</v>
      </c>
    </row>
    <row r="817" spans="1:13" x14ac:dyDescent="0.2">
      <c r="A817">
        <v>2018</v>
      </c>
      <c r="B817" t="s">
        <v>444</v>
      </c>
      <c r="C817" t="s">
        <v>5796</v>
      </c>
      <c r="D817" t="s">
        <v>13</v>
      </c>
      <c r="E817" t="s">
        <v>5797</v>
      </c>
      <c r="F817" t="s">
        <v>447</v>
      </c>
      <c r="G817" t="s">
        <v>5798</v>
      </c>
      <c r="H817" t="s">
        <v>531</v>
      </c>
      <c r="I817" t="s">
        <v>24</v>
      </c>
      <c r="J817">
        <v>233</v>
      </c>
      <c r="K817">
        <v>2019</v>
      </c>
      <c r="L817">
        <v>25</v>
      </c>
      <c r="M817">
        <f>COUNTIF(H817:$H$2581,H817)</f>
        <v>8</v>
      </c>
    </row>
    <row r="818" spans="1:13" x14ac:dyDescent="0.2">
      <c r="A818">
        <v>1980</v>
      </c>
      <c r="B818" t="s">
        <v>1621</v>
      </c>
      <c r="C818" t="s">
        <v>5955</v>
      </c>
      <c r="D818" t="s">
        <v>13</v>
      </c>
      <c r="E818" t="s">
        <v>5956</v>
      </c>
      <c r="F818" t="s">
        <v>1624</v>
      </c>
      <c r="G818" t="s">
        <v>5957</v>
      </c>
      <c r="H818" t="s">
        <v>531</v>
      </c>
      <c r="I818" t="s">
        <v>24</v>
      </c>
      <c r="J818">
        <v>228</v>
      </c>
      <c r="K818">
        <v>1981</v>
      </c>
      <c r="L818">
        <v>124</v>
      </c>
      <c r="M818">
        <f>COUNTIF(H818:$H$2581,H818)</f>
        <v>7</v>
      </c>
    </row>
    <row r="819" spans="1:13" x14ac:dyDescent="0.2">
      <c r="A819">
        <v>712</v>
      </c>
      <c r="B819" t="s">
        <v>730</v>
      </c>
      <c r="C819" t="s">
        <v>6161</v>
      </c>
      <c r="D819" t="s">
        <v>13</v>
      </c>
      <c r="E819" t="s">
        <v>6162</v>
      </c>
      <c r="F819" t="s">
        <v>733</v>
      </c>
      <c r="G819" t="s">
        <v>6163</v>
      </c>
      <c r="H819" t="s">
        <v>531</v>
      </c>
      <c r="I819" t="s">
        <v>24</v>
      </c>
      <c r="J819">
        <v>103</v>
      </c>
      <c r="K819">
        <v>713</v>
      </c>
      <c r="L819">
        <v>167</v>
      </c>
      <c r="M819">
        <f>COUNTIF(H819:$H$2581,H819)</f>
        <v>6</v>
      </c>
    </row>
    <row r="820" spans="1:13" x14ac:dyDescent="0.2">
      <c r="A820">
        <v>1658</v>
      </c>
      <c r="B820" t="s">
        <v>5085</v>
      </c>
      <c r="C820" t="s">
        <v>6303</v>
      </c>
      <c r="D820" t="s">
        <v>54</v>
      </c>
      <c r="E820" t="s">
        <v>6304</v>
      </c>
      <c r="F820" t="s">
        <v>5088</v>
      </c>
      <c r="G820" t="s">
        <v>6305</v>
      </c>
      <c r="H820" t="s">
        <v>531</v>
      </c>
      <c r="I820" t="s">
        <v>24</v>
      </c>
      <c r="J820">
        <v>199</v>
      </c>
      <c r="K820">
        <v>1659</v>
      </c>
      <c r="L820">
        <v>9</v>
      </c>
      <c r="M820">
        <f>COUNTIF(H820:$H$2581,H820)</f>
        <v>5</v>
      </c>
    </row>
    <row r="821" spans="1:13" x14ac:dyDescent="0.2">
      <c r="A821">
        <v>1390</v>
      </c>
      <c r="B821" t="s">
        <v>681</v>
      </c>
      <c r="C821" t="s">
        <v>6408</v>
      </c>
      <c r="D821" t="s">
        <v>33</v>
      </c>
      <c r="E821" t="s">
        <v>6409</v>
      </c>
      <c r="F821" t="s">
        <v>684</v>
      </c>
      <c r="G821" t="s">
        <v>6410</v>
      </c>
      <c r="H821" t="s">
        <v>531</v>
      </c>
      <c r="I821" t="b">
        <v>0</v>
      </c>
      <c r="J821">
        <v>167</v>
      </c>
      <c r="K821">
        <v>1391</v>
      </c>
      <c r="L821">
        <v>161</v>
      </c>
      <c r="M821">
        <f>COUNTIF(H821:$H$2581,H821)</f>
        <v>4</v>
      </c>
    </row>
    <row r="822" spans="1:13" x14ac:dyDescent="0.2">
      <c r="A822">
        <v>1982</v>
      </c>
      <c r="B822" t="s">
        <v>1621</v>
      </c>
      <c r="C822" t="s">
        <v>6636</v>
      </c>
      <c r="D822" t="s">
        <v>13</v>
      </c>
      <c r="E822" t="s">
        <v>6637</v>
      </c>
      <c r="F822" t="s">
        <v>1624</v>
      </c>
      <c r="G822" t="s">
        <v>6638</v>
      </c>
      <c r="H822" t="s">
        <v>531</v>
      </c>
      <c r="I822" t="s">
        <v>24</v>
      </c>
      <c r="J822">
        <v>228</v>
      </c>
      <c r="K822">
        <v>1983</v>
      </c>
      <c r="L822">
        <v>7</v>
      </c>
      <c r="M822">
        <f>COUNTIF(H822:$H$2581,H822)</f>
        <v>3</v>
      </c>
    </row>
    <row r="823" spans="1:13" x14ac:dyDescent="0.2">
      <c r="A823">
        <v>1065</v>
      </c>
      <c r="B823" t="s">
        <v>1884</v>
      </c>
      <c r="C823" t="s">
        <v>6780</v>
      </c>
      <c r="D823" t="s">
        <v>13</v>
      </c>
      <c r="E823" t="s">
        <v>6781</v>
      </c>
      <c r="F823" t="s">
        <v>1887</v>
      </c>
      <c r="G823" t="s">
        <v>6782</v>
      </c>
      <c r="H823" t="s">
        <v>531</v>
      </c>
      <c r="I823" t="s">
        <v>24</v>
      </c>
      <c r="J823">
        <v>131</v>
      </c>
      <c r="K823">
        <v>1066</v>
      </c>
      <c r="L823">
        <v>106</v>
      </c>
      <c r="M823">
        <f>COUNTIF(H823:$H$2581,H823)</f>
        <v>2</v>
      </c>
    </row>
    <row r="824" spans="1:13" x14ac:dyDescent="0.2">
      <c r="A824">
        <v>1854</v>
      </c>
      <c r="B824" t="s">
        <v>631</v>
      </c>
      <c r="C824" t="s">
        <v>6883</v>
      </c>
      <c r="D824" t="s">
        <v>13</v>
      </c>
      <c r="E824" t="s">
        <v>6884</v>
      </c>
      <c r="F824" t="s">
        <v>634</v>
      </c>
      <c r="G824" t="s">
        <v>6885</v>
      </c>
      <c r="H824" t="s">
        <v>531</v>
      </c>
      <c r="I824" t="s">
        <v>24</v>
      </c>
      <c r="J824">
        <v>215</v>
      </c>
      <c r="K824">
        <v>1855</v>
      </c>
      <c r="L824">
        <v>125</v>
      </c>
      <c r="M824">
        <f>COUNTIF(H824:$H$2581,H824)</f>
        <v>1</v>
      </c>
    </row>
    <row r="825" spans="1:13" x14ac:dyDescent="0.2">
      <c r="A825">
        <v>236</v>
      </c>
      <c r="B825" t="s">
        <v>1120</v>
      </c>
      <c r="C825" t="s">
        <v>6976</v>
      </c>
      <c r="D825" t="s">
        <v>33</v>
      </c>
      <c r="E825" t="s">
        <v>6977</v>
      </c>
      <c r="F825" s="1" t="s">
        <v>1123</v>
      </c>
      <c r="G825" t="s">
        <v>6978</v>
      </c>
      <c r="H825" t="s">
        <v>599</v>
      </c>
      <c r="I825" t="b">
        <v>0</v>
      </c>
      <c r="J825">
        <v>40</v>
      </c>
      <c r="K825">
        <v>237</v>
      </c>
      <c r="L825">
        <v>107</v>
      </c>
      <c r="M825">
        <f>COUNTIF(H825:$H$2581,H825)</f>
        <v>3</v>
      </c>
    </row>
    <row r="826" spans="1:13" x14ac:dyDescent="0.2">
      <c r="A826">
        <v>1945</v>
      </c>
      <c r="B826" t="s">
        <v>439</v>
      </c>
      <c r="C826" t="s">
        <v>7094</v>
      </c>
      <c r="D826" t="s">
        <v>54</v>
      </c>
      <c r="E826" t="s">
        <v>7095</v>
      </c>
      <c r="F826" t="s">
        <v>442</v>
      </c>
      <c r="G826" t="s">
        <v>7096</v>
      </c>
      <c r="H826" t="s">
        <v>599</v>
      </c>
      <c r="I826" t="b">
        <v>0</v>
      </c>
      <c r="J826">
        <v>224</v>
      </c>
      <c r="K826">
        <v>1946</v>
      </c>
      <c r="L826">
        <v>14</v>
      </c>
      <c r="M826">
        <f>COUNTIF(H826:$H$2581,H826)</f>
        <v>2</v>
      </c>
    </row>
    <row r="827" spans="1:13" x14ac:dyDescent="0.2">
      <c r="A827">
        <v>825</v>
      </c>
      <c r="B827" t="s">
        <v>594</v>
      </c>
      <c r="C827" t="s">
        <v>7141</v>
      </c>
      <c r="D827" t="s">
        <v>13</v>
      </c>
      <c r="E827" t="s">
        <v>7142</v>
      </c>
      <c r="F827" t="s">
        <v>597</v>
      </c>
      <c r="G827" t="s">
        <v>7143</v>
      </c>
      <c r="H827" t="s">
        <v>599</v>
      </c>
      <c r="I827" t="b">
        <v>1</v>
      </c>
      <c r="J827">
        <v>114</v>
      </c>
      <c r="K827">
        <v>826</v>
      </c>
      <c r="L827">
        <v>281</v>
      </c>
      <c r="M827">
        <f>COUNTIF(H827:$H$2581,H827)</f>
        <v>1</v>
      </c>
    </row>
    <row r="828" spans="1:13" x14ac:dyDescent="0.2">
      <c r="A828">
        <v>1162</v>
      </c>
      <c r="B828" t="s">
        <v>3573</v>
      </c>
      <c r="C828" t="s">
        <v>7373</v>
      </c>
      <c r="D828" t="s">
        <v>54</v>
      </c>
      <c r="E828" t="s">
        <v>7374</v>
      </c>
      <c r="F828" t="s">
        <v>3576</v>
      </c>
      <c r="G828" t="s">
        <v>7375</v>
      </c>
      <c r="H828" t="s">
        <v>630</v>
      </c>
      <c r="I828" t="s">
        <v>24</v>
      </c>
      <c r="J828">
        <v>142</v>
      </c>
      <c r="K828">
        <v>1163</v>
      </c>
      <c r="L828">
        <v>250</v>
      </c>
      <c r="M828">
        <f>COUNTIF(H828:$H$2581,H828)</f>
        <v>2</v>
      </c>
    </row>
    <row r="829" spans="1:13" x14ac:dyDescent="0.2">
      <c r="A829">
        <v>70</v>
      </c>
      <c r="B829" t="s">
        <v>25</v>
      </c>
      <c r="C829" t="s">
        <v>7441</v>
      </c>
      <c r="D829" t="s">
        <v>54</v>
      </c>
      <c r="E829" t="s">
        <v>7442</v>
      </c>
      <c r="F829" t="s">
        <v>28</v>
      </c>
      <c r="G829" t="s">
        <v>7443</v>
      </c>
      <c r="H829" t="s">
        <v>630</v>
      </c>
      <c r="I829" t="b">
        <v>1</v>
      </c>
      <c r="J829">
        <v>11</v>
      </c>
      <c r="K829">
        <v>71</v>
      </c>
      <c r="L829">
        <v>53</v>
      </c>
      <c r="M829">
        <f>COUNTIF(H829:$H$2581,H829)</f>
        <v>1</v>
      </c>
    </row>
    <row r="830" spans="1:13" x14ac:dyDescent="0.2">
      <c r="A830">
        <v>288</v>
      </c>
      <c r="B830" t="s">
        <v>2105</v>
      </c>
      <c r="C830" t="s">
        <v>7510</v>
      </c>
      <c r="D830" t="s">
        <v>54</v>
      </c>
      <c r="E830" t="s">
        <v>7511</v>
      </c>
      <c r="F830" t="s">
        <v>2108</v>
      </c>
      <c r="G830" t="s">
        <v>7512</v>
      </c>
      <c r="H830" t="s">
        <v>653</v>
      </c>
      <c r="I830" t="s">
        <v>24</v>
      </c>
      <c r="J830">
        <v>44</v>
      </c>
      <c r="K830">
        <v>289</v>
      </c>
      <c r="L830">
        <v>26</v>
      </c>
      <c r="M830">
        <f>COUNTIF(H830:$H$2581,H830)</f>
        <v>1</v>
      </c>
    </row>
    <row r="831" spans="1:13" x14ac:dyDescent="0.2">
      <c r="A831">
        <v>273</v>
      </c>
      <c r="B831" t="s">
        <v>1126</v>
      </c>
      <c r="C831" t="s">
        <v>7547</v>
      </c>
      <c r="D831" t="s">
        <v>33</v>
      </c>
      <c r="E831" t="s">
        <v>7548</v>
      </c>
      <c r="F831" t="s">
        <v>1129</v>
      </c>
      <c r="G831" t="s">
        <v>7549</v>
      </c>
      <c r="H831" t="s">
        <v>680</v>
      </c>
      <c r="I831" t="b">
        <v>0</v>
      </c>
      <c r="J831">
        <v>43</v>
      </c>
      <c r="K831">
        <v>274</v>
      </c>
      <c r="L831">
        <v>118</v>
      </c>
      <c r="M831">
        <f>COUNTIF(H831:$H$2581,H831)</f>
        <v>1</v>
      </c>
    </row>
    <row r="832" spans="1:13" x14ac:dyDescent="0.2">
      <c r="A832">
        <v>189</v>
      </c>
      <c r="B832" t="s">
        <v>557</v>
      </c>
      <c r="C832" t="s">
        <v>7687</v>
      </c>
      <c r="D832" t="s">
        <v>13</v>
      </c>
      <c r="E832" t="s">
        <v>7688</v>
      </c>
      <c r="F832" t="s">
        <v>560</v>
      </c>
      <c r="G832" t="s">
        <v>7689</v>
      </c>
      <c r="H832" t="s">
        <v>689</v>
      </c>
      <c r="I832" t="s">
        <v>24</v>
      </c>
      <c r="J832">
        <v>34</v>
      </c>
      <c r="K832">
        <v>190</v>
      </c>
      <c r="L832">
        <v>54</v>
      </c>
      <c r="M832">
        <f>COUNTIF(H832:$H$2581,H832)</f>
        <v>3</v>
      </c>
    </row>
    <row r="833" spans="1:13" x14ac:dyDescent="0.2">
      <c r="A833">
        <v>1949</v>
      </c>
      <c r="B833" t="s">
        <v>439</v>
      </c>
      <c r="C833" t="s">
        <v>7828</v>
      </c>
      <c r="D833" t="s">
        <v>13</v>
      </c>
      <c r="E833" t="s">
        <v>7829</v>
      </c>
      <c r="F833" t="s">
        <v>442</v>
      </c>
      <c r="G833" t="s">
        <v>7830</v>
      </c>
      <c r="H833" t="s">
        <v>689</v>
      </c>
      <c r="I833" t="b">
        <v>0</v>
      </c>
      <c r="J833">
        <v>224</v>
      </c>
      <c r="K833">
        <v>1950</v>
      </c>
      <c r="L833">
        <v>27</v>
      </c>
      <c r="M833">
        <f>COUNTIF(H833:$H$2581,H833)</f>
        <v>2</v>
      </c>
    </row>
    <row r="834" spans="1:13" x14ac:dyDescent="0.2">
      <c r="A834">
        <v>1015</v>
      </c>
      <c r="B834" t="s">
        <v>1268</v>
      </c>
      <c r="C834" t="s">
        <v>7913</v>
      </c>
      <c r="D834" t="s">
        <v>54</v>
      </c>
      <c r="E834" t="s">
        <v>7914</v>
      </c>
      <c r="F834" t="s">
        <v>1271</v>
      </c>
      <c r="G834" t="s">
        <v>7915</v>
      </c>
      <c r="H834" t="s">
        <v>689</v>
      </c>
      <c r="I834" t="s">
        <v>24</v>
      </c>
      <c r="J834">
        <v>126</v>
      </c>
      <c r="K834">
        <v>1016</v>
      </c>
      <c r="L834">
        <v>183</v>
      </c>
      <c r="M834">
        <f>COUNTIF(H834:$H$2581,H834)</f>
        <v>1</v>
      </c>
    </row>
    <row r="835" spans="1:13" x14ac:dyDescent="0.2">
      <c r="A835">
        <v>829</v>
      </c>
      <c r="B835" t="s">
        <v>594</v>
      </c>
      <c r="C835" t="s">
        <v>7965</v>
      </c>
      <c r="D835" t="s">
        <v>13</v>
      </c>
      <c r="E835" t="s">
        <v>7966</v>
      </c>
      <c r="F835" t="s">
        <v>597</v>
      </c>
      <c r="G835" t="s">
        <v>7967</v>
      </c>
      <c r="H835" t="s">
        <v>714</v>
      </c>
      <c r="I835" t="b">
        <v>1</v>
      </c>
      <c r="J835">
        <v>114</v>
      </c>
      <c r="K835">
        <v>830</v>
      </c>
      <c r="L835">
        <v>284</v>
      </c>
      <c r="M835">
        <f>COUNTIF(H835:$H$2581,H835)</f>
        <v>3</v>
      </c>
    </row>
    <row r="836" spans="1:13" x14ac:dyDescent="0.2">
      <c r="A836">
        <v>1250</v>
      </c>
      <c r="B836" t="s">
        <v>858</v>
      </c>
      <c r="C836" t="s">
        <v>8034</v>
      </c>
      <c r="D836" t="s">
        <v>33</v>
      </c>
      <c r="E836" t="s">
        <v>8035</v>
      </c>
      <c r="F836" t="s">
        <v>861</v>
      </c>
      <c r="G836" t="s">
        <v>8036</v>
      </c>
      <c r="H836" t="s">
        <v>714</v>
      </c>
      <c r="I836" t="b">
        <v>0</v>
      </c>
      <c r="J836">
        <v>153</v>
      </c>
      <c r="K836">
        <v>1251</v>
      </c>
      <c r="L836">
        <v>128</v>
      </c>
      <c r="M836">
        <f>COUNTIF(H836:$H$2581,H836)</f>
        <v>2</v>
      </c>
    </row>
    <row r="837" spans="1:13" x14ac:dyDescent="0.2">
      <c r="A837">
        <v>36</v>
      </c>
      <c r="B837" t="s">
        <v>2448</v>
      </c>
      <c r="C837" t="s">
        <v>8100</v>
      </c>
      <c r="D837" t="s">
        <v>33</v>
      </c>
      <c r="E837" t="s">
        <v>8101</v>
      </c>
      <c r="F837" t="s">
        <v>2451</v>
      </c>
      <c r="G837" t="s">
        <v>8102</v>
      </c>
      <c r="H837" t="s">
        <v>714</v>
      </c>
      <c r="I837" t="s">
        <v>24</v>
      </c>
      <c r="J837">
        <v>6</v>
      </c>
      <c r="K837">
        <v>37</v>
      </c>
      <c r="L837">
        <v>29</v>
      </c>
      <c r="M837">
        <f>COUNTIF(H837:$H$2581,H837)</f>
        <v>1</v>
      </c>
    </row>
    <row r="838" spans="1:13" x14ac:dyDescent="0.2">
      <c r="A838">
        <v>1812</v>
      </c>
      <c r="B838" t="s">
        <v>1287</v>
      </c>
      <c r="C838" t="s">
        <v>8210</v>
      </c>
      <c r="D838" t="s">
        <v>54</v>
      </c>
      <c r="E838" t="s">
        <v>8211</v>
      </c>
      <c r="F838" t="s">
        <v>1290</v>
      </c>
      <c r="G838" t="s">
        <v>8212</v>
      </c>
      <c r="H838" t="s">
        <v>735</v>
      </c>
      <c r="I838" t="s">
        <v>24</v>
      </c>
      <c r="J838">
        <v>210</v>
      </c>
      <c r="K838">
        <v>1813</v>
      </c>
      <c r="L838">
        <v>30</v>
      </c>
      <c r="M838">
        <f>COUNTIF(H838:$H$2581,H838)</f>
        <v>5</v>
      </c>
    </row>
    <row r="839" spans="1:13" x14ac:dyDescent="0.2">
      <c r="A839">
        <v>105</v>
      </c>
      <c r="B839" t="s">
        <v>316</v>
      </c>
      <c r="C839" t="s">
        <v>8314</v>
      </c>
      <c r="D839" t="s">
        <v>54</v>
      </c>
      <c r="E839" t="s">
        <v>8315</v>
      </c>
      <c r="F839" t="s">
        <v>319</v>
      </c>
      <c r="G839" t="s">
        <v>8316</v>
      </c>
      <c r="H839" t="s">
        <v>735</v>
      </c>
      <c r="I839" t="s">
        <v>24</v>
      </c>
      <c r="J839">
        <v>18</v>
      </c>
      <c r="K839">
        <v>106</v>
      </c>
      <c r="L839">
        <v>42</v>
      </c>
      <c r="M839">
        <f>COUNTIF(H839:$H$2581,H839)</f>
        <v>4</v>
      </c>
    </row>
    <row r="840" spans="1:13" x14ac:dyDescent="0.2">
      <c r="A840">
        <v>1681</v>
      </c>
      <c r="B840" t="s">
        <v>1112</v>
      </c>
      <c r="C840" t="s">
        <v>8582</v>
      </c>
      <c r="D840" t="s">
        <v>13</v>
      </c>
      <c r="E840" t="s">
        <v>8583</v>
      </c>
      <c r="F840" t="s">
        <v>1115</v>
      </c>
      <c r="G840" t="s">
        <v>8584</v>
      </c>
      <c r="H840" t="s">
        <v>735</v>
      </c>
      <c r="I840" t="b">
        <v>1</v>
      </c>
      <c r="J840">
        <v>202</v>
      </c>
      <c r="K840">
        <v>1682</v>
      </c>
      <c r="L840">
        <v>56</v>
      </c>
      <c r="M840">
        <f>COUNTIF(H840:$H$2581,H840)</f>
        <v>3</v>
      </c>
    </row>
    <row r="841" spans="1:13" x14ac:dyDescent="0.2">
      <c r="A841">
        <v>1914</v>
      </c>
      <c r="B841" t="s">
        <v>4687</v>
      </c>
      <c r="C841" t="s">
        <v>8775</v>
      </c>
      <c r="D841" t="s">
        <v>54</v>
      </c>
      <c r="E841" t="s">
        <v>8776</v>
      </c>
      <c r="F841" t="s">
        <v>4690</v>
      </c>
      <c r="G841" t="s">
        <v>8777</v>
      </c>
      <c r="H841" t="s">
        <v>735</v>
      </c>
      <c r="I841" t="s">
        <v>24</v>
      </c>
      <c r="J841">
        <v>223</v>
      </c>
      <c r="K841">
        <v>1915</v>
      </c>
      <c r="L841">
        <v>31</v>
      </c>
      <c r="M841">
        <f>COUNTIF(H841:$H$2581,H841)</f>
        <v>2</v>
      </c>
    </row>
    <row r="842" spans="1:13" x14ac:dyDescent="0.2">
      <c r="A842">
        <v>167</v>
      </c>
      <c r="B842" t="s">
        <v>73</v>
      </c>
      <c r="C842" t="s">
        <v>74</v>
      </c>
      <c r="D842" t="s">
        <v>13</v>
      </c>
      <c r="E842" t="s">
        <v>75</v>
      </c>
      <c r="F842" t="s">
        <v>76</v>
      </c>
      <c r="G842" t="s">
        <v>77</v>
      </c>
      <c r="H842" t="s">
        <v>735</v>
      </c>
      <c r="I842" t="s">
        <v>24</v>
      </c>
      <c r="J842">
        <v>32</v>
      </c>
      <c r="K842">
        <v>168</v>
      </c>
      <c r="L842">
        <v>45</v>
      </c>
      <c r="M842">
        <f>COUNTIF(H842:$H$2581,H842)</f>
        <v>1</v>
      </c>
    </row>
    <row r="843" spans="1:13" x14ac:dyDescent="0.2">
      <c r="A843">
        <v>2566</v>
      </c>
      <c r="B843" t="s">
        <v>226</v>
      </c>
      <c r="C843" t="s">
        <v>227</v>
      </c>
      <c r="D843" t="s">
        <v>54</v>
      </c>
      <c r="E843" t="s">
        <v>228</v>
      </c>
      <c r="F843" t="s">
        <v>229</v>
      </c>
      <c r="G843" t="s">
        <v>230</v>
      </c>
      <c r="H843" t="s">
        <v>762</v>
      </c>
      <c r="I843" t="b">
        <v>1</v>
      </c>
      <c r="J843">
        <v>299</v>
      </c>
      <c r="K843">
        <v>2567</v>
      </c>
      <c r="L843">
        <v>217</v>
      </c>
      <c r="M843">
        <f>COUNTIF(H843:$H$2581,H843)</f>
        <v>1</v>
      </c>
    </row>
    <row r="844" spans="1:13" x14ac:dyDescent="0.2">
      <c r="A844">
        <v>161</v>
      </c>
      <c r="B844" t="s">
        <v>335</v>
      </c>
      <c r="C844" t="s">
        <v>336</v>
      </c>
      <c r="D844" t="s">
        <v>54</v>
      </c>
      <c r="E844" t="s">
        <v>337</v>
      </c>
      <c r="F844" t="s">
        <v>338</v>
      </c>
      <c r="G844" t="s">
        <v>339</v>
      </c>
      <c r="H844" t="s">
        <v>789</v>
      </c>
      <c r="I844" t="s">
        <v>24</v>
      </c>
      <c r="J844">
        <v>30</v>
      </c>
      <c r="K844">
        <v>162</v>
      </c>
      <c r="L844">
        <v>1</v>
      </c>
      <c r="M844">
        <f>COUNTIF(H844:$H$2581,H844)</f>
        <v>1</v>
      </c>
    </row>
    <row r="845" spans="1:13" x14ac:dyDescent="0.2">
      <c r="A845">
        <v>194</v>
      </c>
      <c r="B845" t="s">
        <v>83</v>
      </c>
      <c r="C845" t="s">
        <v>562</v>
      </c>
      <c r="D845" t="s">
        <v>54</v>
      </c>
      <c r="E845" t="s">
        <v>563</v>
      </c>
      <c r="F845" t="s">
        <v>86</v>
      </c>
      <c r="G845" t="s">
        <v>564</v>
      </c>
      <c r="H845" t="s">
        <v>806</v>
      </c>
      <c r="I845" t="b">
        <v>0</v>
      </c>
      <c r="J845">
        <v>35</v>
      </c>
      <c r="K845">
        <v>195</v>
      </c>
      <c r="L845">
        <v>46</v>
      </c>
      <c r="M845">
        <f>COUNTIF(H845:$H$2581,H845)</f>
        <v>1</v>
      </c>
    </row>
    <row r="846" spans="1:13" x14ac:dyDescent="0.2">
      <c r="A846">
        <v>1920</v>
      </c>
      <c r="B846" t="s">
        <v>439</v>
      </c>
      <c r="C846" t="s">
        <v>1304</v>
      </c>
      <c r="D846" t="s">
        <v>13</v>
      </c>
      <c r="E846" t="s">
        <v>1305</v>
      </c>
      <c r="F846" t="s">
        <v>442</v>
      </c>
      <c r="G846" t="s">
        <v>1306</v>
      </c>
      <c r="H846" t="s">
        <v>831</v>
      </c>
      <c r="I846" t="b">
        <v>0</v>
      </c>
      <c r="J846">
        <v>224</v>
      </c>
      <c r="K846">
        <v>1921</v>
      </c>
      <c r="L846">
        <v>157</v>
      </c>
      <c r="M846">
        <f>COUNTIF(H846:$H$2581,H846)</f>
        <v>1</v>
      </c>
    </row>
    <row r="847" spans="1:13" x14ac:dyDescent="0.2">
      <c r="A847">
        <v>104</v>
      </c>
      <c r="B847" t="s">
        <v>316</v>
      </c>
      <c r="C847" t="s">
        <v>1369</v>
      </c>
      <c r="D847" t="s">
        <v>54</v>
      </c>
      <c r="E847" t="s">
        <v>1370</v>
      </c>
      <c r="F847" t="s">
        <v>319</v>
      </c>
      <c r="G847" t="s">
        <v>1371</v>
      </c>
      <c r="H847" t="s">
        <v>842</v>
      </c>
      <c r="I847" t="s">
        <v>24</v>
      </c>
      <c r="J847">
        <v>18</v>
      </c>
      <c r="K847">
        <v>105</v>
      </c>
      <c r="L847">
        <v>37</v>
      </c>
      <c r="M847">
        <f>COUNTIF(H847:$H$2581,H847)</f>
        <v>1</v>
      </c>
    </row>
    <row r="848" spans="1:13" x14ac:dyDescent="0.2">
      <c r="A848">
        <v>1686</v>
      </c>
      <c r="B848" t="s">
        <v>129</v>
      </c>
      <c r="C848" t="s">
        <v>1784</v>
      </c>
      <c r="D848" t="s">
        <v>54</v>
      </c>
      <c r="E848" t="s">
        <v>1785</v>
      </c>
      <c r="F848" t="s">
        <v>132</v>
      </c>
      <c r="G848" t="s">
        <v>1786</v>
      </c>
      <c r="H848" t="s">
        <v>863</v>
      </c>
      <c r="I848" t="b">
        <v>1</v>
      </c>
      <c r="J848">
        <v>204</v>
      </c>
      <c r="K848">
        <v>1687</v>
      </c>
      <c r="L848">
        <v>84</v>
      </c>
      <c r="M848">
        <f>COUNTIF(H848:$H$2581,H848)</f>
        <v>3</v>
      </c>
    </row>
    <row r="849" spans="1:13" x14ac:dyDescent="0.2">
      <c r="A849">
        <v>2090</v>
      </c>
      <c r="B849" t="s">
        <v>255</v>
      </c>
      <c r="C849" t="s">
        <v>1975</v>
      </c>
      <c r="D849" t="s">
        <v>13</v>
      </c>
      <c r="E849" t="s">
        <v>1976</v>
      </c>
      <c r="F849" t="s">
        <v>258</v>
      </c>
      <c r="G849" t="s">
        <v>1977</v>
      </c>
      <c r="H849" t="s">
        <v>863</v>
      </c>
      <c r="I849" t="s">
        <v>24</v>
      </c>
      <c r="J849">
        <v>242</v>
      </c>
      <c r="K849">
        <v>2091</v>
      </c>
      <c r="L849">
        <v>10</v>
      </c>
      <c r="M849">
        <f>COUNTIF(H849:$H$2581,H849)</f>
        <v>2</v>
      </c>
    </row>
    <row r="850" spans="1:13" x14ac:dyDescent="0.2">
      <c r="A850">
        <v>681</v>
      </c>
      <c r="B850" t="s">
        <v>886</v>
      </c>
      <c r="C850" t="s">
        <v>2224</v>
      </c>
      <c r="D850" t="s">
        <v>13</v>
      </c>
      <c r="E850" t="s">
        <v>2225</v>
      </c>
      <c r="F850" t="s">
        <v>889</v>
      </c>
      <c r="G850" t="s">
        <v>2226</v>
      </c>
      <c r="H850" t="s">
        <v>863</v>
      </c>
      <c r="I850" t="s">
        <v>24</v>
      </c>
      <c r="J850">
        <v>100</v>
      </c>
      <c r="K850">
        <v>682</v>
      </c>
      <c r="L850">
        <v>289</v>
      </c>
      <c r="M850">
        <f>COUNTIF(H850:$H$2581,H850)</f>
        <v>1</v>
      </c>
    </row>
    <row r="851" spans="1:13" x14ac:dyDescent="0.2">
      <c r="A851">
        <v>1492</v>
      </c>
      <c r="B851" t="s">
        <v>807</v>
      </c>
      <c r="C851" t="s">
        <v>2295</v>
      </c>
      <c r="D851" t="s">
        <v>54</v>
      </c>
      <c r="E851" t="s">
        <v>2296</v>
      </c>
      <c r="F851" t="s">
        <v>810</v>
      </c>
      <c r="G851" t="s">
        <v>2297</v>
      </c>
      <c r="H851" t="s">
        <v>880</v>
      </c>
      <c r="I851" t="b">
        <v>1</v>
      </c>
      <c r="J851">
        <v>182</v>
      </c>
      <c r="K851">
        <v>1493</v>
      </c>
      <c r="L851">
        <v>120</v>
      </c>
      <c r="M851">
        <f>COUNTIF(H851:$H$2581,H851)</f>
        <v>7</v>
      </c>
    </row>
    <row r="852" spans="1:13" x14ac:dyDescent="0.2">
      <c r="A852">
        <v>1925</v>
      </c>
      <c r="B852" t="s">
        <v>439</v>
      </c>
      <c r="C852" t="s">
        <v>2387</v>
      </c>
      <c r="D852" t="s">
        <v>13</v>
      </c>
      <c r="E852" t="s">
        <v>2388</v>
      </c>
      <c r="F852" t="s">
        <v>442</v>
      </c>
      <c r="G852" t="s">
        <v>2389</v>
      </c>
      <c r="H852" t="s">
        <v>880</v>
      </c>
      <c r="I852" t="b">
        <v>0</v>
      </c>
      <c r="J852">
        <v>224</v>
      </c>
      <c r="K852">
        <v>1926</v>
      </c>
      <c r="L852">
        <v>121</v>
      </c>
      <c r="M852">
        <f>COUNTIF(H852:$H$2581,H852)</f>
        <v>6</v>
      </c>
    </row>
    <row r="853" spans="1:13" x14ac:dyDescent="0.2">
      <c r="A853">
        <v>1360</v>
      </c>
      <c r="B853" t="s">
        <v>603</v>
      </c>
      <c r="C853" t="s">
        <v>2827</v>
      </c>
      <c r="D853" t="s">
        <v>13</v>
      </c>
      <c r="E853" t="s">
        <v>2828</v>
      </c>
      <c r="F853" t="s">
        <v>606</v>
      </c>
      <c r="G853" t="s">
        <v>2829</v>
      </c>
      <c r="H853" t="s">
        <v>880</v>
      </c>
      <c r="I853" t="s">
        <v>24</v>
      </c>
      <c r="J853">
        <v>166</v>
      </c>
      <c r="K853">
        <v>1361</v>
      </c>
      <c r="L853">
        <v>17</v>
      </c>
      <c r="M853">
        <f>COUNTIF(H853:$H$2581,H853)</f>
        <v>5</v>
      </c>
    </row>
    <row r="854" spans="1:13" x14ac:dyDescent="0.2">
      <c r="A854">
        <v>412</v>
      </c>
      <c r="B854" t="s">
        <v>1249</v>
      </c>
      <c r="C854" t="s">
        <v>2947</v>
      </c>
      <c r="D854" t="s">
        <v>13</v>
      </c>
      <c r="E854" t="s">
        <v>2948</v>
      </c>
      <c r="F854" t="s">
        <v>1252</v>
      </c>
      <c r="G854" t="s">
        <v>2949</v>
      </c>
      <c r="H854" t="s">
        <v>880</v>
      </c>
      <c r="I854" t="s">
        <v>24</v>
      </c>
      <c r="J854">
        <v>59</v>
      </c>
      <c r="K854">
        <v>413</v>
      </c>
      <c r="L854">
        <v>100</v>
      </c>
      <c r="M854">
        <f>COUNTIF(H854:$H$2581,H854)</f>
        <v>4</v>
      </c>
    </row>
    <row r="855" spans="1:13" x14ac:dyDescent="0.2">
      <c r="A855">
        <v>1765</v>
      </c>
      <c r="B855" t="s">
        <v>216</v>
      </c>
      <c r="C855" t="s">
        <v>3290</v>
      </c>
      <c r="D855" t="s">
        <v>54</v>
      </c>
      <c r="E855" t="s">
        <v>3291</v>
      </c>
      <c r="F855" t="s">
        <v>219</v>
      </c>
      <c r="G855" t="s">
        <v>3292</v>
      </c>
      <c r="H855" t="s">
        <v>880</v>
      </c>
      <c r="I855" t="b">
        <v>1</v>
      </c>
      <c r="J855">
        <v>209</v>
      </c>
      <c r="K855">
        <v>1766</v>
      </c>
      <c r="L855">
        <v>21</v>
      </c>
      <c r="M855">
        <f>COUNTIF(H855:$H$2581,H855)</f>
        <v>3</v>
      </c>
    </row>
    <row r="856" spans="1:13" x14ac:dyDescent="0.2">
      <c r="A856">
        <v>1167</v>
      </c>
      <c r="B856" t="s">
        <v>429</v>
      </c>
      <c r="C856" t="s">
        <v>3436</v>
      </c>
      <c r="D856" t="s">
        <v>54</v>
      </c>
      <c r="E856" t="s">
        <v>3437</v>
      </c>
      <c r="F856" t="s">
        <v>432</v>
      </c>
      <c r="G856" t="s">
        <v>3438</v>
      </c>
      <c r="H856" t="s">
        <v>880</v>
      </c>
      <c r="I856" t="b">
        <v>0</v>
      </c>
      <c r="J856">
        <v>143</v>
      </c>
      <c r="K856">
        <v>1168</v>
      </c>
      <c r="L856">
        <v>240</v>
      </c>
      <c r="M856">
        <f>COUNTIF(H856:$H$2581,H856)</f>
        <v>2</v>
      </c>
    </row>
    <row r="857" spans="1:13" x14ac:dyDescent="0.2">
      <c r="A857">
        <v>2121</v>
      </c>
      <c r="B857" t="s">
        <v>576</v>
      </c>
      <c r="C857" t="s">
        <v>3613</v>
      </c>
      <c r="D857" t="s">
        <v>54</v>
      </c>
      <c r="E857" t="s">
        <v>3614</v>
      </c>
      <c r="F857" t="s">
        <v>579</v>
      </c>
      <c r="G857" t="s">
        <v>3615</v>
      </c>
      <c r="H857" t="s">
        <v>880</v>
      </c>
      <c r="I857" t="s">
        <v>24</v>
      </c>
      <c r="J857">
        <v>244</v>
      </c>
      <c r="K857">
        <v>2122</v>
      </c>
      <c r="L857">
        <v>39</v>
      </c>
      <c r="M857">
        <f>COUNTIF(H857:$H$2581,H857)</f>
        <v>1</v>
      </c>
    </row>
    <row r="858" spans="1:13" x14ac:dyDescent="0.2">
      <c r="A858">
        <v>1795</v>
      </c>
      <c r="B858" t="s">
        <v>1287</v>
      </c>
      <c r="C858" t="s">
        <v>3753</v>
      </c>
      <c r="D858" t="s">
        <v>13</v>
      </c>
      <c r="E858" t="s">
        <v>3754</v>
      </c>
      <c r="F858" t="s">
        <v>1290</v>
      </c>
      <c r="G858" t="s">
        <v>3755</v>
      </c>
      <c r="H858" t="s">
        <v>937</v>
      </c>
      <c r="I858" t="s">
        <v>24</v>
      </c>
      <c r="J858">
        <v>210</v>
      </c>
      <c r="K858">
        <v>1796</v>
      </c>
      <c r="L858">
        <v>22</v>
      </c>
      <c r="M858">
        <f>COUNTIF(H858:$H$2581,H858)</f>
        <v>2</v>
      </c>
    </row>
    <row r="859" spans="1:13" x14ac:dyDescent="0.2">
      <c r="A859">
        <v>1573</v>
      </c>
      <c r="B859" t="s">
        <v>744</v>
      </c>
      <c r="C859" t="s">
        <v>3833</v>
      </c>
      <c r="D859" t="s">
        <v>13</v>
      </c>
      <c r="E859" t="s">
        <v>3834</v>
      </c>
      <c r="F859" t="s">
        <v>747</v>
      </c>
      <c r="G859" t="s">
        <v>3835</v>
      </c>
      <c r="H859" t="s">
        <v>937</v>
      </c>
      <c r="I859" t="b">
        <v>0</v>
      </c>
      <c r="J859">
        <v>193</v>
      </c>
      <c r="K859">
        <v>1574</v>
      </c>
      <c r="L859">
        <v>270</v>
      </c>
      <c r="M859">
        <f>COUNTIF(H859:$H$2581,H859)</f>
        <v>1</v>
      </c>
    </row>
    <row r="860" spans="1:13" x14ac:dyDescent="0.2">
      <c r="A860">
        <v>639</v>
      </c>
      <c r="B860" t="s">
        <v>237</v>
      </c>
      <c r="C860" t="s">
        <v>3871</v>
      </c>
      <c r="D860" t="s">
        <v>54</v>
      </c>
      <c r="E860" t="s">
        <v>3872</v>
      </c>
      <c r="F860" t="s">
        <v>240</v>
      </c>
      <c r="G860" t="s">
        <v>3873</v>
      </c>
      <c r="H860" t="s">
        <v>953</v>
      </c>
      <c r="I860" t="b">
        <v>1</v>
      </c>
      <c r="J860">
        <v>92</v>
      </c>
      <c r="K860">
        <v>640</v>
      </c>
      <c r="L860">
        <v>101</v>
      </c>
      <c r="M860">
        <f>COUNTIF(H860:$H$2581,H860)</f>
        <v>1</v>
      </c>
    </row>
    <row r="861" spans="1:13" x14ac:dyDescent="0.2">
      <c r="A861">
        <v>325</v>
      </c>
      <c r="B861" t="s">
        <v>98</v>
      </c>
      <c r="C861" t="s">
        <v>3958</v>
      </c>
      <c r="D861" t="s">
        <v>54</v>
      </c>
      <c r="E861" t="s">
        <v>3959</v>
      </c>
      <c r="F861" t="s">
        <v>101</v>
      </c>
      <c r="G861" t="s">
        <v>3960</v>
      </c>
      <c r="H861" t="s">
        <v>980</v>
      </c>
      <c r="I861" t="s">
        <v>24</v>
      </c>
      <c r="J861">
        <v>46</v>
      </c>
      <c r="K861">
        <v>326</v>
      </c>
      <c r="L861">
        <v>40</v>
      </c>
      <c r="M861">
        <f>COUNTIF(H861:$H$2581,H861)</f>
        <v>1</v>
      </c>
    </row>
    <row r="862" spans="1:13" x14ac:dyDescent="0.2">
      <c r="A862">
        <v>1624</v>
      </c>
      <c r="B862" t="s">
        <v>720</v>
      </c>
      <c r="C862" t="s">
        <v>4043</v>
      </c>
      <c r="D862" t="s">
        <v>33</v>
      </c>
      <c r="E862" t="s">
        <v>4044</v>
      </c>
      <c r="F862" t="s">
        <v>723</v>
      </c>
      <c r="G862" t="s">
        <v>4045</v>
      </c>
      <c r="H862" t="s">
        <v>995</v>
      </c>
      <c r="I862" t="b">
        <v>1</v>
      </c>
      <c r="J862">
        <v>197</v>
      </c>
      <c r="K862">
        <v>1625</v>
      </c>
      <c r="L862">
        <v>23</v>
      </c>
      <c r="M862">
        <f>COUNTIF(H862:$H$2581,H862)</f>
        <v>3</v>
      </c>
    </row>
    <row r="863" spans="1:13" x14ac:dyDescent="0.2">
      <c r="A863">
        <v>581</v>
      </c>
      <c r="B863" t="s">
        <v>3533</v>
      </c>
      <c r="C863" t="s">
        <v>4189</v>
      </c>
      <c r="D863" t="s">
        <v>54</v>
      </c>
      <c r="E863" t="s">
        <v>4190</v>
      </c>
      <c r="F863" t="s">
        <v>3536</v>
      </c>
      <c r="G863" t="s">
        <v>4191</v>
      </c>
      <c r="H863" t="s">
        <v>995</v>
      </c>
      <c r="I863" t="s">
        <v>24</v>
      </c>
      <c r="J863">
        <v>87</v>
      </c>
      <c r="K863">
        <v>582</v>
      </c>
      <c r="L863">
        <v>64</v>
      </c>
      <c r="M863">
        <f>COUNTIF(H863:$H$2581,H863)</f>
        <v>2</v>
      </c>
    </row>
    <row r="864" spans="1:13" x14ac:dyDescent="0.2">
      <c r="A864">
        <v>2331</v>
      </c>
      <c r="B864" t="s">
        <v>900</v>
      </c>
      <c r="C864" t="s">
        <v>4605</v>
      </c>
      <c r="D864" t="s">
        <v>54</v>
      </c>
      <c r="E864" t="s">
        <v>4606</v>
      </c>
      <c r="F864" t="s">
        <v>903</v>
      </c>
      <c r="G864" t="s">
        <v>4607</v>
      </c>
      <c r="H864" t="s">
        <v>995</v>
      </c>
      <c r="I864" t="b">
        <v>0</v>
      </c>
      <c r="J864">
        <v>274</v>
      </c>
      <c r="K864">
        <v>2332</v>
      </c>
      <c r="L864">
        <v>4</v>
      </c>
      <c r="M864">
        <f>COUNTIF(H864:$H$2581,H864)</f>
        <v>1</v>
      </c>
    </row>
    <row r="865" spans="1:13" x14ac:dyDescent="0.2">
      <c r="A865">
        <v>1002</v>
      </c>
      <c r="B865" t="s">
        <v>424</v>
      </c>
      <c r="C865" t="s">
        <v>4666</v>
      </c>
      <c r="D865" t="s">
        <v>13</v>
      </c>
      <c r="E865" t="s">
        <v>4667</v>
      </c>
      <c r="F865" t="s">
        <v>427</v>
      </c>
      <c r="G865" t="s">
        <v>4668</v>
      </c>
      <c r="H865" t="s">
        <v>1018</v>
      </c>
      <c r="I865" t="s">
        <v>24</v>
      </c>
      <c r="J865">
        <v>125</v>
      </c>
      <c r="K865">
        <v>1003</v>
      </c>
      <c r="L865">
        <v>33</v>
      </c>
      <c r="M865">
        <f>COUNTIF(H865:$H$2581,H865)</f>
        <v>2</v>
      </c>
    </row>
    <row r="866" spans="1:13" x14ac:dyDescent="0.2">
      <c r="A866">
        <v>968</v>
      </c>
      <c r="B866" t="s">
        <v>203</v>
      </c>
      <c r="C866" t="s">
        <v>4896</v>
      </c>
      <c r="D866" t="s">
        <v>13</v>
      </c>
      <c r="E866" t="s">
        <v>4897</v>
      </c>
      <c r="F866" t="s">
        <v>206</v>
      </c>
      <c r="G866" t="s">
        <v>4898</v>
      </c>
      <c r="H866" t="s">
        <v>1018</v>
      </c>
      <c r="I866" t="b">
        <v>1</v>
      </c>
      <c r="J866">
        <v>123</v>
      </c>
      <c r="K866">
        <v>969</v>
      </c>
      <c r="L866">
        <v>34</v>
      </c>
      <c r="M866">
        <f>COUNTIF(H866:$H$2581,H866)</f>
        <v>1</v>
      </c>
    </row>
    <row r="867" spans="1:13" x14ac:dyDescent="0.2">
      <c r="A867">
        <v>1839</v>
      </c>
      <c r="B867" t="s">
        <v>1198</v>
      </c>
      <c r="C867" t="s">
        <v>5007</v>
      </c>
      <c r="D867" t="s">
        <v>54</v>
      </c>
      <c r="E867" t="s">
        <v>5008</v>
      </c>
      <c r="F867" t="s">
        <v>1201</v>
      </c>
      <c r="G867" t="s">
        <v>5009</v>
      </c>
      <c r="H867" t="s">
        <v>1044</v>
      </c>
      <c r="I867" t="s">
        <v>24</v>
      </c>
      <c r="J867">
        <v>214</v>
      </c>
      <c r="K867">
        <v>1840</v>
      </c>
      <c r="L867">
        <v>123</v>
      </c>
      <c r="M867">
        <f>COUNTIF(H867:$H$2581,H867)</f>
        <v>8</v>
      </c>
    </row>
    <row r="868" spans="1:13" x14ac:dyDescent="0.2">
      <c r="A868">
        <v>1467</v>
      </c>
      <c r="B868" t="s">
        <v>736</v>
      </c>
      <c r="C868" t="s">
        <v>5270</v>
      </c>
      <c r="D868" t="s">
        <v>13</v>
      </c>
      <c r="E868" s="1" t="s">
        <v>5271</v>
      </c>
      <c r="F868" t="s">
        <v>739</v>
      </c>
      <c r="G868" t="s">
        <v>5272</v>
      </c>
      <c r="H868" t="s">
        <v>1044</v>
      </c>
      <c r="I868" t="s">
        <v>24</v>
      </c>
      <c r="J868">
        <v>178</v>
      </c>
      <c r="K868">
        <v>1468</v>
      </c>
      <c r="L868">
        <v>35</v>
      </c>
      <c r="M868">
        <f>COUNTIF(H868:$H$2581,H868)</f>
        <v>7</v>
      </c>
    </row>
    <row r="869" spans="1:13" x14ac:dyDescent="0.2">
      <c r="A869">
        <v>1873</v>
      </c>
      <c r="B869" t="s">
        <v>749</v>
      </c>
      <c r="C869" t="s">
        <v>5394</v>
      </c>
      <c r="D869" t="s">
        <v>54</v>
      </c>
      <c r="E869" t="s">
        <v>5395</v>
      </c>
      <c r="F869" t="s">
        <v>752</v>
      </c>
      <c r="G869" t="s">
        <v>5396</v>
      </c>
      <c r="H869" t="s">
        <v>1044</v>
      </c>
      <c r="I869" t="s">
        <v>24</v>
      </c>
      <c r="J869">
        <v>218</v>
      </c>
      <c r="K869">
        <v>1874</v>
      </c>
      <c r="L869">
        <v>24</v>
      </c>
      <c r="M869">
        <f>COUNTIF(H869:$H$2581,H869)</f>
        <v>6</v>
      </c>
    </row>
    <row r="870" spans="1:13" x14ac:dyDescent="0.2">
      <c r="A870">
        <v>1187</v>
      </c>
      <c r="B870" t="s">
        <v>1054</v>
      </c>
      <c r="C870" t="s">
        <v>5442</v>
      </c>
      <c r="D870" t="s">
        <v>33</v>
      </c>
      <c r="E870" t="s">
        <v>5443</v>
      </c>
      <c r="F870" t="s">
        <v>1057</v>
      </c>
      <c r="G870" t="s">
        <v>5444</v>
      </c>
      <c r="H870" t="s">
        <v>1044</v>
      </c>
      <c r="I870" t="s">
        <v>24</v>
      </c>
      <c r="J870">
        <v>145</v>
      </c>
      <c r="K870">
        <v>1188</v>
      </c>
      <c r="L870">
        <v>12</v>
      </c>
      <c r="M870">
        <f>COUNTIF(H870:$H$2581,H870)</f>
        <v>5</v>
      </c>
    </row>
    <row r="871" spans="1:13" x14ac:dyDescent="0.2">
      <c r="A871">
        <v>1750</v>
      </c>
      <c r="B871" t="s">
        <v>1403</v>
      </c>
      <c r="C871" t="s">
        <v>5530</v>
      </c>
      <c r="D871" t="s">
        <v>13</v>
      </c>
      <c r="E871" t="s">
        <v>5531</v>
      </c>
      <c r="F871" t="s">
        <v>1406</v>
      </c>
      <c r="G871" t="s">
        <v>5532</v>
      </c>
      <c r="H871" t="s">
        <v>1044</v>
      </c>
      <c r="I871" t="b">
        <v>1</v>
      </c>
      <c r="J871">
        <v>207</v>
      </c>
      <c r="K871">
        <v>1751</v>
      </c>
      <c r="L871">
        <v>13</v>
      </c>
      <c r="M871">
        <f>COUNTIF(H871:$H$2581,H871)</f>
        <v>4</v>
      </c>
    </row>
    <row r="872" spans="1:13" x14ac:dyDescent="0.2">
      <c r="A872">
        <v>1537</v>
      </c>
      <c r="B872" t="s">
        <v>466</v>
      </c>
      <c r="C872" t="s">
        <v>5615</v>
      </c>
      <c r="D872" t="s">
        <v>54</v>
      </c>
      <c r="E872" t="s">
        <v>5616</v>
      </c>
      <c r="F872" t="s">
        <v>469</v>
      </c>
      <c r="G872" t="s">
        <v>5617</v>
      </c>
      <c r="H872" t="s">
        <v>1044</v>
      </c>
      <c r="I872" t="s">
        <v>24</v>
      </c>
      <c r="J872">
        <v>187</v>
      </c>
      <c r="K872">
        <v>1538</v>
      </c>
      <c r="L872">
        <v>50</v>
      </c>
      <c r="M872">
        <f>COUNTIF(H872:$H$2581,H872)</f>
        <v>3</v>
      </c>
    </row>
    <row r="873" spans="1:13" x14ac:dyDescent="0.2">
      <c r="A873">
        <v>2080</v>
      </c>
      <c r="B873" t="s">
        <v>1970</v>
      </c>
      <c r="C873" t="s">
        <v>5799</v>
      </c>
      <c r="D873" t="s">
        <v>54</v>
      </c>
      <c r="E873" t="s">
        <v>5800</v>
      </c>
      <c r="F873" t="s">
        <v>1973</v>
      </c>
      <c r="G873" t="s">
        <v>5801</v>
      </c>
      <c r="H873" t="s">
        <v>1044</v>
      </c>
      <c r="I873" t="s">
        <v>24</v>
      </c>
      <c r="J873">
        <v>241</v>
      </c>
      <c r="K873">
        <v>2081</v>
      </c>
      <c r="L873">
        <v>25</v>
      </c>
      <c r="M873">
        <f>COUNTIF(H873:$H$2581,H873)</f>
        <v>2</v>
      </c>
    </row>
    <row r="874" spans="1:13" x14ac:dyDescent="0.2">
      <c r="A874">
        <v>2019</v>
      </c>
      <c r="B874" t="s">
        <v>444</v>
      </c>
      <c r="C874" t="s">
        <v>5958</v>
      </c>
      <c r="D874" t="s">
        <v>13</v>
      </c>
      <c r="E874" t="s">
        <v>5959</v>
      </c>
      <c r="F874" t="s">
        <v>447</v>
      </c>
      <c r="G874" t="s">
        <v>5960</v>
      </c>
      <c r="H874" t="s">
        <v>1044</v>
      </c>
      <c r="I874" t="s">
        <v>24</v>
      </c>
      <c r="J874">
        <v>233</v>
      </c>
      <c r="K874">
        <v>2020</v>
      </c>
      <c r="L874">
        <v>124</v>
      </c>
      <c r="M874">
        <f>COUNTIF(H874:$H$2581,H874)</f>
        <v>1</v>
      </c>
    </row>
    <row r="875" spans="1:13" x14ac:dyDescent="0.2">
      <c r="A875">
        <v>1133</v>
      </c>
      <c r="B875" t="s">
        <v>1186</v>
      </c>
      <c r="C875" t="s">
        <v>6164</v>
      </c>
      <c r="D875" t="s">
        <v>33</v>
      </c>
      <c r="E875" t="s">
        <v>6165</v>
      </c>
      <c r="F875" t="s">
        <v>1189</v>
      </c>
      <c r="G875" t="s">
        <v>6166</v>
      </c>
      <c r="H875" t="s">
        <v>1102</v>
      </c>
      <c r="I875" t="b">
        <v>0</v>
      </c>
      <c r="J875">
        <v>137</v>
      </c>
      <c r="K875">
        <v>1134</v>
      </c>
      <c r="L875">
        <v>167</v>
      </c>
      <c r="M875">
        <f>COUNTIF(H875:$H$2581,H875)</f>
        <v>1</v>
      </c>
    </row>
    <row r="876" spans="1:13" x14ac:dyDescent="0.2">
      <c r="A876">
        <v>1693</v>
      </c>
      <c r="B876" t="s">
        <v>129</v>
      </c>
      <c r="C876" t="s">
        <v>6306</v>
      </c>
      <c r="D876" t="s">
        <v>13</v>
      </c>
      <c r="E876" t="s">
        <v>6307</v>
      </c>
      <c r="F876" t="s">
        <v>132</v>
      </c>
      <c r="G876" t="s">
        <v>6308</v>
      </c>
      <c r="H876" t="s">
        <v>1111</v>
      </c>
      <c r="I876" t="b">
        <v>1</v>
      </c>
      <c r="J876">
        <v>204</v>
      </c>
      <c r="K876">
        <v>1694</v>
      </c>
      <c r="L876">
        <v>9</v>
      </c>
      <c r="M876">
        <f>COUNTIF(H876:$H$2581,H876)</f>
        <v>2</v>
      </c>
    </row>
    <row r="877" spans="1:13" x14ac:dyDescent="0.2">
      <c r="A877">
        <v>1525</v>
      </c>
      <c r="B877" t="s">
        <v>1209</v>
      </c>
      <c r="C877" t="s">
        <v>6411</v>
      </c>
      <c r="D877" t="s">
        <v>54</v>
      </c>
      <c r="E877" t="s">
        <v>6412</v>
      </c>
      <c r="F877" t="s">
        <v>1212</v>
      </c>
      <c r="G877" t="s">
        <v>6413</v>
      </c>
      <c r="H877" t="s">
        <v>1111</v>
      </c>
      <c r="I877" t="b">
        <v>0</v>
      </c>
      <c r="J877">
        <v>185</v>
      </c>
      <c r="K877">
        <v>1526</v>
      </c>
      <c r="L877">
        <v>161</v>
      </c>
      <c r="M877">
        <f>COUNTIF(H877:$H$2581,H877)</f>
        <v>1</v>
      </c>
    </row>
    <row r="878" spans="1:13" x14ac:dyDescent="0.2">
      <c r="A878">
        <v>1986</v>
      </c>
      <c r="B878" t="s">
        <v>1952</v>
      </c>
      <c r="C878" t="s">
        <v>6639</v>
      </c>
      <c r="D878" t="s">
        <v>13</v>
      </c>
      <c r="E878" t="s">
        <v>6640</v>
      </c>
      <c r="F878" t="s">
        <v>1955</v>
      </c>
      <c r="G878" t="s">
        <v>6641</v>
      </c>
      <c r="H878" t="s">
        <v>1125</v>
      </c>
      <c r="I878" t="s">
        <v>24</v>
      </c>
      <c r="J878">
        <v>229</v>
      </c>
      <c r="K878">
        <v>1987</v>
      </c>
      <c r="L878">
        <v>7</v>
      </c>
      <c r="M878">
        <f>COUNTIF(H878:$H$2581,H878)</f>
        <v>2</v>
      </c>
    </row>
    <row r="879" spans="1:13" x14ac:dyDescent="0.2">
      <c r="A879">
        <v>1258</v>
      </c>
      <c r="B879" t="s">
        <v>3822</v>
      </c>
      <c r="C879" t="s">
        <v>6783</v>
      </c>
      <c r="D879" t="s">
        <v>13</v>
      </c>
      <c r="E879" t="s">
        <v>6784</v>
      </c>
      <c r="F879" t="s">
        <v>3825</v>
      </c>
      <c r="G879" t="s">
        <v>6785</v>
      </c>
      <c r="H879" t="s">
        <v>1125</v>
      </c>
      <c r="I879" t="s">
        <v>24</v>
      </c>
      <c r="J879">
        <v>155</v>
      </c>
      <c r="K879">
        <v>1259</v>
      </c>
      <c r="L879">
        <v>106</v>
      </c>
      <c r="M879">
        <f>COUNTIF(H879:$H$2581,H879)</f>
        <v>1</v>
      </c>
    </row>
    <row r="880" spans="1:13" x14ac:dyDescent="0.2">
      <c r="A880">
        <v>1898</v>
      </c>
      <c r="B880" t="s">
        <v>1485</v>
      </c>
      <c r="C880" t="s">
        <v>6886</v>
      </c>
      <c r="D880" t="s">
        <v>13</v>
      </c>
      <c r="E880" t="s">
        <v>6887</v>
      </c>
      <c r="F880" t="s">
        <v>1488</v>
      </c>
      <c r="G880" t="s">
        <v>6888</v>
      </c>
      <c r="H880" t="s">
        <v>1143</v>
      </c>
      <c r="I880" t="b">
        <v>1</v>
      </c>
      <c r="J880">
        <v>220</v>
      </c>
      <c r="K880">
        <v>1899</v>
      </c>
      <c r="L880">
        <v>125</v>
      </c>
      <c r="M880">
        <f>COUNTIF(H880:$H$2581,H880)</f>
        <v>1</v>
      </c>
    </row>
    <row r="881" spans="1:13" x14ac:dyDescent="0.2">
      <c r="A881">
        <v>350</v>
      </c>
      <c r="B881" t="s">
        <v>455</v>
      </c>
      <c r="C881" t="s">
        <v>6980</v>
      </c>
      <c r="D881" t="s">
        <v>13</v>
      </c>
      <c r="E881" t="s">
        <v>6981</v>
      </c>
      <c r="F881" t="s">
        <v>458</v>
      </c>
      <c r="G881" t="s">
        <v>6982</v>
      </c>
      <c r="H881" t="s">
        <v>1156</v>
      </c>
      <c r="I881" t="b">
        <v>0</v>
      </c>
      <c r="J881">
        <v>49</v>
      </c>
      <c r="K881">
        <v>351</v>
      </c>
      <c r="L881">
        <v>107</v>
      </c>
      <c r="M881">
        <f>COUNTIF(H881:$H$2581,H881)</f>
        <v>1</v>
      </c>
    </row>
    <row r="882" spans="1:13" x14ac:dyDescent="0.2">
      <c r="A882">
        <v>1946</v>
      </c>
      <c r="B882" t="s">
        <v>439</v>
      </c>
      <c r="C882" t="s">
        <v>7097</v>
      </c>
      <c r="D882" t="s">
        <v>13</v>
      </c>
      <c r="E882" t="s">
        <v>7098</v>
      </c>
      <c r="F882" t="s">
        <v>442</v>
      </c>
      <c r="G882" t="s">
        <v>7099</v>
      </c>
      <c r="H882" t="s">
        <v>1197</v>
      </c>
      <c r="I882" t="b">
        <v>0</v>
      </c>
      <c r="J882">
        <v>224</v>
      </c>
      <c r="K882">
        <v>1947</v>
      </c>
      <c r="L882">
        <v>14</v>
      </c>
      <c r="M882">
        <f>COUNTIF(H882:$H$2581,H882)</f>
        <v>3</v>
      </c>
    </row>
    <row r="883" spans="1:13" x14ac:dyDescent="0.2">
      <c r="A883">
        <v>855</v>
      </c>
      <c r="B883" t="s">
        <v>193</v>
      </c>
      <c r="C883" t="s">
        <v>7144</v>
      </c>
      <c r="D883" t="s">
        <v>54</v>
      </c>
      <c r="E883" t="s">
        <v>7145</v>
      </c>
      <c r="F883" t="s">
        <v>196</v>
      </c>
      <c r="G883" t="s">
        <v>7146</v>
      </c>
      <c r="H883" t="s">
        <v>1197</v>
      </c>
      <c r="I883" t="s">
        <v>24</v>
      </c>
      <c r="J883">
        <v>117</v>
      </c>
      <c r="K883">
        <v>856</v>
      </c>
      <c r="L883">
        <v>281</v>
      </c>
      <c r="M883">
        <f>COUNTIF(H883:$H$2581,H883)</f>
        <v>2</v>
      </c>
    </row>
    <row r="884" spans="1:13" x14ac:dyDescent="0.2">
      <c r="A884">
        <v>1021</v>
      </c>
      <c r="B884" t="s">
        <v>3182</v>
      </c>
      <c r="C884" t="s">
        <v>7190</v>
      </c>
      <c r="D884" t="s">
        <v>54</v>
      </c>
      <c r="E884" t="s">
        <v>7191</v>
      </c>
      <c r="F884" t="s">
        <v>3185</v>
      </c>
      <c r="G884" t="s">
        <v>7192</v>
      </c>
      <c r="H884" t="s">
        <v>1197</v>
      </c>
      <c r="I884" t="s">
        <v>24</v>
      </c>
      <c r="J884">
        <v>127</v>
      </c>
      <c r="K884">
        <v>1022</v>
      </c>
      <c r="L884">
        <v>362</v>
      </c>
      <c r="M884">
        <f>COUNTIF(H884:$H$2581,H884)</f>
        <v>1</v>
      </c>
    </row>
    <row r="885" spans="1:13" x14ac:dyDescent="0.2">
      <c r="A885">
        <v>1222</v>
      </c>
      <c r="B885" t="s">
        <v>265</v>
      </c>
      <c r="C885" t="s">
        <v>3581</v>
      </c>
      <c r="D885" t="s">
        <v>54</v>
      </c>
      <c r="E885" t="s">
        <v>7376</v>
      </c>
      <c r="F885" t="s">
        <v>268</v>
      </c>
      <c r="G885" t="s">
        <v>7377</v>
      </c>
      <c r="H885" t="s">
        <v>1220</v>
      </c>
      <c r="I885" t="s">
        <v>24</v>
      </c>
      <c r="J885">
        <v>149</v>
      </c>
      <c r="K885">
        <v>1223</v>
      </c>
      <c r="L885">
        <v>250</v>
      </c>
      <c r="M885">
        <f>COUNTIF(H885:$H$2581,H885)</f>
        <v>1</v>
      </c>
    </row>
    <row r="886" spans="1:13" x14ac:dyDescent="0.2">
      <c r="A886">
        <v>97</v>
      </c>
      <c r="B886" t="s">
        <v>311</v>
      </c>
      <c r="C886" t="s">
        <v>7445</v>
      </c>
      <c r="D886" t="s">
        <v>54</v>
      </c>
      <c r="E886" t="s">
        <v>7446</v>
      </c>
      <c r="F886" s="1" t="s">
        <v>314</v>
      </c>
      <c r="G886" t="s">
        <v>7447</v>
      </c>
      <c r="H886" t="s">
        <v>1233</v>
      </c>
      <c r="I886" t="s">
        <v>24</v>
      </c>
      <c r="J886">
        <v>14</v>
      </c>
      <c r="K886">
        <v>98</v>
      </c>
      <c r="L886">
        <v>53</v>
      </c>
      <c r="M886">
        <f>COUNTIF(H886:$H$2581,H886)</f>
        <v>2</v>
      </c>
    </row>
    <row r="887" spans="1:13" x14ac:dyDescent="0.2">
      <c r="A887">
        <v>570</v>
      </c>
      <c r="B887" t="s">
        <v>2797</v>
      </c>
      <c r="C887" t="s">
        <v>7475</v>
      </c>
      <c r="D887" t="s">
        <v>13</v>
      </c>
      <c r="E887" t="s">
        <v>7476</v>
      </c>
      <c r="F887" t="s">
        <v>2800</v>
      </c>
      <c r="G887" t="s">
        <v>7477</v>
      </c>
      <c r="H887" t="s">
        <v>1233</v>
      </c>
      <c r="I887" t="s">
        <v>24</v>
      </c>
      <c r="J887">
        <v>84</v>
      </c>
      <c r="K887">
        <v>571</v>
      </c>
      <c r="L887">
        <v>251</v>
      </c>
      <c r="M887">
        <f>COUNTIF(H887:$H$2581,H887)</f>
        <v>1</v>
      </c>
    </row>
    <row r="888" spans="1:13" x14ac:dyDescent="0.2">
      <c r="A888">
        <v>353</v>
      </c>
      <c r="B888" t="s">
        <v>455</v>
      </c>
      <c r="C888" t="s">
        <v>7513</v>
      </c>
      <c r="D888" t="s">
        <v>13</v>
      </c>
      <c r="E888" t="s">
        <v>7514</v>
      </c>
      <c r="F888" t="s">
        <v>458</v>
      </c>
      <c r="G888" t="s">
        <v>7515</v>
      </c>
      <c r="H888" t="s">
        <v>1243</v>
      </c>
      <c r="I888" t="b">
        <v>0</v>
      </c>
      <c r="J888">
        <v>49</v>
      </c>
      <c r="K888">
        <v>354</v>
      </c>
      <c r="L888">
        <v>26</v>
      </c>
      <c r="M888">
        <f>COUNTIF(H888:$H$2581,H888)</f>
        <v>26</v>
      </c>
    </row>
    <row r="889" spans="1:13" x14ac:dyDescent="0.2">
      <c r="A889">
        <v>452</v>
      </c>
      <c r="B889" t="s">
        <v>778</v>
      </c>
      <c r="C889" t="s">
        <v>7551</v>
      </c>
      <c r="D889" t="s">
        <v>54</v>
      </c>
      <c r="E889" t="s">
        <v>7552</v>
      </c>
      <c r="F889" t="s">
        <v>781</v>
      </c>
      <c r="G889" t="s">
        <v>7553</v>
      </c>
      <c r="H889" t="s">
        <v>1243</v>
      </c>
      <c r="I889" t="b">
        <v>0</v>
      </c>
      <c r="J889">
        <v>64</v>
      </c>
      <c r="K889">
        <v>453</v>
      </c>
      <c r="L889">
        <v>118</v>
      </c>
      <c r="M889">
        <f>COUNTIF(H889:$H$2581,H889)</f>
        <v>25</v>
      </c>
    </row>
    <row r="890" spans="1:13" x14ac:dyDescent="0.2">
      <c r="A890">
        <v>204</v>
      </c>
      <c r="B890" t="s">
        <v>346</v>
      </c>
      <c r="C890" t="s">
        <v>7690</v>
      </c>
      <c r="D890" t="s">
        <v>54</v>
      </c>
      <c r="E890" t="s">
        <v>7691</v>
      </c>
      <c r="F890" t="s">
        <v>349</v>
      </c>
      <c r="G890" t="s">
        <v>7692</v>
      </c>
      <c r="H890" t="s">
        <v>1243</v>
      </c>
      <c r="I890" t="b">
        <v>0</v>
      </c>
      <c r="J890">
        <v>36</v>
      </c>
      <c r="K890">
        <v>205</v>
      </c>
      <c r="L890">
        <v>54</v>
      </c>
      <c r="M890">
        <f>COUNTIF(H890:$H$2581,H890)</f>
        <v>24</v>
      </c>
    </row>
    <row r="891" spans="1:13" x14ac:dyDescent="0.2">
      <c r="A891">
        <v>1962</v>
      </c>
      <c r="B891" t="s">
        <v>1472</v>
      </c>
      <c r="C891" t="s">
        <v>7831</v>
      </c>
      <c r="D891" t="s">
        <v>13</v>
      </c>
      <c r="E891" t="s">
        <v>7832</v>
      </c>
      <c r="F891" t="s">
        <v>1475</v>
      </c>
      <c r="G891" t="s">
        <v>7833</v>
      </c>
      <c r="H891" t="s">
        <v>1243</v>
      </c>
      <c r="I891" t="b">
        <v>0</v>
      </c>
      <c r="J891">
        <v>225</v>
      </c>
      <c r="K891">
        <v>1963</v>
      </c>
      <c r="L891">
        <v>27</v>
      </c>
      <c r="M891">
        <f>COUNTIF(H891:$H$2581,H891)</f>
        <v>23</v>
      </c>
    </row>
    <row r="892" spans="1:13" x14ac:dyDescent="0.2">
      <c r="A892">
        <v>1036</v>
      </c>
      <c r="B892" t="s">
        <v>1215</v>
      </c>
      <c r="C892" t="s">
        <v>7916</v>
      </c>
      <c r="D892" t="s">
        <v>54</v>
      </c>
      <c r="E892" t="s">
        <v>7917</v>
      </c>
      <c r="F892" t="s">
        <v>1218</v>
      </c>
      <c r="G892" t="s">
        <v>7918</v>
      </c>
      <c r="H892" t="s">
        <v>1243</v>
      </c>
      <c r="I892" t="b">
        <v>1</v>
      </c>
      <c r="J892">
        <v>129</v>
      </c>
      <c r="K892">
        <v>1037</v>
      </c>
      <c r="L892">
        <v>183</v>
      </c>
      <c r="M892">
        <f>COUNTIF(H892:$H$2581,H892)</f>
        <v>22</v>
      </c>
    </row>
    <row r="893" spans="1:13" x14ac:dyDescent="0.2">
      <c r="A893">
        <v>939</v>
      </c>
      <c r="B893" t="s">
        <v>498</v>
      </c>
      <c r="C893" t="s">
        <v>7968</v>
      </c>
      <c r="D893" t="s">
        <v>33</v>
      </c>
      <c r="E893" t="s">
        <v>7969</v>
      </c>
      <c r="F893" t="s">
        <v>501</v>
      </c>
      <c r="G893" t="s">
        <v>7970</v>
      </c>
      <c r="H893" t="s">
        <v>1243</v>
      </c>
      <c r="I893" t="b">
        <v>0</v>
      </c>
      <c r="J893">
        <v>122</v>
      </c>
      <c r="K893">
        <v>940</v>
      </c>
      <c r="L893">
        <v>284</v>
      </c>
      <c r="M893">
        <f>COUNTIF(H893:$H$2581,H893)</f>
        <v>21</v>
      </c>
    </row>
    <row r="894" spans="1:13" x14ac:dyDescent="0.2">
      <c r="A894">
        <v>1349</v>
      </c>
      <c r="B894" t="s">
        <v>864</v>
      </c>
      <c r="C894" t="s">
        <v>8037</v>
      </c>
      <c r="D894" t="s">
        <v>33</v>
      </c>
      <c r="E894" t="s">
        <v>8038</v>
      </c>
      <c r="F894" t="s">
        <v>867</v>
      </c>
      <c r="G894" t="s">
        <v>8039</v>
      </c>
      <c r="H894" t="s">
        <v>1243</v>
      </c>
      <c r="I894" t="b">
        <v>0</v>
      </c>
      <c r="J894">
        <v>164</v>
      </c>
      <c r="K894">
        <v>1350</v>
      </c>
      <c r="L894">
        <v>128</v>
      </c>
      <c r="M894">
        <f>COUNTIF(H894:$H$2581,H894)</f>
        <v>20</v>
      </c>
    </row>
    <row r="895" spans="1:13" x14ac:dyDescent="0.2">
      <c r="A895">
        <v>628</v>
      </c>
      <c r="B895" t="s">
        <v>1491</v>
      </c>
      <c r="C895" t="s">
        <v>8103</v>
      </c>
      <c r="D895" t="s">
        <v>54</v>
      </c>
      <c r="E895" t="s">
        <v>8104</v>
      </c>
      <c r="F895" t="s">
        <v>1494</v>
      </c>
      <c r="G895" t="s">
        <v>8105</v>
      </c>
      <c r="H895" t="s">
        <v>1243</v>
      </c>
      <c r="I895" t="b">
        <v>0</v>
      </c>
      <c r="J895">
        <v>91</v>
      </c>
      <c r="K895">
        <v>629</v>
      </c>
      <c r="L895">
        <v>29</v>
      </c>
      <c r="M895">
        <f>COUNTIF(H895:$H$2581,H895)</f>
        <v>19</v>
      </c>
    </row>
    <row r="896" spans="1:13" x14ac:dyDescent="0.2">
      <c r="A896">
        <v>1845</v>
      </c>
      <c r="B896" t="s">
        <v>1198</v>
      </c>
      <c r="C896" t="s">
        <v>8213</v>
      </c>
      <c r="D896" t="s">
        <v>54</v>
      </c>
      <c r="E896" t="s">
        <v>8214</v>
      </c>
      <c r="F896" t="s">
        <v>1201</v>
      </c>
      <c r="G896" t="s">
        <v>8215</v>
      </c>
      <c r="H896" t="s">
        <v>1243</v>
      </c>
      <c r="I896" t="s">
        <v>24</v>
      </c>
      <c r="J896">
        <v>214</v>
      </c>
      <c r="K896">
        <v>1846</v>
      </c>
      <c r="L896">
        <v>30</v>
      </c>
      <c r="M896">
        <f>COUNTIF(H896:$H$2581,H896)</f>
        <v>18</v>
      </c>
    </row>
    <row r="897" spans="1:13" x14ac:dyDescent="0.2">
      <c r="A897">
        <v>171</v>
      </c>
      <c r="B897" t="s">
        <v>73</v>
      </c>
      <c r="C897" t="s">
        <v>8317</v>
      </c>
      <c r="D897" t="s">
        <v>13</v>
      </c>
      <c r="E897" t="s">
        <v>8318</v>
      </c>
      <c r="F897" t="s">
        <v>76</v>
      </c>
      <c r="G897" t="s">
        <v>8319</v>
      </c>
      <c r="H897" t="s">
        <v>1243</v>
      </c>
      <c r="I897" t="s">
        <v>24</v>
      </c>
      <c r="J897">
        <v>32</v>
      </c>
      <c r="K897">
        <v>172</v>
      </c>
      <c r="L897">
        <v>42</v>
      </c>
      <c r="M897">
        <f>COUNTIF(H897:$H$2581,H897)</f>
        <v>17</v>
      </c>
    </row>
    <row r="898" spans="1:13" x14ac:dyDescent="0.2">
      <c r="A898">
        <v>1733</v>
      </c>
      <c r="B898" t="s">
        <v>725</v>
      </c>
      <c r="C898" t="s">
        <v>8585</v>
      </c>
      <c r="D898" t="s">
        <v>54</v>
      </c>
      <c r="E898" t="s">
        <v>8586</v>
      </c>
      <c r="F898" t="s">
        <v>728</v>
      </c>
      <c r="G898" t="s">
        <v>8587</v>
      </c>
      <c r="H898" t="s">
        <v>1243</v>
      </c>
      <c r="I898" t="b">
        <v>1</v>
      </c>
      <c r="J898">
        <v>205</v>
      </c>
      <c r="K898">
        <v>1734</v>
      </c>
      <c r="L898">
        <v>56</v>
      </c>
      <c r="M898">
        <f>COUNTIF(H898:$H$2581,H898)</f>
        <v>16</v>
      </c>
    </row>
    <row r="899" spans="1:13" x14ac:dyDescent="0.2">
      <c r="A899">
        <v>2085</v>
      </c>
      <c r="B899" t="s">
        <v>1970</v>
      </c>
      <c r="C899" t="s">
        <v>8778</v>
      </c>
      <c r="D899" t="s">
        <v>54</v>
      </c>
      <c r="E899" t="s">
        <v>8779</v>
      </c>
      <c r="F899" t="s">
        <v>1973</v>
      </c>
      <c r="G899" t="s">
        <v>8780</v>
      </c>
      <c r="H899" t="s">
        <v>1243</v>
      </c>
      <c r="I899" t="s">
        <v>24</v>
      </c>
      <c r="J899">
        <v>241</v>
      </c>
      <c r="K899">
        <v>2086</v>
      </c>
      <c r="L899">
        <v>31</v>
      </c>
      <c r="M899">
        <f>COUNTIF(H899:$H$2581,H899)</f>
        <v>15</v>
      </c>
    </row>
    <row r="900" spans="1:13" x14ac:dyDescent="0.2">
      <c r="A900">
        <v>575</v>
      </c>
      <c r="B900" t="s">
        <v>2797</v>
      </c>
      <c r="C900" t="s">
        <v>8808</v>
      </c>
      <c r="D900" t="s">
        <v>54</v>
      </c>
      <c r="E900" t="s">
        <v>8809</v>
      </c>
      <c r="F900" t="s">
        <v>2800</v>
      </c>
      <c r="G900" t="s">
        <v>8810</v>
      </c>
      <c r="H900" t="s">
        <v>1243</v>
      </c>
      <c r="I900" t="s">
        <v>24</v>
      </c>
      <c r="J900">
        <v>84</v>
      </c>
      <c r="K900">
        <v>576</v>
      </c>
      <c r="L900">
        <v>254</v>
      </c>
      <c r="M900">
        <f>COUNTIF(H900:$H$2581,H900)</f>
        <v>14</v>
      </c>
    </row>
    <row r="901" spans="1:13" x14ac:dyDescent="0.2">
      <c r="A901">
        <v>153</v>
      </c>
      <c r="B901" t="s">
        <v>68</v>
      </c>
      <c r="C901" t="s">
        <v>69</v>
      </c>
      <c r="D901" t="s">
        <v>13</v>
      </c>
      <c r="E901" t="s">
        <v>70</v>
      </c>
      <c r="F901" t="s">
        <v>71</v>
      </c>
      <c r="G901" t="s">
        <v>72</v>
      </c>
      <c r="H901" t="s">
        <v>1243</v>
      </c>
      <c r="I901" t="b">
        <v>1</v>
      </c>
      <c r="J901">
        <v>28</v>
      </c>
      <c r="K901">
        <v>154</v>
      </c>
      <c r="L901">
        <v>45</v>
      </c>
      <c r="M901">
        <f>COUNTIF(H901:$H$2581,H901)</f>
        <v>13</v>
      </c>
    </row>
    <row r="902" spans="1:13" x14ac:dyDescent="0.2">
      <c r="A902">
        <v>2387</v>
      </c>
      <c r="B902" t="s">
        <v>221</v>
      </c>
      <c r="C902" t="s">
        <v>222</v>
      </c>
      <c r="D902" t="s">
        <v>13</v>
      </c>
      <c r="E902" t="s">
        <v>223</v>
      </c>
      <c r="F902" t="s">
        <v>224</v>
      </c>
      <c r="G902" t="s">
        <v>225</v>
      </c>
      <c r="H902" t="s">
        <v>1243</v>
      </c>
      <c r="I902" t="b">
        <v>1</v>
      </c>
      <c r="J902">
        <v>278</v>
      </c>
      <c r="K902">
        <v>2388</v>
      </c>
      <c r="L902">
        <v>217</v>
      </c>
      <c r="M902">
        <f>COUNTIF(H902:$H$2581,H902)</f>
        <v>12</v>
      </c>
    </row>
    <row r="903" spans="1:13" x14ac:dyDescent="0.2">
      <c r="A903">
        <v>128</v>
      </c>
      <c r="B903" t="s">
        <v>330</v>
      </c>
      <c r="C903" t="s">
        <v>331</v>
      </c>
      <c r="D903" t="s">
        <v>54</v>
      </c>
      <c r="E903" t="s">
        <v>332</v>
      </c>
      <c r="F903" t="s">
        <v>333</v>
      </c>
      <c r="G903" t="s">
        <v>334</v>
      </c>
      <c r="H903" t="s">
        <v>1243</v>
      </c>
      <c r="I903" t="b">
        <v>0</v>
      </c>
      <c r="J903">
        <v>23</v>
      </c>
      <c r="K903">
        <v>129</v>
      </c>
      <c r="L903">
        <v>1</v>
      </c>
      <c r="M903">
        <f>COUNTIF(H903:$H$2581,H903)</f>
        <v>11</v>
      </c>
    </row>
    <row r="904" spans="1:13" x14ac:dyDescent="0.2">
      <c r="A904">
        <v>179</v>
      </c>
      <c r="B904" t="s">
        <v>557</v>
      </c>
      <c r="C904" t="s">
        <v>558</v>
      </c>
      <c r="D904" t="s">
        <v>13</v>
      </c>
      <c r="E904" t="s">
        <v>559</v>
      </c>
      <c r="F904" t="s">
        <v>560</v>
      </c>
      <c r="G904" t="s">
        <v>561</v>
      </c>
      <c r="H904" t="s">
        <v>1243</v>
      </c>
      <c r="I904" t="s">
        <v>24</v>
      </c>
      <c r="J904">
        <v>34</v>
      </c>
      <c r="K904">
        <v>180</v>
      </c>
      <c r="L904">
        <v>46</v>
      </c>
      <c r="M904">
        <f>COUNTIF(H904:$H$2581,H904)</f>
        <v>10</v>
      </c>
    </row>
    <row r="905" spans="1:13" x14ac:dyDescent="0.2">
      <c r="A905">
        <v>455</v>
      </c>
      <c r="B905" t="s">
        <v>1039</v>
      </c>
      <c r="C905" t="s">
        <v>1040</v>
      </c>
      <c r="D905" t="s">
        <v>54</v>
      </c>
      <c r="E905" t="s">
        <v>1041</v>
      </c>
      <c r="F905" t="s">
        <v>1042</v>
      </c>
      <c r="G905" t="s">
        <v>1043</v>
      </c>
      <c r="H905" t="s">
        <v>1243</v>
      </c>
      <c r="I905" t="s">
        <v>24</v>
      </c>
      <c r="J905">
        <v>65</v>
      </c>
      <c r="K905">
        <v>456</v>
      </c>
      <c r="L905">
        <v>203</v>
      </c>
      <c r="M905">
        <f>COUNTIF(H905:$H$2581,H905)</f>
        <v>9</v>
      </c>
    </row>
    <row r="906" spans="1:13" x14ac:dyDescent="0.2">
      <c r="A906">
        <v>2006</v>
      </c>
      <c r="B906" t="s">
        <v>444</v>
      </c>
      <c r="C906" t="s">
        <v>1307</v>
      </c>
      <c r="D906" t="s">
        <v>13</v>
      </c>
      <c r="E906" t="s">
        <v>1308</v>
      </c>
      <c r="F906" t="s">
        <v>447</v>
      </c>
      <c r="G906" t="s">
        <v>1309</v>
      </c>
      <c r="H906" t="s">
        <v>1243</v>
      </c>
      <c r="I906" t="s">
        <v>24</v>
      </c>
      <c r="J906">
        <v>233</v>
      </c>
      <c r="K906">
        <v>2007</v>
      </c>
      <c r="L906">
        <v>157</v>
      </c>
      <c r="M906">
        <f>COUNTIF(H906:$H$2581,H906)</f>
        <v>8</v>
      </c>
    </row>
    <row r="907" spans="1:13" x14ac:dyDescent="0.2">
      <c r="A907">
        <v>109</v>
      </c>
      <c r="B907" t="s">
        <v>42</v>
      </c>
      <c r="C907" t="s">
        <v>1372</v>
      </c>
      <c r="D907" t="s">
        <v>54</v>
      </c>
      <c r="E907" t="s">
        <v>1373</v>
      </c>
      <c r="F907" t="s">
        <v>45</v>
      </c>
      <c r="G907" t="s">
        <v>1374</v>
      </c>
      <c r="H907" t="s">
        <v>1243</v>
      </c>
      <c r="I907" t="b">
        <v>1</v>
      </c>
      <c r="J907">
        <v>19</v>
      </c>
      <c r="K907">
        <v>110</v>
      </c>
      <c r="L907">
        <v>37</v>
      </c>
      <c r="M907">
        <f>COUNTIF(H907:$H$2581,H907)</f>
        <v>7</v>
      </c>
    </row>
    <row r="908" spans="1:13" x14ac:dyDescent="0.2">
      <c r="A908">
        <v>1705</v>
      </c>
      <c r="B908" t="s">
        <v>725</v>
      </c>
      <c r="C908" t="s">
        <v>1787</v>
      </c>
      <c r="D908" t="s">
        <v>54</v>
      </c>
      <c r="E908" t="s">
        <v>1788</v>
      </c>
      <c r="F908" t="s">
        <v>728</v>
      </c>
      <c r="G908" t="s">
        <v>1789</v>
      </c>
      <c r="H908" t="s">
        <v>1243</v>
      </c>
      <c r="I908" t="b">
        <v>1</v>
      </c>
      <c r="J908">
        <v>205</v>
      </c>
      <c r="K908">
        <v>1706</v>
      </c>
      <c r="L908">
        <v>84</v>
      </c>
      <c r="M908">
        <f>COUNTIF(H908:$H$2581,H908)</f>
        <v>6</v>
      </c>
    </row>
    <row r="909" spans="1:13" x14ac:dyDescent="0.2">
      <c r="A909">
        <v>2162</v>
      </c>
      <c r="B909" t="s">
        <v>471</v>
      </c>
      <c r="C909" t="s">
        <v>1978</v>
      </c>
      <c r="D909" t="s">
        <v>13</v>
      </c>
      <c r="E909" t="s">
        <v>1979</v>
      </c>
      <c r="F909" t="s">
        <v>474</v>
      </c>
      <c r="G909" t="s">
        <v>1980</v>
      </c>
      <c r="H909" t="s">
        <v>1243</v>
      </c>
      <c r="I909" t="s">
        <v>24</v>
      </c>
      <c r="J909">
        <v>253</v>
      </c>
      <c r="K909">
        <v>2163</v>
      </c>
      <c r="L909">
        <v>10</v>
      </c>
      <c r="M909">
        <f>COUNTIF(H909:$H$2581,H909)</f>
        <v>5</v>
      </c>
    </row>
    <row r="910" spans="1:13" x14ac:dyDescent="0.2">
      <c r="A910">
        <v>456</v>
      </c>
      <c r="B910" t="s">
        <v>1039</v>
      </c>
      <c r="C910" t="s">
        <v>2171</v>
      </c>
      <c r="D910" t="s">
        <v>54</v>
      </c>
      <c r="E910" t="s">
        <v>2172</v>
      </c>
      <c r="F910" t="s">
        <v>1042</v>
      </c>
      <c r="G910" t="s">
        <v>2173</v>
      </c>
      <c r="H910" t="s">
        <v>1243</v>
      </c>
      <c r="I910" t="s">
        <v>24</v>
      </c>
      <c r="J910">
        <v>65</v>
      </c>
      <c r="K910">
        <v>457</v>
      </c>
      <c r="L910">
        <v>204</v>
      </c>
      <c r="M910">
        <f>COUNTIF(H910:$H$2581,H910)</f>
        <v>4</v>
      </c>
    </row>
    <row r="911" spans="1:13" x14ac:dyDescent="0.2">
      <c r="A911">
        <v>777</v>
      </c>
      <c r="B911" t="s">
        <v>111</v>
      </c>
      <c r="C911" t="s">
        <v>568</v>
      </c>
      <c r="D911" t="s">
        <v>54</v>
      </c>
      <c r="E911" t="s">
        <v>2228</v>
      </c>
      <c r="F911" t="s">
        <v>114</v>
      </c>
      <c r="G911" t="s">
        <v>2229</v>
      </c>
      <c r="H911" t="s">
        <v>1243</v>
      </c>
      <c r="I911" t="s">
        <v>24</v>
      </c>
      <c r="J911">
        <v>110</v>
      </c>
      <c r="K911">
        <v>778</v>
      </c>
      <c r="L911">
        <v>289</v>
      </c>
      <c r="M911">
        <f>COUNTIF(H911:$H$2581,H911)</f>
        <v>3</v>
      </c>
    </row>
    <row r="912" spans="1:13" x14ac:dyDescent="0.2">
      <c r="A912">
        <v>1708</v>
      </c>
      <c r="B912" t="s">
        <v>725</v>
      </c>
      <c r="C912" t="s">
        <v>2298</v>
      </c>
      <c r="D912" t="s">
        <v>54</v>
      </c>
      <c r="E912" t="s">
        <v>2299</v>
      </c>
      <c r="F912" t="s">
        <v>728</v>
      </c>
      <c r="G912" t="s">
        <v>2300</v>
      </c>
      <c r="H912" t="s">
        <v>1243</v>
      </c>
      <c r="I912" t="b">
        <v>1</v>
      </c>
      <c r="J912">
        <v>205</v>
      </c>
      <c r="K912">
        <v>1709</v>
      </c>
      <c r="L912">
        <v>120</v>
      </c>
      <c r="M912">
        <f>COUNTIF(H912:$H$2581,H912)</f>
        <v>2</v>
      </c>
    </row>
    <row r="913" spans="1:13" x14ac:dyDescent="0.2">
      <c r="A913">
        <v>1926</v>
      </c>
      <c r="B913" t="s">
        <v>439</v>
      </c>
      <c r="C913" t="s">
        <v>2390</v>
      </c>
      <c r="D913" t="s">
        <v>54</v>
      </c>
      <c r="E913" t="s">
        <v>2391</v>
      </c>
      <c r="F913" t="s">
        <v>442</v>
      </c>
      <c r="G913" t="s">
        <v>2392</v>
      </c>
      <c r="H913" t="s">
        <v>1243</v>
      </c>
      <c r="I913" t="b">
        <v>0</v>
      </c>
      <c r="J913">
        <v>224</v>
      </c>
      <c r="K913">
        <v>1927</v>
      </c>
      <c r="L913">
        <v>121</v>
      </c>
      <c r="M913">
        <f>COUNTIF(H913:$H$2581,H913)</f>
        <v>1</v>
      </c>
    </row>
    <row r="914" spans="1:13" x14ac:dyDescent="0.2">
      <c r="A914">
        <v>19</v>
      </c>
      <c r="B914" t="s">
        <v>2448</v>
      </c>
      <c r="C914" t="s">
        <v>2449</v>
      </c>
      <c r="D914" t="s">
        <v>33</v>
      </c>
      <c r="E914" t="s">
        <v>2450</v>
      </c>
      <c r="F914" t="s">
        <v>2451</v>
      </c>
      <c r="G914" t="s">
        <v>2452</v>
      </c>
      <c r="H914" t="s">
        <v>1347</v>
      </c>
      <c r="I914" t="s">
        <v>24</v>
      </c>
      <c r="J914">
        <v>6</v>
      </c>
      <c r="K914">
        <v>20</v>
      </c>
      <c r="L914">
        <v>16</v>
      </c>
      <c r="M914">
        <f>COUNTIF(H914:$H$2581,H914)</f>
        <v>3</v>
      </c>
    </row>
    <row r="915" spans="1:13" x14ac:dyDescent="0.2">
      <c r="A915">
        <v>1495</v>
      </c>
      <c r="B915" t="s">
        <v>807</v>
      </c>
      <c r="C915" t="s">
        <v>2830</v>
      </c>
      <c r="D915" t="s">
        <v>54</v>
      </c>
      <c r="E915" t="s">
        <v>2831</v>
      </c>
      <c r="F915" t="s">
        <v>810</v>
      </c>
      <c r="G915" t="s">
        <v>2832</v>
      </c>
      <c r="H915" t="s">
        <v>1347</v>
      </c>
      <c r="I915" t="b">
        <v>1</v>
      </c>
      <c r="J915">
        <v>182</v>
      </c>
      <c r="K915">
        <v>1496</v>
      </c>
      <c r="L915">
        <v>17</v>
      </c>
      <c r="M915">
        <f>COUNTIF(H915:$H$2581,H915)</f>
        <v>2</v>
      </c>
    </row>
    <row r="916" spans="1:13" x14ac:dyDescent="0.2">
      <c r="A916">
        <v>1192</v>
      </c>
      <c r="B916" t="s">
        <v>2485</v>
      </c>
      <c r="C916" t="s">
        <v>2950</v>
      </c>
      <c r="D916" t="s">
        <v>13</v>
      </c>
      <c r="E916" t="s">
        <v>2951</v>
      </c>
      <c r="F916" t="s">
        <v>2488</v>
      </c>
      <c r="G916" t="s">
        <v>2952</v>
      </c>
      <c r="H916" t="s">
        <v>1347</v>
      </c>
      <c r="I916" t="b">
        <v>0</v>
      </c>
      <c r="J916">
        <v>146</v>
      </c>
      <c r="K916">
        <v>1193</v>
      </c>
      <c r="L916">
        <v>100</v>
      </c>
      <c r="M916">
        <f>COUNTIF(H916:$H$2581,H916)</f>
        <v>1</v>
      </c>
    </row>
    <row r="917" spans="1:13" x14ac:dyDescent="0.2">
      <c r="A917">
        <v>1988</v>
      </c>
      <c r="B917" t="s">
        <v>1793</v>
      </c>
      <c r="C917" t="s">
        <v>3293</v>
      </c>
      <c r="D917" t="s">
        <v>13</v>
      </c>
      <c r="E917" t="s">
        <v>3294</v>
      </c>
      <c r="F917" t="s">
        <v>1796</v>
      </c>
      <c r="G917" t="s">
        <v>3295</v>
      </c>
      <c r="H917" t="s">
        <v>1362</v>
      </c>
      <c r="I917" t="b">
        <v>1</v>
      </c>
      <c r="J917">
        <v>230</v>
      </c>
      <c r="K917">
        <v>1989</v>
      </c>
      <c r="L917">
        <v>21</v>
      </c>
      <c r="M917">
        <f>COUNTIF(H917:$H$2581,H917)</f>
        <v>12</v>
      </c>
    </row>
    <row r="918" spans="1:13" x14ac:dyDescent="0.2">
      <c r="A918">
        <v>1182</v>
      </c>
      <c r="B918" t="s">
        <v>1054</v>
      </c>
      <c r="C918" t="s">
        <v>3439</v>
      </c>
      <c r="D918" t="s">
        <v>54</v>
      </c>
      <c r="E918" t="s">
        <v>3440</v>
      </c>
      <c r="F918" t="s">
        <v>1057</v>
      </c>
      <c r="G918" t="s">
        <v>3441</v>
      </c>
      <c r="H918" t="s">
        <v>1362</v>
      </c>
      <c r="I918" t="s">
        <v>24</v>
      </c>
      <c r="J918">
        <v>145</v>
      </c>
      <c r="K918">
        <v>1183</v>
      </c>
      <c r="L918">
        <v>240</v>
      </c>
      <c r="M918">
        <f>COUNTIF(H918:$H$2581,H918)</f>
        <v>11</v>
      </c>
    </row>
    <row r="919" spans="1:13" x14ac:dyDescent="0.2">
      <c r="A919">
        <v>2132</v>
      </c>
      <c r="B919" t="s">
        <v>142</v>
      </c>
      <c r="C919" t="s">
        <v>3616</v>
      </c>
      <c r="D919" t="s">
        <v>54</v>
      </c>
      <c r="E919" t="s">
        <v>3617</v>
      </c>
      <c r="F919" t="s">
        <v>145</v>
      </c>
      <c r="G919" t="s">
        <v>3618</v>
      </c>
      <c r="H919" t="s">
        <v>1362</v>
      </c>
      <c r="I919" t="b">
        <v>1</v>
      </c>
      <c r="J919">
        <v>247</v>
      </c>
      <c r="K919">
        <v>2133</v>
      </c>
      <c r="L919">
        <v>39</v>
      </c>
      <c r="M919">
        <f>COUNTIF(H919:$H$2581,H919)</f>
        <v>10</v>
      </c>
    </row>
    <row r="920" spans="1:13" x14ac:dyDescent="0.2">
      <c r="A920">
        <v>1932</v>
      </c>
      <c r="B920" t="s">
        <v>439</v>
      </c>
      <c r="C920" t="s">
        <v>3756</v>
      </c>
      <c r="D920" t="s">
        <v>33</v>
      </c>
      <c r="E920" t="s">
        <v>3757</v>
      </c>
      <c r="F920" t="s">
        <v>442</v>
      </c>
      <c r="G920" t="s">
        <v>3758</v>
      </c>
      <c r="H920" t="s">
        <v>1362</v>
      </c>
      <c r="I920" t="b">
        <v>0</v>
      </c>
      <c r="J920">
        <v>224</v>
      </c>
      <c r="K920">
        <v>1933</v>
      </c>
      <c r="L920">
        <v>22</v>
      </c>
      <c r="M920">
        <f>COUNTIF(H920:$H$2581,H920)</f>
        <v>9</v>
      </c>
    </row>
    <row r="921" spans="1:13" x14ac:dyDescent="0.2">
      <c r="A921">
        <v>1651</v>
      </c>
      <c r="B921" t="s">
        <v>3361</v>
      </c>
      <c r="C921" t="s">
        <v>3836</v>
      </c>
      <c r="D921" t="s">
        <v>13</v>
      </c>
      <c r="E921" t="s">
        <v>3837</v>
      </c>
      <c r="F921" t="s">
        <v>3364</v>
      </c>
      <c r="G921" t="s">
        <v>3838</v>
      </c>
      <c r="H921" t="s">
        <v>1362</v>
      </c>
      <c r="I921" t="b">
        <v>0</v>
      </c>
      <c r="J921">
        <v>198</v>
      </c>
      <c r="K921">
        <v>1652</v>
      </c>
      <c r="L921">
        <v>270</v>
      </c>
      <c r="M921">
        <f>COUNTIF(H921:$H$2581,H921)</f>
        <v>8</v>
      </c>
    </row>
    <row r="922" spans="1:13" x14ac:dyDescent="0.2">
      <c r="A922">
        <v>817</v>
      </c>
      <c r="B922" t="s">
        <v>594</v>
      </c>
      <c r="C922" t="s">
        <v>3874</v>
      </c>
      <c r="D922" t="s">
        <v>54</v>
      </c>
      <c r="E922" t="s">
        <v>3875</v>
      </c>
      <c r="F922" t="s">
        <v>597</v>
      </c>
      <c r="G922" t="s">
        <v>3876</v>
      </c>
      <c r="H922" t="s">
        <v>1362</v>
      </c>
      <c r="I922" t="b">
        <v>1</v>
      </c>
      <c r="J922">
        <v>114</v>
      </c>
      <c r="K922">
        <v>818</v>
      </c>
      <c r="L922">
        <v>101</v>
      </c>
      <c r="M922">
        <f>COUNTIF(H922:$H$2581,H922)</f>
        <v>7</v>
      </c>
    </row>
    <row r="923" spans="1:13" x14ac:dyDescent="0.2">
      <c r="A923">
        <v>693</v>
      </c>
      <c r="B923" t="s">
        <v>1131</v>
      </c>
      <c r="C923" t="s">
        <v>3961</v>
      </c>
      <c r="D923" t="s">
        <v>33</v>
      </c>
      <c r="E923" t="s">
        <v>3962</v>
      </c>
      <c r="F923" s="1" t="s">
        <v>1134</v>
      </c>
      <c r="G923" t="s">
        <v>3963</v>
      </c>
      <c r="H923" t="s">
        <v>1362</v>
      </c>
      <c r="I923" t="b">
        <v>0</v>
      </c>
      <c r="J923">
        <v>102</v>
      </c>
      <c r="K923">
        <v>694</v>
      </c>
      <c r="L923">
        <v>40</v>
      </c>
      <c r="M923">
        <f>COUNTIF(H923:$H$2581,H923)</f>
        <v>6</v>
      </c>
    </row>
    <row r="924" spans="1:13" x14ac:dyDescent="0.2">
      <c r="A924">
        <v>1713</v>
      </c>
      <c r="B924" t="s">
        <v>725</v>
      </c>
      <c r="C924" t="s">
        <v>4046</v>
      </c>
      <c r="D924" t="s">
        <v>13</v>
      </c>
      <c r="E924" t="s">
        <v>4047</v>
      </c>
      <c r="F924" t="s">
        <v>728</v>
      </c>
      <c r="G924" t="s">
        <v>4048</v>
      </c>
      <c r="H924" t="s">
        <v>1362</v>
      </c>
      <c r="I924" t="b">
        <v>1</v>
      </c>
      <c r="J924">
        <v>205</v>
      </c>
      <c r="K924">
        <v>1714</v>
      </c>
      <c r="L924">
        <v>23</v>
      </c>
      <c r="M924">
        <f>COUNTIF(H924:$H$2581,H924)</f>
        <v>5</v>
      </c>
    </row>
    <row r="925" spans="1:13" x14ac:dyDescent="0.2">
      <c r="A925">
        <v>655</v>
      </c>
      <c r="B925" t="s">
        <v>3995</v>
      </c>
      <c r="C925" t="s">
        <v>4192</v>
      </c>
      <c r="D925" t="s">
        <v>54</v>
      </c>
      <c r="E925" t="s">
        <v>4193</v>
      </c>
      <c r="F925" t="s">
        <v>3998</v>
      </c>
      <c r="G925" t="s">
        <v>4194</v>
      </c>
      <c r="H925" t="s">
        <v>1362</v>
      </c>
      <c r="I925" t="b">
        <v>0</v>
      </c>
      <c r="J925">
        <v>96</v>
      </c>
      <c r="K925">
        <v>656</v>
      </c>
      <c r="L925">
        <v>64</v>
      </c>
      <c r="M925">
        <f>COUNTIF(H925:$H$2581,H925)</f>
        <v>4</v>
      </c>
    </row>
    <row r="926" spans="1:13" x14ac:dyDescent="0.2">
      <c r="A926">
        <v>2366</v>
      </c>
      <c r="B926" t="s">
        <v>1816</v>
      </c>
      <c r="C926" t="s">
        <v>4417</v>
      </c>
      <c r="D926" t="s">
        <v>54</v>
      </c>
      <c r="E926" t="s">
        <v>4608</v>
      </c>
      <c r="F926" t="s">
        <v>1819</v>
      </c>
      <c r="G926" t="s">
        <v>4609</v>
      </c>
      <c r="H926" t="s">
        <v>1362</v>
      </c>
      <c r="I926" t="s">
        <v>24</v>
      </c>
      <c r="J926">
        <v>276</v>
      </c>
      <c r="K926">
        <v>2367</v>
      </c>
      <c r="L926">
        <v>4</v>
      </c>
      <c r="M926">
        <f>COUNTIF(H926:$H$2581,H926)</f>
        <v>3</v>
      </c>
    </row>
    <row r="927" spans="1:13" x14ac:dyDescent="0.2">
      <c r="A927">
        <v>1108</v>
      </c>
      <c r="B927" t="s">
        <v>1103</v>
      </c>
      <c r="C927" t="s">
        <v>4669</v>
      </c>
      <c r="D927" t="s">
        <v>13</v>
      </c>
      <c r="E927" t="s">
        <v>4670</v>
      </c>
      <c r="F927" t="s">
        <v>1106</v>
      </c>
      <c r="G927" t="s">
        <v>4671</v>
      </c>
      <c r="H927" t="s">
        <v>1362</v>
      </c>
      <c r="I927" t="s">
        <v>24</v>
      </c>
      <c r="J927">
        <v>134</v>
      </c>
      <c r="K927">
        <v>1109</v>
      </c>
      <c r="L927">
        <v>33</v>
      </c>
      <c r="M927">
        <f>COUNTIF(H927:$H$2581,H927)</f>
        <v>2</v>
      </c>
    </row>
    <row r="928" spans="1:13" x14ac:dyDescent="0.2">
      <c r="A928">
        <v>996</v>
      </c>
      <c r="B928" t="s">
        <v>1876</v>
      </c>
      <c r="C928" t="s">
        <v>4899</v>
      </c>
      <c r="D928" t="s">
        <v>13</v>
      </c>
      <c r="E928" t="s">
        <v>4900</v>
      </c>
      <c r="F928" t="s">
        <v>1879</v>
      </c>
      <c r="G928" t="s">
        <v>4901</v>
      </c>
      <c r="H928" t="s">
        <v>1362</v>
      </c>
      <c r="I928" t="s">
        <v>24</v>
      </c>
      <c r="J928">
        <v>124</v>
      </c>
      <c r="K928">
        <v>997</v>
      </c>
      <c r="L928">
        <v>34</v>
      </c>
      <c r="M928">
        <f>COUNTIF(H928:$H$2581,H928)</f>
        <v>1</v>
      </c>
    </row>
    <row r="929" spans="1:13" x14ac:dyDescent="0.2">
      <c r="A929">
        <v>1909</v>
      </c>
      <c r="B929" t="s">
        <v>4687</v>
      </c>
      <c r="C929" t="s">
        <v>5010</v>
      </c>
      <c r="D929" t="s">
        <v>54</v>
      </c>
      <c r="E929" t="s">
        <v>5011</v>
      </c>
      <c r="F929" t="s">
        <v>4690</v>
      </c>
      <c r="G929" t="s">
        <v>5012</v>
      </c>
      <c r="H929" t="s">
        <v>1402</v>
      </c>
      <c r="I929" t="s">
        <v>24</v>
      </c>
      <c r="J929">
        <v>223</v>
      </c>
      <c r="K929">
        <v>1910</v>
      </c>
      <c r="L929">
        <v>123</v>
      </c>
      <c r="M929">
        <f>COUNTIF(H929:$H$2581,H929)</f>
        <v>3</v>
      </c>
    </row>
    <row r="930" spans="1:13" x14ac:dyDescent="0.2">
      <c r="A930">
        <v>1738</v>
      </c>
      <c r="B930" t="s">
        <v>1497</v>
      </c>
      <c r="C930" t="s">
        <v>5273</v>
      </c>
      <c r="D930" t="s">
        <v>33</v>
      </c>
      <c r="E930" t="s">
        <v>5274</v>
      </c>
      <c r="F930" t="s">
        <v>1500</v>
      </c>
      <c r="G930" t="s">
        <v>5275</v>
      </c>
      <c r="H930" t="s">
        <v>1402</v>
      </c>
      <c r="I930" t="b">
        <v>0</v>
      </c>
      <c r="J930">
        <v>206</v>
      </c>
      <c r="K930">
        <v>1739</v>
      </c>
      <c r="L930">
        <v>35</v>
      </c>
      <c r="M930">
        <f>COUNTIF(H930:$H$2581,H930)</f>
        <v>2</v>
      </c>
    </row>
    <row r="931" spans="1:13" x14ac:dyDescent="0.2">
      <c r="A931">
        <v>1897</v>
      </c>
      <c r="B931" t="s">
        <v>1485</v>
      </c>
      <c r="C931" t="s">
        <v>5397</v>
      </c>
      <c r="D931" t="s">
        <v>13</v>
      </c>
      <c r="E931" t="s">
        <v>5398</v>
      </c>
      <c r="F931" t="s">
        <v>1488</v>
      </c>
      <c r="G931" t="s">
        <v>5399</v>
      </c>
      <c r="H931" t="s">
        <v>1402</v>
      </c>
      <c r="I931" t="b">
        <v>1</v>
      </c>
      <c r="J931">
        <v>220</v>
      </c>
      <c r="K931">
        <v>1898</v>
      </c>
      <c r="L931">
        <v>24</v>
      </c>
      <c r="M931">
        <f>COUNTIF(H931:$H$2581,H931)</f>
        <v>1</v>
      </c>
    </row>
    <row r="932" spans="1:13" x14ac:dyDescent="0.2">
      <c r="A932">
        <v>1468</v>
      </c>
      <c r="B932" t="s">
        <v>736</v>
      </c>
      <c r="C932" t="s">
        <v>5445</v>
      </c>
      <c r="D932" t="s">
        <v>13</v>
      </c>
      <c r="E932" t="s">
        <v>5446</v>
      </c>
      <c r="F932" t="s">
        <v>739</v>
      </c>
      <c r="G932" t="s">
        <v>5447</v>
      </c>
      <c r="H932" t="s">
        <v>1455</v>
      </c>
      <c r="I932" t="s">
        <v>24</v>
      </c>
      <c r="J932">
        <v>178</v>
      </c>
      <c r="K932">
        <v>1469</v>
      </c>
      <c r="L932">
        <v>12</v>
      </c>
      <c r="M932">
        <f>COUNTIF(H932:$H$2581,H932)</f>
        <v>4</v>
      </c>
    </row>
    <row r="933" spans="1:13" x14ac:dyDescent="0.2">
      <c r="A933">
        <v>1940</v>
      </c>
      <c r="B933" t="s">
        <v>439</v>
      </c>
      <c r="C933" t="s">
        <v>5533</v>
      </c>
      <c r="D933" t="s">
        <v>13</v>
      </c>
      <c r="E933" t="s">
        <v>5534</v>
      </c>
      <c r="F933" t="s">
        <v>442</v>
      </c>
      <c r="G933" t="s">
        <v>5535</v>
      </c>
      <c r="H933" t="s">
        <v>1455</v>
      </c>
      <c r="I933" t="b">
        <v>0</v>
      </c>
      <c r="J933">
        <v>224</v>
      </c>
      <c r="K933">
        <v>1941</v>
      </c>
      <c r="L933">
        <v>13</v>
      </c>
      <c r="M933">
        <f>COUNTIF(H933:$H$2581,H933)</f>
        <v>3</v>
      </c>
    </row>
    <row r="934" spans="1:13" x14ac:dyDescent="0.2">
      <c r="A934">
        <v>1939</v>
      </c>
      <c r="B934" t="s">
        <v>439</v>
      </c>
      <c r="C934" t="s">
        <v>5618</v>
      </c>
      <c r="D934" t="s">
        <v>54</v>
      </c>
      <c r="E934" t="s">
        <v>5619</v>
      </c>
      <c r="F934" t="s">
        <v>442</v>
      </c>
      <c r="G934" t="s">
        <v>5620</v>
      </c>
      <c r="H934" t="s">
        <v>1455</v>
      </c>
      <c r="I934" t="b">
        <v>0</v>
      </c>
      <c r="J934">
        <v>224</v>
      </c>
      <c r="K934">
        <v>1940</v>
      </c>
      <c r="L934">
        <v>50</v>
      </c>
      <c r="M934">
        <f>COUNTIF(H934:$H$2581,H934)</f>
        <v>2</v>
      </c>
    </row>
    <row r="935" spans="1:13" x14ac:dyDescent="0.2">
      <c r="A935">
        <v>2081</v>
      </c>
      <c r="B935" t="s">
        <v>1970</v>
      </c>
      <c r="C935" t="s">
        <v>5802</v>
      </c>
      <c r="D935" t="s">
        <v>54</v>
      </c>
      <c r="E935" t="s">
        <v>5803</v>
      </c>
      <c r="F935" t="s">
        <v>1973</v>
      </c>
      <c r="G935" t="s">
        <v>5804</v>
      </c>
      <c r="H935" t="s">
        <v>1455</v>
      </c>
      <c r="I935" t="s">
        <v>24</v>
      </c>
      <c r="J935">
        <v>241</v>
      </c>
      <c r="K935">
        <v>2082</v>
      </c>
      <c r="L935">
        <v>25</v>
      </c>
      <c r="M935">
        <f>COUNTIF(H935:$H$2581,H935)</f>
        <v>1</v>
      </c>
    </row>
    <row r="936" spans="1:13" x14ac:dyDescent="0.2">
      <c r="A936">
        <v>2034</v>
      </c>
      <c r="B936" t="s">
        <v>1019</v>
      </c>
      <c r="C936" t="s">
        <v>5961</v>
      </c>
      <c r="D936" t="s">
        <v>33</v>
      </c>
      <c r="E936" t="s">
        <v>5962</v>
      </c>
      <c r="F936" t="s">
        <v>1022</v>
      </c>
      <c r="G936" t="s">
        <v>5963</v>
      </c>
      <c r="H936" t="s">
        <v>1481</v>
      </c>
      <c r="I936" t="b">
        <v>0</v>
      </c>
      <c r="J936">
        <v>236</v>
      </c>
      <c r="K936">
        <v>2035</v>
      </c>
      <c r="L936">
        <v>124</v>
      </c>
      <c r="M936">
        <f>COUNTIF(H936:$H$2581,H936)</f>
        <v>1</v>
      </c>
    </row>
    <row r="937" spans="1:13" x14ac:dyDescent="0.2">
      <c r="A937">
        <v>1336</v>
      </c>
      <c r="B937" t="s">
        <v>2235</v>
      </c>
      <c r="C937" t="s">
        <v>6167</v>
      </c>
      <c r="D937" t="s">
        <v>54</v>
      </c>
      <c r="E937" t="s">
        <v>6168</v>
      </c>
      <c r="F937" t="s">
        <v>2238</v>
      </c>
      <c r="G937" t="s">
        <v>6169</v>
      </c>
      <c r="H937" t="s">
        <v>1508</v>
      </c>
      <c r="I937" t="b">
        <v>0</v>
      </c>
      <c r="J937">
        <v>163</v>
      </c>
      <c r="K937">
        <v>1337</v>
      </c>
      <c r="L937">
        <v>167</v>
      </c>
      <c r="M937">
        <f>COUNTIF(H937:$H$2581,H937)</f>
        <v>2</v>
      </c>
    </row>
    <row r="938" spans="1:13" x14ac:dyDescent="0.2">
      <c r="A938">
        <v>2128</v>
      </c>
      <c r="B938" t="s">
        <v>581</v>
      </c>
      <c r="C938" t="s">
        <v>6309</v>
      </c>
      <c r="D938" t="s">
        <v>54</v>
      </c>
      <c r="E938" t="s">
        <v>6310</v>
      </c>
      <c r="F938" s="1" t="s">
        <v>584</v>
      </c>
      <c r="G938" t="s">
        <v>6311</v>
      </c>
      <c r="H938" t="s">
        <v>1508</v>
      </c>
      <c r="I938" t="b">
        <v>1</v>
      </c>
      <c r="J938">
        <v>246</v>
      </c>
      <c r="K938">
        <v>2129</v>
      </c>
      <c r="L938">
        <v>9</v>
      </c>
      <c r="M938">
        <f>COUNTIF(H938:$H$2581,H938)</f>
        <v>1</v>
      </c>
    </row>
    <row r="939" spans="1:13" x14ac:dyDescent="0.2">
      <c r="A939">
        <v>1635</v>
      </c>
      <c r="B939" t="s">
        <v>720</v>
      </c>
      <c r="C939" t="s">
        <v>6414</v>
      </c>
      <c r="D939" t="s">
        <v>54</v>
      </c>
      <c r="E939" t="s">
        <v>6415</v>
      </c>
      <c r="F939" t="s">
        <v>723</v>
      </c>
      <c r="G939" t="s">
        <v>6416</v>
      </c>
      <c r="H939" t="s">
        <v>1536</v>
      </c>
      <c r="I939" t="b">
        <v>1</v>
      </c>
      <c r="J939">
        <v>197</v>
      </c>
      <c r="K939">
        <v>1636</v>
      </c>
      <c r="L939">
        <v>161</v>
      </c>
      <c r="M939">
        <f>COUNTIF(H939:$H$2581,H939)</f>
        <v>1</v>
      </c>
    </row>
    <row r="940" spans="1:13" x14ac:dyDescent="0.2">
      <c r="A940">
        <v>2020</v>
      </c>
      <c r="B940" t="s">
        <v>444</v>
      </c>
      <c r="C940" t="s">
        <v>6642</v>
      </c>
      <c r="D940" t="s">
        <v>13</v>
      </c>
      <c r="E940" t="s">
        <v>6643</v>
      </c>
      <c r="F940" t="s">
        <v>447</v>
      </c>
      <c r="G940" t="s">
        <v>6644</v>
      </c>
      <c r="H940" t="s">
        <v>1546</v>
      </c>
      <c r="I940" t="s">
        <v>24</v>
      </c>
      <c r="J940">
        <v>233</v>
      </c>
      <c r="K940">
        <v>2021</v>
      </c>
      <c r="L940">
        <v>7</v>
      </c>
      <c r="M940">
        <f>COUNTIF(H940:$H$2581,H940)</f>
        <v>5</v>
      </c>
    </row>
    <row r="941" spans="1:13" x14ac:dyDescent="0.2">
      <c r="A941">
        <v>1339</v>
      </c>
      <c r="B941" t="s">
        <v>2235</v>
      </c>
      <c r="C941" t="s">
        <v>6786</v>
      </c>
      <c r="D941" t="s">
        <v>33</v>
      </c>
      <c r="E941" t="s">
        <v>6787</v>
      </c>
      <c r="F941" t="s">
        <v>2238</v>
      </c>
      <c r="G941" t="s">
        <v>6788</v>
      </c>
      <c r="H941" t="s">
        <v>1546</v>
      </c>
      <c r="I941" t="b">
        <v>0</v>
      </c>
      <c r="J941">
        <v>163</v>
      </c>
      <c r="K941">
        <v>1340</v>
      </c>
      <c r="L941">
        <v>106</v>
      </c>
      <c r="M941">
        <f>COUNTIF(H941:$H$2581,H941)</f>
        <v>4</v>
      </c>
    </row>
    <row r="942" spans="1:13" x14ac:dyDescent="0.2">
      <c r="A942">
        <v>1943</v>
      </c>
      <c r="B942" t="s">
        <v>439</v>
      </c>
      <c r="C942" t="s">
        <v>6889</v>
      </c>
      <c r="D942" t="s">
        <v>13</v>
      </c>
      <c r="E942" t="s">
        <v>6890</v>
      </c>
      <c r="F942" t="s">
        <v>442</v>
      </c>
      <c r="G942" t="s">
        <v>6891</v>
      </c>
      <c r="H942" t="s">
        <v>1546</v>
      </c>
      <c r="I942" t="b">
        <v>0</v>
      </c>
      <c r="J942">
        <v>224</v>
      </c>
      <c r="K942">
        <v>1944</v>
      </c>
      <c r="L942">
        <v>125</v>
      </c>
      <c r="M942">
        <f>COUNTIF(H942:$H$2581,H942)</f>
        <v>3</v>
      </c>
    </row>
    <row r="943" spans="1:13" x14ac:dyDescent="0.2">
      <c r="A943">
        <v>866</v>
      </c>
      <c r="B943" t="s">
        <v>1091</v>
      </c>
      <c r="C943" t="s">
        <v>6983</v>
      </c>
      <c r="D943" t="s">
        <v>54</v>
      </c>
      <c r="E943" t="s">
        <v>6984</v>
      </c>
      <c r="F943" t="s">
        <v>1094</v>
      </c>
      <c r="G943" t="s">
        <v>6985</v>
      </c>
      <c r="H943" t="s">
        <v>1546</v>
      </c>
      <c r="I943" t="b">
        <v>1</v>
      </c>
      <c r="J943">
        <v>118</v>
      </c>
      <c r="K943">
        <v>867</v>
      </c>
      <c r="L943">
        <v>107</v>
      </c>
      <c r="M943">
        <f>COUNTIF(H943:$H$2581,H943)</f>
        <v>2</v>
      </c>
    </row>
    <row r="944" spans="1:13" x14ac:dyDescent="0.2">
      <c r="A944">
        <v>1992</v>
      </c>
      <c r="B944" t="s">
        <v>1793</v>
      </c>
      <c r="C944" t="s">
        <v>7100</v>
      </c>
      <c r="D944" t="s">
        <v>13</v>
      </c>
      <c r="E944" t="s">
        <v>7101</v>
      </c>
      <c r="F944" t="s">
        <v>1796</v>
      </c>
      <c r="G944" t="s">
        <v>7102</v>
      </c>
      <c r="H944" t="s">
        <v>1546</v>
      </c>
      <c r="I944" t="b">
        <v>1</v>
      </c>
      <c r="J944">
        <v>230</v>
      </c>
      <c r="K944">
        <v>1993</v>
      </c>
      <c r="L944">
        <v>14</v>
      </c>
      <c r="M944">
        <f>COUNTIF(H944:$H$2581,H944)</f>
        <v>1</v>
      </c>
    </row>
    <row r="945" spans="1:13" x14ac:dyDescent="0.2">
      <c r="A945">
        <v>867</v>
      </c>
      <c r="B945" t="s">
        <v>1091</v>
      </c>
      <c r="C945" t="s">
        <v>7147</v>
      </c>
      <c r="D945" t="s">
        <v>13</v>
      </c>
      <c r="E945" t="s">
        <v>7148</v>
      </c>
      <c r="F945" t="s">
        <v>1094</v>
      </c>
      <c r="G945" t="s">
        <v>7149</v>
      </c>
      <c r="H945" t="s">
        <v>1585</v>
      </c>
      <c r="I945" t="b">
        <v>1</v>
      </c>
      <c r="J945">
        <v>118</v>
      </c>
      <c r="K945">
        <v>868</v>
      </c>
      <c r="L945">
        <v>281</v>
      </c>
      <c r="M945">
        <f>COUNTIF(H945:$H$2581,H945)</f>
        <v>3</v>
      </c>
    </row>
    <row r="946" spans="1:13" x14ac:dyDescent="0.2">
      <c r="A946">
        <v>1048</v>
      </c>
      <c r="B946" t="s">
        <v>1456</v>
      </c>
      <c r="C946" t="s">
        <v>7194</v>
      </c>
      <c r="D946" t="s">
        <v>13</v>
      </c>
      <c r="E946" t="s">
        <v>7195</v>
      </c>
      <c r="F946" t="s">
        <v>1459</v>
      </c>
      <c r="G946" t="s">
        <v>7196</v>
      </c>
      <c r="H946" t="s">
        <v>1585</v>
      </c>
      <c r="I946" t="s">
        <v>24</v>
      </c>
      <c r="J946">
        <v>130</v>
      </c>
      <c r="K946">
        <v>1049</v>
      </c>
      <c r="L946">
        <v>362</v>
      </c>
      <c r="M946">
        <f>COUNTIF(H946:$H$2581,H946)</f>
        <v>2</v>
      </c>
    </row>
    <row r="947" spans="1:13" x14ac:dyDescent="0.2">
      <c r="A947">
        <v>1373</v>
      </c>
      <c r="B947" t="s">
        <v>603</v>
      </c>
      <c r="C947" t="s">
        <v>7378</v>
      </c>
      <c r="D947" t="s">
        <v>54</v>
      </c>
      <c r="E947" t="s">
        <v>7379</v>
      </c>
      <c r="F947" t="s">
        <v>606</v>
      </c>
      <c r="G947" t="s">
        <v>7380</v>
      </c>
      <c r="H947" t="s">
        <v>1585</v>
      </c>
      <c r="I947" t="s">
        <v>24</v>
      </c>
      <c r="J947">
        <v>166</v>
      </c>
      <c r="K947">
        <v>1374</v>
      </c>
      <c r="L947">
        <v>250</v>
      </c>
      <c r="M947">
        <f>COUNTIF(H947:$H$2581,H947)</f>
        <v>1</v>
      </c>
    </row>
    <row r="948" spans="1:13" x14ac:dyDescent="0.2">
      <c r="A948">
        <v>144</v>
      </c>
      <c r="B948" t="s">
        <v>546</v>
      </c>
      <c r="C948" t="s">
        <v>7448</v>
      </c>
      <c r="D948" t="s">
        <v>13</v>
      </c>
      <c r="E948" t="s">
        <v>7449</v>
      </c>
      <c r="F948" t="s">
        <v>549</v>
      </c>
      <c r="G948" t="s">
        <v>7450</v>
      </c>
      <c r="H948" t="s">
        <v>1608</v>
      </c>
      <c r="I948" t="s">
        <v>24</v>
      </c>
      <c r="J948">
        <v>26</v>
      </c>
      <c r="K948">
        <v>145</v>
      </c>
      <c r="L948">
        <v>53</v>
      </c>
      <c r="M948">
        <f>COUNTIF(H948:$H$2581,H948)</f>
        <v>7</v>
      </c>
    </row>
    <row r="949" spans="1:13" x14ac:dyDescent="0.2">
      <c r="A949">
        <v>983</v>
      </c>
      <c r="B949" t="s">
        <v>203</v>
      </c>
      <c r="C949" t="s">
        <v>7479</v>
      </c>
      <c r="D949" t="s">
        <v>54</v>
      </c>
      <c r="E949" t="s">
        <v>7480</v>
      </c>
      <c r="F949" t="s">
        <v>206</v>
      </c>
      <c r="G949" t="s">
        <v>7481</v>
      </c>
      <c r="H949" t="s">
        <v>1608</v>
      </c>
      <c r="I949" t="b">
        <v>1</v>
      </c>
      <c r="J949">
        <v>123</v>
      </c>
      <c r="K949">
        <v>984</v>
      </c>
      <c r="L949">
        <v>251</v>
      </c>
      <c r="M949">
        <f>COUNTIF(H949:$H$2581,H949)</f>
        <v>6</v>
      </c>
    </row>
    <row r="950" spans="1:13" x14ac:dyDescent="0.2">
      <c r="A950">
        <v>1067</v>
      </c>
      <c r="B950" t="s">
        <v>1884</v>
      </c>
      <c r="C950" t="s">
        <v>7516</v>
      </c>
      <c r="D950" t="s">
        <v>13</v>
      </c>
      <c r="E950" t="s">
        <v>7517</v>
      </c>
      <c r="F950" t="s">
        <v>1887</v>
      </c>
      <c r="G950" t="s">
        <v>7518</v>
      </c>
      <c r="H950" t="s">
        <v>1608</v>
      </c>
      <c r="I950" t="s">
        <v>24</v>
      </c>
      <c r="J950">
        <v>131</v>
      </c>
      <c r="K950">
        <v>1068</v>
      </c>
      <c r="L950">
        <v>26</v>
      </c>
      <c r="M950">
        <f>COUNTIF(H950:$H$2581,H950)</f>
        <v>5</v>
      </c>
    </row>
    <row r="951" spans="1:13" x14ac:dyDescent="0.2">
      <c r="A951">
        <v>507</v>
      </c>
      <c r="B951" t="s">
        <v>2129</v>
      </c>
      <c r="C951" t="s">
        <v>7554</v>
      </c>
      <c r="D951" t="s">
        <v>54</v>
      </c>
      <c r="E951" t="s">
        <v>7555</v>
      </c>
      <c r="F951" t="s">
        <v>2132</v>
      </c>
      <c r="G951" t="s">
        <v>7556</v>
      </c>
      <c r="H951" t="s">
        <v>1608</v>
      </c>
      <c r="I951" t="b">
        <v>0</v>
      </c>
      <c r="J951">
        <v>72</v>
      </c>
      <c r="K951">
        <v>508</v>
      </c>
      <c r="L951">
        <v>118</v>
      </c>
      <c r="M951">
        <f>COUNTIF(H951:$H$2581,H951)</f>
        <v>4</v>
      </c>
    </row>
    <row r="952" spans="1:13" x14ac:dyDescent="0.2">
      <c r="A952">
        <v>453</v>
      </c>
      <c r="B952" t="s">
        <v>778</v>
      </c>
      <c r="C952" t="s">
        <v>7693</v>
      </c>
      <c r="D952" t="s">
        <v>54</v>
      </c>
      <c r="E952" t="s">
        <v>7694</v>
      </c>
      <c r="F952" t="s">
        <v>781</v>
      </c>
      <c r="G952" t="s">
        <v>7695</v>
      </c>
      <c r="H952" t="s">
        <v>1608</v>
      </c>
      <c r="I952" t="b">
        <v>0</v>
      </c>
      <c r="J952">
        <v>64</v>
      </c>
      <c r="K952">
        <v>454</v>
      </c>
      <c r="L952">
        <v>54</v>
      </c>
      <c r="M952">
        <f>COUNTIF(H952:$H$2581,H952)</f>
        <v>3</v>
      </c>
    </row>
    <row r="953" spans="1:13" x14ac:dyDescent="0.2">
      <c r="A953">
        <v>2046</v>
      </c>
      <c r="B953" t="s">
        <v>1313</v>
      </c>
      <c r="C953" t="s">
        <v>7834</v>
      </c>
      <c r="D953" t="s">
        <v>13</v>
      </c>
      <c r="E953" t="s">
        <v>7835</v>
      </c>
      <c r="F953" t="s">
        <v>1316</v>
      </c>
      <c r="G953" t="s">
        <v>7836</v>
      </c>
      <c r="H953" t="s">
        <v>1608</v>
      </c>
      <c r="I953" t="s">
        <v>24</v>
      </c>
      <c r="J953">
        <v>238</v>
      </c>
      <c r="K953">
        <v>2047</v>
      </c>
      <c r="L953">
        <v>27</v>
      </c>
      <c r="M953">
        <f>COUNTIF(H953:$H$2581,H953)</f>
        <v>2</v>
      </c>
    </row>
    <row r="954" spans="1:13" x14ac:dyDescent="0.2">
      <c r="A954">
        <v>1612</v>
      </c>
      <c r="B954" t="s">
        <v>1548</v>
      </c>
      <c r="C954" t="s">
        <v>7919</v>
      </c>
      <c r="D954" t="s">
        <v>33</v>
      </c>
      <c r="E954" t="s">
        <v>7920</v>
      </c>
      <c r="F954" t="s">
        <v>1551</v>
      </c>
      <c r="G954" t="s">
        <v>7921</v>
      </c>
      <c r="H954" t="s">
        <v>1608</v>
      </c>
      <c r="I954" t="b">
        <v>0</v>
      </c>
      <c r="J954">
        <v>196</v>
      </c>
      <c r="K954">
        <v>1613</v>
      </c>
      <c r="L954">
        <v>183</v>
      </c>
      <c r="M954">
        <f>COUNTIF(H954:$H$2581,H954)</f>
        <v>1</v>
      </c>
    </row>
    <row r="955" spans="1:13" x14ac:dyDescent="0.2">
      <c r="A955">
        <v>984</v>
      </c>
      <c r="B955" t="s">
        <v>203</v>
      </c>
      <c r="C955" t="s">
        <v>7971</v>
      </c>
      <c r="D955" t="s">
        <v>13</v>
      </c>
      <c r="E955" t="s">
        <v>7972</v>
      </c>
      <c r="F955" t="s">
        <v>206</v>
      </c>
      <c r="G955" t="s">
        <v>7973</v>
      </c>
      <c r="H955" t="s">
        <v>1643</v>
      </c>
      <c r="I955" t="b">
        <v>1</v>
      </c>
      <c r="J955">
        <v>123</v>
      </c>
      <c r="K955">
        <v>985</v>
      </c>
      <c r="L955">
        <v>284</v>
      </c>
      <c r="M955">
        <f>COUNTIF(H955:$H$2581,H955)</f>
        <v>1</v>
      </c>
    </row>
    <row r="956" spans="1:13" x14ac:dyDescent="0.2">
      <c r="A956">
        <v>1565</v>
      </c>
      <c r="B956" t="s">
        <v>519</v>
      </c>
      <c r="C956" t="s">
        <v>8040</v>
      </c>
      <c r="D956" t="s">
        <v>33</v>
      </c>
      <c r="E956" t="s">
        <v>8041</v>
      </c>
      <c r="F956" t="s">
        <v>522</v>
      </c>
      <c r="G956" t="s">
        <v>8042</v>
      </c>
      <c r="H956" t="s">
        <v>1720</v>
      </c>
      <c r="I956" t="b">
        <v>0</v>
      </c>
      <c r="J956">
        <v>191</v>
      </c>
      <c r="K956">
        <v>1566</v>
      </c>
      <c r="L956">
        <v>128</v>
      </c>
      <c r="M956">
        <f>COUNTIF(H956:$H$2581,H956)</f>
        <v>2</v>
      </c>
    </row>
    <row r="957" spans="1:13" x14ac:dyDescent="0.2">
      <c r="A957">
        <v>883</v>
      </c>
      <c r="B957" t="s">
        <v>1192</v>
      </c>
      <c r="C957" t="s">
        <v>8106</v>
      </c>
      <c r="D957" t="s">
        <v>54</v>
      </c>
      <c r="E957" t="s">
        <v>8107</v>
      </c>
      <c r="F957" t="s">
        <v>1195</v>
      </c>
      <c r="G957" t="s">
        <v>8108</v>
      </c>
      <c r="H957" t="s">
        <v>1720</v>
      </c>
      <c r="I957" t="s">
        <v>24</v>
      </c>
      <c r="J957">
        <v>119</v>
      </c>
      <c r="K957">
        <v>884</v>
      </c>
      <c r="L957">
        <v>29</v>
      </c>
      <c r="M957">
        <f>COUNTIF(H957:$H$2581,H957)</f>
        <v>1</v>
      </c>
    </row>
    <row r="958" spans="1:13" x14ac:dyDescent="0.2">
      <c r="A958">
        <v>1899</v>
      </c>
      <c r="B958" t="s">
        <v>1485</v>
      </c>
      <c r="C958" t="s">
        <v>8216</v>
      </c>
      <c r="D958" t="s">
        <v>13</v>
      </c>
      <c r="E958" t="s">
        <v>8217</v>
      </c>
      <c r="F958" t="s">
        <v>1488</v>
      </c>
      <c r="G958" t="s">
        <v>8218</v>
      </c>
      <c r="H958" t="s">
        <v>1734</v>
      </c>
      <c r="I958" t="b">
        <v>1</v>
      </c>
      <c r="J958">
        <v>220</v>
      </c>
      <c r="K958">
        <v>1900</v>
      </c>
      <c r="L958">
        <v>30</v>
      </c>
      <c r="M958">
        <f>COUNTIF(H958:$H$2581,H958)</f>
        <v>25</v>
      </c>
    </row>
    <row r="959" spans="1:13" x14ac:dyDescent="0.2">
      <c r="A959">
        <v>178</v>
      </c>
      <c r="B959" t="s">
        <v>78</v>
      </c>
      <c r="C959" t="s">
        <v>8320</v>
      </c>
      <c r="D959" t="s">
        <v>54</v>
      </c>
      <c r="E959" t="s">
        <v>8321</v>
      </c>
      <c r="F959" t="s">
        <v>81</v>
      </c>
      <c r="G959" t="s">
        <v>8322</v>
      </c>
      <c r="H959" t="s">
        <v>1734</v>
      </c>
      <c r="I959" t="b">
        <v>1</v>
      </c>
      <c r="J959">
        <v>33</v>
      </c>
      <c r="K959">
        <v>179</v>
      </c>
      <c r="L959">
        <v>42</v>
      </c>
      <c r="M959">
        <f>COUNTIF(H959:$H$2581,H959)</f>
        <v>24</v>
      </c>
    </row>
    <row r="960" spans="1:13" x14ac:dyDescent="0.2">
      <c r="A960">
        <v>1889</v>
      </c>
      <c r="B960" t="s">
        <v>619</v>
      </c>
      <c r="C960" t="s">
        <v>8588</v>
      </c>
      <c r="D960" t="s">
        <v>13</v>
      </c>
      <c r="E960" t="s">
        <v>8589</v>
      </c>
      <c r="F960" t="s">
        <v>622</v>
      </c>
      <c r="G960" t="s">
        <v>8590</v>
      </c>
      <c r="H960" t="s">
        <v>1734</v>
      </c>
      <c r="I960" t="b">
        <v>1</v>
      </c>
      <c r="J960">
        <v>219</v>
      </c>
      <c r="K960">
        <v>1890</v>
      </c>
      <c r="L960">
        <v>56</v>
      </c>
      <c r="M960">
        <f>COUNTIF(H960:$H$2581,H960)</f>
        <v>23</v>
      </c>
    </row>
    <row r="961" spans="1:13" x14ac:dyDescent="0.2">
      <c r="A961">
        <v>2348</v>
      </c>
      <c r="B961" t="s">
        <v>900</v>
      </c>
      <c r="C961" t="s">
        <v>8781</v>
      </c>
      <c r="D961" t="s">
        <v>33</v>
      </c>
      <c r="E961" t="s">
        <v>8782</v>
      </c>
      <c r="F961" t="s">
        <v>903</v>
      </c>
      <c r="G961" t="s">
        <v>8783</v>
      </c>
      <c r="H961" t="s">
        <v>1734</v>
      </c>
      <c r="I961" t="b">
        <v>0</v>
      </c>
      <c r="J961">
        <v>274</v>
      </c>
      <c r="K961">
        <v>2349</v>
      </c>
      <c r="L961">
        <v>31</v>
      </c>
      <c r="M961">
        <f>COUNTIF(H961:$H$2581,H961)</f>
        <v>22</v>
      </c>
    </row>
    <row r="962" spans="1:13" x14ac:dyDescent="0.2">
      <c r="A962">
        <v>678</v>
      </c>
      <c r="B962" t="s">
        <v>822</v>
      </c>
      <c r="C962" t="s">
        <v>8812</v>
      </c>
      <c r="D962" t="s">
        <v>13</v>
      </c>
      <c r="E962" t="s">
        <v>8813</v>
      </c>
      <c r="F962" t="s">
        <v>825</v>
      </c>
      <c r="G962" t="s">
        <v>8814</v>
      </c>
      <c r="H962" t="s">
        <v>1734</v>
      </c>
      <c r="I962" t="s">
        <v>24</v>
      </c>
      <c r="J962">
        <v>99</v>
      </c>
      <c r="K962">
        <v>679</v>
      </c>
      <c r="L962">
        <v>254</v>
      </c>
      <c r="M962">
        <f>COUNTIF(H962:$H$2581,H962)</f>
        <v>21</v>
      </c>
    </row>
    <row r="963" spans="1:13" x14ac:dyDescent="0.2">
      <c r="A963">
        <v>145</v>
      </c>
      <c r="B963" t="s">
        <v>63</v>
      </c>
      <c r="C963" t="s">
        <v>64</v>
      </c>
      <c r="D963" t="s">
        <v>54</v>
      </c>
      <c r="E963" t="s">
        <v>65</v>
      </c>
      <c r="F963" t="s">
        <v>66</v>
      </c>
      <c r="G963" t="s">
        <v>67</v>
      </c>
      <c r="H963" t="s">
        <v>1734</v>
      </c>
      <c r="I963" t="s">
        <v>24</v>
      </c>
      <c r="J963">
        <v>27</v>
      </c>
      <c r="K963">
        <v>146</v>
      </c>
      <c r="L963">
        <v>45</v>
      </c>
      <c r="M963">
        <f>COUNTIF(H963:$H$2581,H963)</f>
        <v>20</v>
      </c>
    </row>
    <row r="964" spans="1:13" x14ac:dyDescent="0.2">
      <c r="A964">
        <v>1759</v>
      </c>
      <c r="B964" t="s">
        <v>216</v>
      </c>
      <c r="C964" t="s">
        <v>217</v>
      </c>
      <c r="D964" t="s">
        <v>54</v>
      </c>
      <c r="E964" t="s">
        <v>218</v>
      </c>
      <c r="F964" t="s">
        <v>219</v>
      </c>
      <c r="G964" t="s">
        <v>220</v>
      </c>
      <c r="H964" t="s">
        <v>1734</v>
      </c>
      <c r="I964" t="b">
        <v>1</v>
      </c>
      <c r="J964">
        <v>209</v>
      </c>
      <c r="K964">
        <v>1760</v>
      </c>
      <c r="L964">
        <v>217</v>
      </c>
      <c r="M964">
        <f>COUNTIF(H964:$H$2581,H964)</f>
        <v>19</v>
      </c>
    </row>
    <row r="965" spans="1:13" x14ac:dyDescent="0.2">
      <c r="A965">
        <v>119</v>
      </c>
      <c r="B965" t="s">
        <v>52</v>
      </c>
      <c r="C965" t="s">
        <v>327</v>
      </c>
      <c r="D965" t="s">
        <v>54</v>
      </c>
      <c r="E965" t="s">
        <v>328</v>
      </c>
      <c r="F965" t="s">
        <v>56</v>
      </c>
      <c r="G965" t="s">
        <v>329</v>
      </c>
      <c r="H965" t="s">
        <v>1734</v>
      </c>
      <c r="I965" t="b">
        <v>0</v>
      </c>
      <c r="J965">
        <v>22</v>
      </c>
      <c r="K965">
        <v>120</v>
      </c>
      <c r="L965">
        <v>1</v>
      </c>
      <c r="M965">
        <f>COUNTIF(H965:$H$2581,H965)</f>
        <v>18</v>
      </c>
    </row>
    <row r="966" spans="1:13" x14ac:dyDescent="0.2">
      <c r="A966">
        <v>162</v>
      </c>
      <c r="B966" t="s">
        <v>335</v>
      </c>
      <c r="C966" t="s">
        <v>554</v>
      </c>
      <c r="D966" t="s">
        <v>54</v>
      </c>
      <c r="E966" t="s">
        <v>555</v>
      </c>
      <c r="F966" t="s">
        <v>338</v>
      </c>
      <c r="G966" t="s">
        <v>556</v>
      </c>
      <c r="H966" t="s">
        <v>1734</v>
      </c>
      <c r="I966" t="s">
        <v>24</v>
      </c>
      <c r="J966">
        <v>30</v>
      </c>
      <c r="K966">
        <v>163</v>
      </c>
      <c r="L966">
        <v>46</v>
      </c>
      <c r="M966">
        <f>COUNTIF(H966:$H$2581,H966)</f>
        <v>17</v>
      </c>
    </row>
    <row r="967" spans="1:13" x14ac:dyDescent="0.2">
      <c r="A967">
        <v>335</v>
      </c>
      <c r="B967" t="s">
        <v>455</v>
      </c>
      <c r="C967" t="s">
        <v>877</v>
      </c>
      <c r="D967" t="s">
        <v>13</v>
      </c>
      <c r="E967" t="s">
        <v>878</v>
      </c>
      <c r="F967" t="s">
        <v>458</v>
      </c>
      <c r="G967" t="s">
        <v>879</v>
      </c>
      <c r="H967" t="s">
        <v>1734</v>
      </c>
      <c r="I967" t="b">
        <v>0</v>
      </c>
      <c r="J967">
        <v>49</v>
      </c>
      <c r="K967">
        <v>336</v>
      </c>
      <c r="L967">
        <v>156</v>
      </c>
      <c r="M967">
        <f>COUNTIF(H967:$H$2581,H967)</f>
        <v>16</v>
      </c>
    </row>
    <row r="968" spans="1:13" x14ac:dyDescent="0.2">
      <c r="A968">
        <v>811</v>
      </c>
      <c r="B968" t="s">
        <v>594</v>
      </c>
      <c r="C968" t="s">
        <v>1045</v>
      </c>
      <c r="D968" t="s">
        <v>13</v>
      </c>
      <c r="E968" t="s">
        <v>1046</v>
      </c>
      <c r="F968" t="s">
        <v>597</v>
      </c>
      <c r="G968" t="s">
        <v>1047</v>
      </c>
      <c r="H968" t="s">
        <v>1734</v>
      </c>
      <c r="I968" t="b">
        <v>1</v>
      </c>
      <c r="J968">
        <v>114</v>
      </c>
      <c r="K968">
        <v>812</v>
      </c>
      <c r="L968">
        <v>203</v>
      </c>
      <c r="M968">
        <f>COUNTIF(H968:$H$2581,H968)</f>
        <v>15</v>
      </c>
    </row>
    <row r="969" spans="1:13" x14ac:dyDescent="0.2">
      <c r="A969">
        <v>2007</v>
      </c>
      <c r="B969" t="s">
        <v>444</v>
      </c>
      <c r="C969" t="s">
        <v>1310</v>
      </c>
      <c r="D969" t="s">
        <v>13</v>
      </c>
      <c r="E969" t="s">
        <v>1311</v>
      </c>
      <c r="F969" t="s">
        <v>447</v>
      </c>
      <c r="G969" t="s">
        <v>1312</v>
      </c>
      <c r="H969" t="s">
        <v>1734</v>
      </c>
      <c r="I969" t="s">
        <v>24</v>
      </c>
      <c r="J969">
        <v>233</v>
      </c>
      <c r="K969">
        <v>2008</v>
      </c>
      <c r="L969">
        <v>157</v>
      </c>
      <c r="M969">
        <f>COUNTIF(H969:$H$2581,H969)</f>
        <v>14</v>
      </c>
    </row>
    <row r="970" spans="1:13" x14ac:dyDescent="0.2">
      <c r="A970">
        <v>120</v>
      </c>
      <c r="B970" t="s">
        <v>52</v>
      </c>
      <c r="C970" t="s">
        <v>1375</v>
      </c>
      <c r="D970" t="s">
        <v>54</v>
      </c>
      <c r="E970" t="s">
        <v>1376</v>
      </c>
      <c r="F970" t="s">
        <v>56</v>
      </c>
      <c r="G970" t="s">
        <v>1377</v>
      </c>
      <c r="H970" t="s">
        <v>1734</v>
      </c>
      <c r="I970" t="b">
        <v>0</v>
      </c>
      <c r="J970">
        <v>22</v>
      </c>
      <c r="K970">
        <v>121</v>
      </c>
      <c r="L970">
        <v>37</v>
      </c>
      <c r="M970">
        <f>COUNTIF(H970:$H$2581,H970)</f>
        <v>13</v>
      </c>
    </row>
    <row r="971" spans="1:13" x14ac:dyDescent="0.2">
      <c r="A971">
        <v>218</v>
      </c>
      <c r="B971" t="s">
        <v>1120</v>
      </c>
      <c r="C971" t="s">
        <v>1605</v>
      </c>
      <c r="D971" t="s">
        <v>13</v>
      </c>
      <c r="E971" t="s">
        <v>1606</v>
      </c>
      <c r="F971" s="1" t="s">
        <v>1123</v>
      </c>
      <c r="G971" t="s">
        <v>1607</v>
      </c>
      <c r="H971" t="s">
        <v>1734</v>
      </c>
      <c r="I971" t="b">
        <v>0</v>
      </c>
      <c r="J971">
        <v>40</v>
      </c>
      <c r="K971">
        <v>219</v>
      </c>
      <c r="L971">
        <v>97</v>
      </c>
      <c r="M971">
        <f>COUNTIF(H971:$H$2581,H971)</f>
        <v>12</v>
      </c>
    </row>
    <row r="972" spans="1:13" x14ac:dyDescent="0.2">
      <c r="A972">
        <v>1891</v>
      </c>
      <c r="B972" t="s">
        <v>1485</v>
      </c>
      <c r="C972" t="s">
        <v>1790</v>
      </c>
      <c r="D972" t="s">
        <v>13</v>
      </c>
      <c r="E972" t="s">
        <v>1791</v>
      </c>
      <c r="F972" t="s">
        <v>1488</v>
      </c>
      <c r="G972" t="s">
        <v>1792</v>
      </c>
      <c r="H972" t="s">
        <v>1734</v>
      </c>
      <c r="I972" t="b">
        <v>1</v>
      </c>
      <c r="J972">
        <v>220</v>
      </c>
      <c r="K972">
        <v>1892</v>
      </c>
      <c r="L972">
        <v>84</v>
      </c>
      <c r="M972">
        <f>COUNTIF(H972:$H$2581,H972)</f>
        <v>11</v>
      </c>
    </row>
    <row r="973" spans="1:13" x14ac:dyDescent="0.2">
      <c r="A973">
        <v>2197</v>
      </c>
      <c r="B973" t="s">
        <v>1803</v>
      </c>
      <c r="C973" t="s">
        <v>1981</v>
      </c>
      <c r="D973" t="s">
        <v>13</v>
      </c>
      <c r="E973" t="s">
        <v>1982</v>
      </c>
      <c r="F973" t="s">
        <v>1806</v>
      </c>
      <c r="G973" t="s">
        <v>1983</v>
      </c>
      <c r="H973" t="s">
        <v>1734</v>
      </c>
      <c r="I973" t="b">
        <v>0</v>
      </c>
      <c r="J973">
        <v>258</v>
      </c>
      <c r="K973">
        <v>2198</v>
      </c>
      <c r="L973">
        <v>10</v>
      </c>
      <c r="M973">
        <f>COUNTIF(H973:$H$2581,H973)</f>
        <v>10</v>
      </c>
    </row>
    <row r="974" spans="1:13" x14ac:dyDescent="0.2">
      <c r="A974">
        <v>850</v>
      </c>
      <c r="B974" t="s">
        <v>193</v>
      </c>
      <c r="C974" t="s">
        <v>2175</v>
      </c>
      <c r="D974" t="s">
        <v>54</v>
      </c>
      <c r="E974" t="s">
        <v>2176</v>
      </c>
      <c r="F974" t="s">
        <v>196</v>
      </c>
      <c r="G974" t="s">
        <v>2177</v>
      </c>
      <c r="H974" t="s">
        <v>1734</v>
      </c>
      <c r="I974" t="s">
        <v>24</v>
      </c>
      <c r="J974">
        <v>117</v>
      </c>
      <c r="K974">
        <v>851</v>
      </c>
      <c r="L974">
        <v>204</v>
      </c>
      <c r="M974">
        <f>COUNTIF(H974:$H$2581,H974)</f>
        <v>9</v>
      </c>
    </row>
    <row r="975" spans="1:13" x14ac:dyDescent="0.2">
      <c r="A975">
        <v>1073</v>
      </c>
      <c r="B975" t="s">
        <v>2230</v>
      </c>
      <c r="C975" t="s">
        <v>2231</v>
      </c>
      <c r="D975" t="s">
        <v>54</v>
      </c>
      <c r="E975" t="s">
        <v>2232</v>
      </c>
      <c r="F975" t="s">
        <v>2233</v>
      </c>
      <c r="G975" t="s">
        <v>2234</v>
      </c>
      <c r="H975" t="s">
        <v>1734</v>
      </c>
      <c r="I975" t="s">
        <v>24</v>
      </c>
      <c r="J975">
        <v>132</v>
      </c>
      <c r="K975">
        <v>1074</v>
      </c>
      <c r="L975">
        <v>289</v>
      </c>
      <c r="M975">
        <f>COUNTIF(H975:$H$2581,H975)</f>
        <v>8</v>
      </c>
    </row>
    <row r="976" spans="1:13" x14ac:dyDescent="0.2">
      <c r="A976">
        <v>1923</v>
      </c>
      <c r="B976" t="s">
        <v>439</v>
      </c>
      <c r="C976" t="s">
        <v>2301</v>
      </c>
      <c r="D976" t="s">
        <v>33</v>
      </c>
      <c r="E976" t="s">
        <v>2302</v>
      </c>
      <c r="F976" t="s">
        <v>442</v>
      </c>
      <c r="G976" t="s">
        <v>2303</v>
      </c>
      <c r="H976" t="s">
        <v>1734</v>
      </c>
      <c r="I976" t="b">
        <v>0</v>
      </c>
      <c r="J976">
        <v>224</v>
      </c>
      <c r="K976">
        <v>1924</v>
      </c>
      <c r="L976">
        <v>120</v>
      </c>
      <c r="M976">
        <f>COUNTIF(H976:$H$2581,H976)</f>
        <v>7</v>
      </c>
    </row>
    <row r="977" spans="1:13" x14ac:dyDescent="0.2">
      <c r="A977">
        <v>1955</v>
      </c>
      <c r="B977" t="s">
        <v>1472</v>
      </c>
      <c r="C977" t="s">
        <v>2393</v>
      </c>
      <c r="D977" t="s">
        <v>13</v>
      </c>
      <c r="E977" t="s">
        <v>2394</v>
      </c>
      <c r="F977" t="s">
        <v>1475</v>
      </c>
      <c r="G977" t="s">
        <v>2395</v>
      </c>
      <c r="H977" t="s">
        <v>1734</v>
      </c>
      <c r="I977" t="b">
        <v>0</v>
      </c>
      <c r="J977">
        <v>225</v>
      </c>
      <c r="K977">
        <v>1956</v>
      </c>
      <c r="L977">
        <v>121</v>
      </c>
      <c r="M977">
        <f>COUNTIF(H977:$H$2581,H977)</f>
        <v>6</v>
      </c>
    </row>
    <row r="978" spans="1:13" x14ac:dyDescent="0.2">
      <c r="A978">
        <v>51</v>
      </c>
      <c r="B978" t="s">
        <v>1357</v>
      </c>
      <c r="C978" t="s">
        <v>2454</v>
      </c>
      <c r="D978" t="s">
        <v>13</v>
      </c>
      <c r="E978" t="s">
        <v>2455</v>
      </c>
      <c r="F978" t="s">
        <v>1360</v>
      </c>
      <c r="G978" t="s">
        <v>2456</v>
      </c>
      <c r="H978" t="s">
        <v>1734</v>
      </c>
      <c r="I978" t="b">
        <v>0</v>
      </c>
      <c r="J978">
        <v>8</v>
      </c>
      <c r="K978">
        <v>52</v>
      </c>
      <c r="L978">
        <v>16</v>
      </c>
      <c r="M978">
        <f>COUNTIF(H978:$H$2581,H978)</f>
        <v>5</v>
      </c>
    </row>
    <row r="979" spans="1:13" x14ac:dyDescent="0.2">
      <c r="A979">
        <v>1522</v>
      </c>
      <c r="B979" t="s">
        <v>1209</v>
      </c>
      <c r="C979" t="s">
        <v>2833</v>
      </c>
      <c r="D979" t="s">
        <v>33</v>
      </c>
      <c r="E979" t="s">
        <v>2834</v>
      </c>
      <c r="F979" t="s">
        <v>1212</v>
      </c>
      <c r="G979" t="s">
        <v>2835</v>
      </c>
      <c r="H979" t="s">
        <v>1734</v>
      </c>
      <c r="I979" t="b">
        <v>0</v>
      </c>
      <c r="J979">
        <v>185</v>
      </c>
      <c r="K979">
        <v>1523</v>
      </c>
      <c r="L979">
        <v>17</v>
      </c>
      <c r="M979">
        <f>COUNTIF(H979:$H$2581,H979)</f>
        <v>4</v>
      </c>
    </row>
    <row r="980" spans="1:13" x14ac:dyDescent="0.2">
      <c r="A980">
        <v>1283</v>
      </c>
      <c r="B980" t="s">
        <v>1221</v>
      </c>
      <c r="C980" t="s">
        <v>2953</v>
      </c>
      <c r="D980" t="s">
        <v>13</v>
      </c>
      <c r="E980" t="s">
        <v>2954</v>
      </c>
      <c r="F980" t="s">
        <v>1224</v>
      </c>
      <c r="G980" t="s">
        <v>2955</v>
      </c>
      <c r="H980" t="s">
        <v>1734</v>
      </c>
      <c r="I980" t="b">
        <v>1</v>
      </c>
      <c r="J980">
        <v>158</v>
      </c>
      <c r="K980">
        <v>1284</v>
      </c>
      <c r="L980">
        <v>100</v>
      </c>
      <c r="M980">
        <f>COUNTIF(H980:$H$2581,H980)</f>
        <v>3</v>
      </c>
    </row>
    <row r="981" spans="1:13" x14ac:dyDescent="0.2">
      <c r="A981">
        <v>2182</v>
      </c>
      <c r="B981" t="s">
        <v>1180</v>
      </c>
      <c r="C981" t="s">
        <v>3296</v>
      </c>
      <c r="D981" t="s">
        <v>13</v>
      </c>
      <c r="E981" t="s">
        <v>3297</v>
      </c>
      <c r="F981" t="s">
        <v>1183</v>
      </c>
      <c r="G981" t="s">
        <v>3298</v>
      </c>
      <c r="H981" t="s">
        <v>1734</v>
      </c>
      <c r="I981" t="b">
        <v>1</v>
      </c>
      <c r="J981">
        <v>256</v>
      </c>
      <c r="K981">
        <v>2183</v>
      </c>
      <c r="L981">
        <v>21</v>
      </c>
      <c r="M981">
        <f>COUNTIF(H981:$H$2581,H981)</f>
        <v>2</v>
      </c>
    </row>
    <row r="982" spans="1:13" x14ac:dyDescent="0.2">
      <c r="A982">
        <v>1303</v>
      </c>
      <c r="B982" t="s">
        <v>277</v>
      </c>
      <c r="C982" t="s">
        <v>3442</v>
      </c>
      <c r="D982" t="s">
        <v>54</v>
      </c>
      <c r="E982" t="s">
        <v>3443</v>
      </c>
      <c r="F982" t="s">
        <v>280</v>
      </c>
      <c r="G982" t="s">
        <v>3444</v>
      </c>
      <c r="H982" t="s">
        <v>1734</v>
      </c>
      <c r="I982" t="s">
        <v>24</v>
      </c>
      <c r="J982">
        <v>160</v>
      </c>
      <c r="K982">
        <v>1304</v>
      </c>
      <c r="L982">
        <v>240</v>
      </c>
      <c r="M982">
        <f>COUNTIF(H982:$H$2581,H982)</f>
        <v>1</v>
      </c>
    </row>
    <row r="983" spans="1:13" x14ac:dyDescent="0.2">
      <c r="A983">
        <v>2138</v>
      </c>
      <c r="B983" t="s">
        <v>147</v>
      </c>
      <c r="C983" t="s">
        <v>3619</v>
      </c>
      <c r="D983" t="s">
        <v>54</v>
      </c>
      <c r="E983" t="s">
        <v>3620</v>
      </c>
      <c r="F983" t="s">
        <v>150</v>
      </c>
      <c r="G983" t="s">
        <v>3621</v>
      </c>
      <c r="H983" t="s">
        <v>1845</v>
      </c>
      <c r="I983" t="b">
        <v>1</v>
      </c>
      <c r="J983">
        <v>248</v>
      </c>
      <c r="K983">
        <v>2139</v>
      </c>
      <c r="L983">
        <v>39</v>
      </c>
      <c r="M983">
        <f>COUNTIF(H983:$H$2581,H983)</f>
        <v>45</v>
      </c>
    </row>
    <row r="984" spans="1:13" x14ac:dyDescent="0.2">
      <c r="A984">
        <v>2025</v>
      </c>
      <c r="B984" t="s">
        <v>3759</v>
      </c>
      <c r="C984" t="s">
        <v>3760</v>
      </c>
      <c r="D984" t="s">
        <v>13</v>
      </c>
      <c r="E984" t="s">
        <v>3761</v>
      </c>
      <c r="F984" t="s">
        <v>3762</v>
      </c>
      <c r="G984" t="s">
        <v>3763</v>
      </c>
      <c r="H984" t="s">
        <v>1845</v>
      </c>
      <c r="I984" t="b">
        <v>1</v>
      </c>
      <c r="J984">
        <v>234</v>
      </c>
      <c r="K984">
        <v>2026</v>
      </c>
      <c r="L984">
        <v>22</v>
      </c>
      <c r="M984">
        <f>COUNTIF(H984:$H$2581,H984)</f>
        <v>44</v>
      </c>
    </row>
    <row r="985" spans="1:13" x14ac:dyDescent="0.2">
      <c r="A985">
        <v>1746</v>
      </c>
      <c r="B985" t="s">
        <v>1403</v>
      </c>
      <c r="C985" t="s">
        <v>3839</v>
      </c>
      <c r="D985" t="s">
        <v>13</v>
      </c>
      <c r="E985" t="s">
        <v>3840</v>
      </c>
      <c r="F985" t="s">
        <v>1406</v>
      </c>
      <c r="G985" t="s">
        <v>3841</v>
      </c>
      <c r="H985" t="s">
        <v>1845</v>
      </c>
      <c r="I985" t="b">
        <v>1</v>
      </c>
      <c r="J985">
        <v>207</v>
      </c>
      <c r="K985">
        <v>1747</v>
      </c>
      <c r="L985">
        <v>270</v>
      </c>
      <c r="M985">
        <f>COUNTIF(H985:$H$2581,H985)</f>
        <v>43</v>
      </c>
    </row>
    <row r="986" spans="1:13" x14ac:dyDescent="0.2">
      <c r="A986">
        <v>818</v>
      </c>
      <c r="B986" t="s">
        <v>594</v>
      </c>
      <c r="C986" t="s">
        <v>3877</v>
      </c>
      <c r="D986" t="s">
        <v>13</v>
      </c>
      <c r="E986" t="s">
        <v>3878</v>
      </c>
      <c r="F986" t="s">
        <v>597</v>
      </c>
      <c r="G986" t="s">
        <v>3879</v>
      </c>
      <c r="H986" t="s">
        <v>1845</v>
      </c>
      <c r="I986" t="b">
        <v>1</v>
      </c>
      <c r="J986">
        <v>114</v>
      </c>
      <c r="K986">
        <v>819</v>
      </c>
      <c r="L986">
        <v>101</v>
      </c>
      <c r="M986">
        <f>COUNTIF(H986:$H$2581,H986)</f>
        <v>42</v>
      </c>
    </row>
    <row r="987" spans="1:13" x14ac:dyDescent="0.2">
      <c r="A987">
        <v>728</v>
      </c>
      <c r="B987" t="s">
        <v>1349</v>
      </c>
      <c r="C987" t="s">
        <v>3964</v>
      </c>
      <c r="D987" t="s">
        <v>13</v>
      </c>
      <c r="E987" t="s">
        <v>3965</v>
      </c>
      <c r="F987" t="s">
        <v>1352</v>
      </c>
      <c r="G987" t="s">
        <v>3966</v>
      </c>
      <c r="H987" t="s">
        <v>1845</v>
      </c>
      <c r="I987" t="b">
        <v>1</v>
      </c>
      <c r="J987">
        <v>104</v>
      </c>
      <c r="K987">
        <v>729</v>
      </c>
      <c r="L987">
        <v>40</v>
      </c>
      <c r="M987">
        <f>COUNTIF(H987:$H$2581,H987)</f>
        <v>41</v>
      </c>
    </row>
    <row r="988" spans="1:13" x14ac:dyDescent="0.2">
      <c r="A988">
        <v>1714</v>
      </c>
      <c r="B988" t="s">
        <v>725</v>
      </c>
      <c r="C988" t="s">
        <v>4049</v>
      </c>
      <c r="D988" t="s">
        <v>13</v>
      </c>
      <c r="E988" t="s">
        <v>4050</v>
      </c>
      <c r="F988" t="s">
        <v>728</v>
      </c>
      <c r="G988" t="s">
        <v>4051</v>
      </c>
      <c r="H988" t="s">
        <v>1845</v>
      </c>
      <c r="I988" t="b">
        <v>1</v>
      </c>
      <c r="J988">
        <v>205</v>
      </c>
      <c r="K988">
        <v>1715</v>
      </c>
      <c r="L988">
        <v>23</v>
      </c>
      <c r="M988">
        <f>COUNTIF(H988:$H$2581,H988)</f>
        <v>40</v>
      </c>
    </row>
    <row r="989" spans="1:13" x14ac:dyDescent="0.2">
      <c r="A989">
        <v>746</v>
      </c>
      <c r="B989" t="s">
        <v>1237</v>
      </c>
      <c r="C989" t="s">
        <v>4195</v>
      </c>
      <c r="D989" t="s">
        <v>54</v>
      </c>
      <c r="E989" t="s">
        <v>4196</v>
      </c>
      <c r="F989" t="s">
        <v>1239</v>
      </c>
      <c r="G989" t="s">
        <v>4197</v>
      </c>
      <c r="H989" t="s">
        <v>1845</v>
      </c>
      <c r="I989" t="s">
        <v>24</v>
      </c>
      <c r="J989">
        <v>106</v>
      </c>
      <c r="K989">
        <v>747</v>
      </c>
      <c r="L989">
        <v>64</v>
      </c>
      <c r="M989">
        <f>COUNTIF(H989:$H$2581,H989)</f>
        <v>39</v>
      </c>
    </row>
    <row r="990" spans="1:13" x14ac:dyDescent="0.2">
      <c r="A990">
        <v>2403</v>
      </c>
      <c r="B990" t="s">
        <v>1987</v>
      </c>
      <c r="C990" t="s">
        <v>4610</v>
      </c>
      <c r="D990" t="s">
        <v>13</v>
      </c>
      <c r="E990" t="s">
        <v>4611</v>
      </c>
      <c r="F990" t="s">
        <v>1990</v>
      </c>
      <c r="G990" t="s">
        <v>4612</v>
      </c>
      <c r="H990" t="s">
        <v>1845</v>
      </c>
      <c r="I990" t="b">
        <v>1</v>
      </c>
      <c r="J990">
        <v>281</v>
      </c>
      <c r="K990">
        <v>2404</v>
      </c>
      <c r="L990">
        <v>4</v>
      </c>
      <c r="M990">
        <f>COUNTIF(H990:$H$2581,H990)</f>
        <v>38</v>
      </c>
    </row>
    <row r="991" spans="1:13" x14ac:dyDescent="0.2">
      <c r="A991">
        <v>1109</v>
      </c>
      <c r="B991" t="s">
        <v>1103</v>
      </c>
      <c r="C991" t="s">
        <v>4672</v>
      </c>
      <c r="D991" t="s">
        <v>13</v>
      </c>
      <c r="E991" t="s">
        <v>4673</v>
      </c>
      <c r="F991" t="s">
        <v>1106</v>
      </c>
      <c r="G991" t="s">
        <v>4674</v>
      </c>
      <c r="H991" t="s">
        <v>1845</v>
      </c>
      <c r="I991" t="s">
        <v>24</v>
      </c>
      <c r="J991">
        <v>134</v>
      </c>
      <c r="K991">
        <v>1110</v>
      </c>
      <c r="L991">
        <v>33</v>
      </c>
      <c r="M991">
        <f>COUNTIF(H991:$H$2581,H991)</f>
        <v>37</v>
      </c>
    </row>
    <row r="992" spans="1:13" x14ac:dyDescent="0.2">
      <c r="A992">
        <v>4</v>
      </c>
      <c r="B992" t="s">
        <v>449</v>
      </c>
      <c r="C992" t="s">
        <v>4849</v>
      </c>
      <c r="D992" t="s">
        <v>13</v>
      </c>
      <c r="E992" t="s">
        <v>4850</v>
      </c>
      <c r="F992" t="s">
        <v>452</v>
      </c>
      <c r="G992" t="s">
        <v>4851</v>
      </c>
      <c r="H992" t="s">
        <v>1845</v>
      </c>
      <c r="I992" t="s">
        <v>24</v>
      </c>
      <c r="J992">
        <v>2</v>
      </c>
      <c r="K992">
        <v>5</v>
      </c>
      <c r="L992">
        <v>5</v>
      </c>
      <c r="M992">
        <f>COUNTIF(H992:$H$2581,H992)</f>
        <v>36</v>
      </c>
    </row>
    <row r="993" spans="1:13" x14ac:dyDescent="0.2">
      <c r="A993">
        <v>1003</v>
      </c>
      <c r="B993" t="s">
        <v>424</v>
      </c>
      <c r="C993" t="s">
        <v>4902</v>
      </c>
      <c r="D993" t="s">
        <v>13</v>
      </c>
      <c r="E993" t="s">
        <v>4903</v>
      </c>
      <c r="F993" t="s">
        <v>427</v>
      </c>
      <c r="G993" t="s">
        <v>4904</v>
      </c>
      <c r="H993" t="s">
        <v>1845</v>
      </c>
      <c r="I993" t="s">
        <v>24</v>
      </c>
      <c r="J993">
        <v>125</v>
      </c>
      <c r="K993">
        <v>1004</v>
      </c>
      <c r="L993">
        <v>34</v>
      </c>
      <c r="M993">
        <f>COUNTIF(H993:$H$2581,H993)</f>
        <v>35</v>
      </c>
    </row>
    <row r="994" spans="1:13" x14ac:dyDescent="0.2">
      <c r="A994">
        <v>1935</v>
      </c>
      <c r="B994" t="s">
        <v>439</v>
      </c>
      <c r="C994" t="s">
        <v>5013</v>
      </c>
      <c r="D994" t="s">
        <v>54</v>
      </c>
      <c r="E994" t="s">
        <v>5014</v>
      </c>
      <c r="F994" t="s">
        <v>442</v>
      </c>
      <c r="G994" t="s">
        <v>5015</v>
      </c>
      <c r="H994" t="s">
        <v>1845</v>
      </c>
      <c r="I994" t="b">
        <v>0</v>
      </c>
      <c r="J994">
        <v>224</v>
      </c>
      <c r="K994">
        <v>1936</v>
      </c>
      <c r="L994">
        <v>123</v>
      </c>
      <c r="M994">
        <f>COUNTIF(H994:$H$2581,H994)</f>
        <v>34</v>
      </c>
    </row>
    <row r="995" spans="1:13" x14ac:dyDescent="0.2">
      <c r="A995">
        <v>1937</v>
      </c>
      <c r="B995" t="s">
        <v>439</v>
      </c>
      <c r="C995" t="s">
        <v>5276</v>
      </c>
      <c r="D995" t="s">
        <v>54</v>
      </c>
      <c r="E995" t="s">
        <v>5277</v>
      </c>
      <c r="F995" t="s">
        <v>442</v>
      </c>
      <c r="G995" t="s">
        <v>5278</v>
      </c>
      <c r="H995" t="s">
        <v>1845</v>
      </c>
      <c r="I995" t="b">
        <v>0</v>
      </c>
      <c r="J995">
        <v>224</v>
      </c>
      <c r="K995">
        <v>1938</v>
      </c>
      <c r="L995">
        <v>35</v>
      </c>
      <c r="M995">
        <f>COUNTIF(H995:$H$2581,H995)</f>
        <v>33</v>
      </c>
    </row>
    <row r="996" spans="1:13" x14ac:dyDescent="0.2">
      <c r="A996">
        <v>1910</v>
      </c>
      <c r="B996" t="s">
        <v>4687</v>
      </c>
      <c r="C996" t="s">
        <v>5400</v>
      </c>
      <c r="D996" t="s">
        <v>13</v>
      </c>
      <c r="E996" t="s">
        <v>5401</v>
      </c>
      <c r="F996" t="s">
        <v>4690</v>
      </c>
      <c r="G996" t="s">
        <v>5402</v>
      </c>
      <c r="H996" t="s">
        <v>1845</v>
      </c>
      <c r="I996" t="s">
        <v>24</v>
      </c>
      <c r="J996">
        <v>223</v>
      </c>
      <c r="K996">
        <v>1911</v>
      </c>
      <c r="L996">
        <v>24</v>
      </c>
      <c r="M996">
        <f>COUNTIF(H996:$H$2581,H996)</f>
        <v>32</v>
      </c>
    </row>
    <row r="997" spans="1:13" x14ac:dyDescent="0.2">
      <c r="A997">
        <v>1485</v>
      </c>
      <c r="B997" t="s">
        <v>1773</v>
      </c>
      <c r="C997" t="s">
        <v>5448</v>
      </c>
      <c r="D997" t="s">
        <v>54</v>
      </c>
      <c r="E997" t="s">
        <v>5449</v>
      </c>
      <c r="F997" t="s">
        <v>1776</v>
      </c>
      <c r="G997" t="s">
        <v>5450</v>
      </c>
      <c r="H997" t="s">
        <v>1845</v>
      </c>
      <c r="I997" t="b">
        <v>0</v>
      </c>
      <c r="J997">
        <v>180</v>
      </c>
      <c r="K997">
        <v>1486</v>
      </c>
      <c r="L997">
        <v>12</v>
      </c>
      <c r="M997">
        <f>COUNTIF(H997:$H$2581,H997)</f>
        <v>31</v>
      </c>
    </row>
    <row r="998" spans="1:13" x14ac:dyDescent="0.2">
      <c r="A998">
        <v>2079</v>
      </c>
      <c r="B998" t="s">
        <v>1970</v>
      </c>
      <c r="C998" t="s">
        <v>5536</v>
      </c>
      <c r="D998" t="s">
        <v>54</v>
      </c>
      <c r="E998" t="s">
        <v>5537</v>
      </c>
      <c r="F998" t="s">
        <v>1973</v>
      </c>
      <c r="G998" t="s">
        <v>5538</v>
      </c>
      <c r="H998" t="s">
        <v>1845</v>
      </c>
      <c r="I998" t="s">
        <v>24</v>
      </c>
      <c r="J998">
        <v>241</v>
      </c>
      <c r="K998">
        <v>2080</v>
      </c>
      <c r="L998">
        <v>13</v>
      </c>
      <c r="M998">
        <f>COUNTIF(H998:$H$2581,H998)</f>
        <v>30</v>
      </c>
    </row>
    <row r="999" spans="1:13" x14ac:dyDescent="0.2">
      <c r="A999">
        <v>2140</v>
      </c>
      <c r="B999" t="s">
        <v>147</v>
      </c>
      <c r="C999" t="s">
        <v>5621</v>
      </c>
      <c r="D999" t="s">
        <v>13</v>
      </c>
      <c r="E999" t="s">
        <v>5622</v>
      </c>
      <c r="F999" t="s">
        <v>150</v>
      </c>
      <c r="G999" t="s">
        <v>5623</v>
      </c>
      <c r="H999" t="s">
        <v>1845</v>
      </c>
      <c r="I999" t="b">
        <v>1</v>
      </c>
      <c r="J999">
        <v>248</v>
      </c>
      <c r="K999">
        <v>2141</v>
      </c>
      <c r="L999">
        <v>50</v>
      </c>
      <c r="M999">
        <f>COUNTIF(H999:$H$2581,H999)</f>
        <v>29</v>
      </c>
    </row>
    <row r="1000" spans="1:13" x14ac:dyDescent="0.2">
      <c r="A1000">
        <v>2192</v>
      </c>
      <c r="B1000" t="s">
        <v>2870</v>
      </c>
      <c r="C1000" t="s">
        <v>5805</v>
      </c>
      <c r="D1000" t="s">
        <v>13</v>
      </c>
      <c r="E1000" t="s">
        <v>5806</v>
      </c>
      <c r="F1000" t="s">
        <v>2873</v>
      </c>
      <c r="G1000" t="s">
        <v>5807</v>
      </c>
      <c r="H1000" t="s">
        <v>1845</v>
      </c>
      <c r="I1000" t="s">
        <v>24</v>
      </c>
      <c r="J1000">
        <v>257</v>
      </c>
      <c r="K1000">
        <v>2193</v>
      </c>
      <c r="L1000">
        <v>25</v>
      </c>
      <c r="M1000">
        <f>COUNTIF(H1000:$H$2581,H1000)</f>
        <v>28</v>
      </c>
    </row>
    <row r="1001" spans="1:13" x14ac:dyDescent="0.2">
      <c r="A1001">
        <v>2064</v>
      </c>
      <c r="B1001" t="s">
        <v>1965</v>
      </c>
      <c r="C1001" t="s">
        <v>5964</v>
      </c>
      <c r="D1001" t="s">
        <v>13</v>
      </c>
      <c r="E1001" t="s">
        <v>5965</v>
      </c>
      <c r="F1001" t="s">
        <v>1968</v>
      </c>
      <c r="G1001" t="s">
        <v>5966</v>
      </c>
      <c r="H1001" t="s">
        <v>1845</v>
      </c>
      <c r="I1001" t="b">
        <v>1</v>
      </c>
      <c r="J1001">
        <v>240</v>
      </c>
      <c r="K1001">
        <v>2065</v>
      </c>
      <c r="L1001">
        <v>124</v>
      </c>
      <c r="M1001">
        <f>COUNTIF(H1001:$H$2581,H1001)</f>
        <v>27</v>
      </c>
    </row>
    <row r="1002" spans="1:13" x14ac:dyDescent="0.2">
      <c r="A1002">
        <v>1337</v>
      </c>
      <c r="B1002" t="s">
        <v>2235</v>
      </c>
      <c r="C1002" t="s">
        <v>6170</v>
      </c>
      <c r="D1002" t="s">
        <v>33</v>
      </c>
      <c r="E1002" t="s">
        <v>6171</v>
      </c>
      <c r="F1002" t="s">
        <v>2238</v>
      </c>
      <c r="G1002" t="s">
        <v>6172</v>
      </c>
      <c r="H1002" t="s">
        <v>1845</v>
      </c>
      <c r="I1002" t="b">
        <v>0</v>
      </c>
      <c r="J1002">
        <v>163</v>
      </c>
      <c r="K1002">
        <v>1338</v>
      </c>
      <c r="L1002">
        <v>167</v>
      </c>
      <c r="M1002">
        <f>COUNTIF(H1002:$H$2581,H1002)</f>
        <v>26</v>
      </c>
    </row>
    <row r="1003" spans="1:13" x14ac:dyDescent="0.2">
      <c r="A1003">
        <v>2133</v>
      </c>
      <c r="B1003" t="s">
        <v>142</v>
      </c>
      <c r="C1003" t="s">
        <v>6312</v>
      </c>
      <c r="D1003" t="s">
        <v>13</v>
      </c>
      <c r="E1003" t="s">
        <v>6313</v>
      </c>
      <c r="F1003" t="s">
        <v>145</v>
      </c>
      <c r="G1003" t="s">
        <v>6314</v>
      </c>
      <c r="H1003" t="s">
        <v>1845</v>
      </c>
      <c r="I1003" t="b">
        <v>1</v>
      </c>
      <c r="J1003">
        <v>247</v>
      </c>
      <c r="K1003">
        <v>2134</v>
      </c>
      <c r="L1003">
        <v>9</v>
      </c>
      <c r="M1003">
        <f>COUNTIF(H1003:$H$2581,H1003)</f>
        <v>25</v>
      </c>
    </row>
    <row r="1004" spans="1:13" x14ac:dyDescent="0.2">
      <c r="A1004">
        <v>1721</v>
      </c>
      <c r="B1004" t="s">
        <v>725</v>
      </c>
      <c r="C1004" t="s">
        <v>6417</v>
      </c>
      <c r="D1004" t="s">
        <v>54</v>
      </c>
      <c r="E1004" t="s">
        <v>6418</v>
      </c>
      <c r="F1004" t="s">
        <v>728</v>
      </c>
      <c r="G1004" t="s">
        <v>6419</v>
      </c>
      <c r="H1004" t="s">
        <v>1845</v>
      </c>
      <c r="I1004" t="b">
        <v>1</v>
      </c>
      <c r="J1004">
        <v>205</v>
      </c>
      <c r="K1004">
        <v>1722</v>
      </c>
      <c r="L1004">
        <v>161</v>
      </c>
      <c r="M1004">
        <f>COUNTIF(H1004:$H$2581,H1004)</f>
        <v>24</v>
      </c>
    </row>
    <row r="1005" spans="1:13" x14ac:dyDescent="0.2">
      <c r="A1005">
        <v>2055</v>
      </c>
      <c r="B1005" t="s">
        <v>1798</v>
      </c>
      <c r="C1005" t="s">
        <v>6645</v>
      </c>
      <c r="D1005" t="s">
        <v>13</v>
      </c>
      <c r="E1005" t="s">
        <v>6646</v>
      </c>
      <c r="F1005" t="s">
        <v>1801</v>
      </c>
      <c r="G1005" t="s">
        <v>6647</v>
      </c>
      <c r="H1005" t="s">
        <v>1845</v>
      </c>
      <c r="I1005" t="b">
        <v>1</v>
      </c>
      <c r="J1005">
        <v>239</v>
      </c>
      <c r="K1005">
        <v>2056</v>
      </c>
      <c r="L1005">
        <v>7</v>
      </c>
      <c r="M1005">
        <f>COUNTIF(H1005:$H$2581,H1005)</f>
        <v>23</v>
      </c>
    </row>
    <row r="1006" spans="1:13" x14ac:dyDescent="0.2">
      <c r="A1006">
        <v>1416</v>
      </c>
      <c r="B1006" t="s">
        <v>1397</v>
      </c>
      <c r="C1006" t="s">
        <v>6789</v>
      </c>
      <c r="D1006" t="s">
        <v>13</v>
      </c>
      <c r="E1006" t="s">
        <v>6790</v>
      </c>
      <c r="F1006" t="s">
        <v>1400</v>
      </c>
      <c r="G1006" t="s">
        <v>6791</v>
      </c>
      <c r="H1006" t="s">
        <v>1845</v>
      </c>
      <c r="I1006" t="b">
        <v>1</v>
      </c>
      <c r="J1006">
        <v>169</v>
      </c>
      <c r="K1006">
        <v>1417</v>
      </c>
      <c r="L1006">
        <v>106</v>
      </c>
      <c r="M1006">
        <f>COUNTIF(H1006:$H$2581,H1006)</f>
        <v>22</v>
      </c>
    </row>
    <row r="1007" spans="1:13" x14ac:dyDescent="0.2">
      <c r="A1007">
        <v>1944</v>
      </c>
      <c r="B1007" t="s">
        <v>439</v>
      </c>
      <c r="C1007" t="s">
        <v>6892</v>
      </c>
      <c r="D1007" t="s">
        <v>13</v>
      </c>
      <c r="E1007" s="1" t="s">
        <v>6893</v>
      </c>
      <c r="F1007" t="s">
        <v>442</v>
      </c>
      <c r="G1007" t="s">
        <v>6894</v>
      </c>
      <c r="H1007" t="s">
        <v>1845</v>
      </c>
      <c r="I1007" t="b">
        <v>0</v>
      </c>
      <c r="J1007">
        <v>224</v>
      </c>
      <c r="K1007">
        <v>1945</v>
      </c>
      <c r="L1007">
        <v>125</v>
      </c>
      <c r="M1007">
        <f>COUNTIF(H1007:$H$2581,H1007)</f>
        <v>21</v>
      </c>
    </row>
    <row r="1008" spans="1:13" x14ac:dyDescent="0.2">
      <c r="A1008">
        <v>977</v>
      </c>
      <c r="B1008" t="s">
        <v>203</v>
      </c>
      <c r="C1008" t="s">
        <v>6986</v>
      </c>
      <c r="D1008" t="s">
        <v>13</v>
      </c>
      <c r="E1008" t="s">
        <v>6987</v>
      </c>
      <c r="F1008" t="s">
        <v>206</v>
      </c>
      <c r="G1008" t="s">
        <v>6988</v>
      </c>
      <c r="H1008" t="s">
        <v>1845</v>
      </c>
      <c r="I1008" t="b">
        <v>1</v>
      </c>
      <c r="J1008">
        <v>123</v>
      </c>
      <c r="K1008">
        <v>978</v>
      </c>
      <c r="L1008">
        <v>107</v>
      </c>
      <c r="M1008">
        <f>COUNTIF(H1008:$H$2581,H1008)</f>
        <v>20</v>
      </c>
    </row>
    <row r="1009" spans="1:13" x14ac:dyDescent="0.2">
      <c r="A1009">
        <v>2021</v>
      </c>
      <c r="B1009" t="s">
        <v>444</v>
      </c>
      <c r="C1009" t="s">
        <v>7103</v>
      </c>
      <c r="D1009" t="s">
        <v>13</v>
      </c>
      <c r="E1009" t="s">
        <v>7104</v>
      </c>
      <c r="F1009" t="s">
        <v>447</v>
      </c>
      <c r="G1009" t="s">
        <v>7105</v>
      </c>
      <c r="H1009" t="s">
        <v>1845</v>
      </c>
      <c r="I1009" t="s">
        <v>24</v>
      </c>
      <c r="J1009">
        <v>233</v>
      </c>
      <c r="K1009">
        <v>2022</v>
      </c>
      <c r="L1009">
        <v>14</v>
      </c>
      <c r="M1009">
        <f>COUNTIF(H1009:$H$2581,H1009)</f>
        <v>19</v>
      </c>
    </row>
    <row r="1010" spans="1:13" x14ac:dyDescent="0.2">
      <c r="A1010">
        <v>979</v>
      </c>
      <c r="B1010" t="s">
        <v>203</v>
      </c>
      <c r="C1010" t="s">
        <v>7150</v>
      </c>
      <c r="D1010" t="s">
        <v>54</v>
      </c>
      <c r="E1010" t="s">
        <v>7151</v>
      </c>
      <c r="F1010" t="s">
        <v>206</v>
      </c>
      <c r="G1010" t="s">
        <v>7152</v>
      </c>
      <c r="H1010" t="s">
        <v>1845</v>
      </c>
      <c r="I1010" t="b">
        <v>1</v>
      </c>
      <c r="J1010">
        <v>123</v>
      </c>
      <c r="K1010">
        <v>980</v>
      </c>
      <c r="L1010">
        <v>281</v>
      </c>
      <c r="M1010">
        <f>COUNTIF(H1010:$H$2581,H1010)</f>
        <v>18</v>
      </c>
    </row>
    <row r="1011" spans="1:13" x14ac:dyDescent="0.2">
      <c r="A1011">
        <v>1296</v>
      </c>
      <c r="B1011" t="s">
        <v>1679</v>
      </c>
      <c r="C1011" t="s">
        <v>7197</v>
      </c>
      <c r="D1011" t="s">
        <v>13</v>
      </c>
      <c r="E1011" t="s">
        <v>7198</v>
      </c>
      <c r="F1011" t="s">
        <v>1682</v>
      </c>
      <c r="G1011" t="s">
        <v>7199</v>
      </c>
      <c r="H1011" t="s">
        <v>1845</v>
      </c>
      <c r="I1011" t="b">
        <v>1</v>
      </c>
      <c r="J1011">
        <v>159</v>
      </c>
      <c r="K1011">
        <v>1297</v>
      </c>
      <c r="L1011">
        <v>362</v>
      </c>
      <c r="M1011">
        <f>COUNTIF(H1011:$H$2581,H1011)</f>
        <v>17</v>
      </c>
    </row>
    <row r="1012" spans="1:13" x14ac:dyDescent="0.2">
      <c r="A1012">
        <v>1443</v>
      </c>
      <c r="B1012" t="s">
        <v>763</v>
      </c>
      <c r="C1012" t="s">
        <v>7381</v>
      </c>
      <c r="D1012" t="s">
        <v>54</v>
      </c>
      <c r="E1012" t="s">
        <v>7382</v>
      </c>
      <c r="F1012" t="s">
        <v>766</v>
      </c>
      <c r="G1012" t="s">
        <v>7383</v>
      </c>
      <c r="H1012" t="s">
        <v>1845</v>
      </c>
      <c r="I1012" t="b">
        <v>1</v>
      </c>
      <c r="J1012">
        <v>174</v>
      </c>
      <c r="K1012">
        <v>1444</v>
      </c>
      <c r="L1012">
        <v>250</v>
      </c>
      <c r="M1012">
        <f>COUNTIF(H1012:$H$2581,H1012)</f>
        <v>16</v>
      </c>
    </row>
    <row r="1013" spans="1:13" x14ac:dyDescent="0.2">
      <c r="A1013">
        <v>151</v>
      </c>
      <c r="B1013" t="s">
        <v>63</v>
      </c>
      <c r="C1013" t="s">
        <v>7451</v>
      </c>
      <c r="D1013" t="s">
        <v>54</v>
      </c>
      <c r="E1013" t="s">
        <v>7452</v>
      </c>
      <c r="F1013" t="s">
        <v>66</v>
      </c>
      <c r="G1013" t="s">
        <v>7453</v>
      </c>
      <c r="H1013" t="s">
        <v>1845</v>
      </c>
      <c r="I1013" t="s">
        <v>24</v>
      </c>
      <c r="J1013">
        <v>27</v>
      </c>
      <c r="K1013">
        <v>152</v>
      </c>
      <c r="L1013">
        <v>53</v>
      </c>
      <c r="M1013">
        <f>COUNTIF(H1013:$H$2581,H1013)</f>
        <v>15</v>
      </c>
    </row>
    <row r="1014" spans="1:13" x14ac:dyDescent="0.2">
      <c r="A1014">
        <v>1288</v>
      </c>
      <c r="B1014" t="s">
        <v>1221</v>
      </c>
      <c r="C1014" t="s">
        <v>7482</v>
      </c>
      <c r="D1014" t="s">
        <v>13</v>
      </c>
      <c r="E1014" t="s">
        <v>7483</v>
      </c>
      <c r="F1014" t="s">
        <v>1224</v>
      </c>
      <c r="G1014" t="s">
        <v>7484</v>
      </c>
      <c r="H1014" t="s">
        <v>1845</v>
      </c>
      <c r="I1014" t="b">
        <v>1</v>
      </c>
      <c r="J1014">
        <v>158</v>
      </c>
      <c r="K1014">
        <v>1289</v>
      </c>
      <c r="L1014">
        <v>251</v>
      </c>
      <c r="M1014">
        <f>COUNTIF(H1014:$H$2581,H1014)</f>
        <v>14</v>
      </c>
    </row>
    <row r="1015" spans="1:13" x14ac:dyDescent="0.2">
      <c r="A1015">
        <v>1097</v>
      </c>
      <c r="B1015" t="s">
        <v>1075</v>
      </c>
      <c r="C1015" t="s">
        <v>7519</v>
      </c>
      <c r="D1015" t="s">
        <v>13</v>
      </c>
      <c r="E1015" t="s">
        <v>7520</v>
      </c>
      <c r="F1015" t="s">
        <v>1078</v>
      </c>
      <c r="G1015" t="s">
        <v>7521</v>
      </c>
      <c r="H1015" t="s">
        <v>1845</v>
      </c>
      <c r="I1015" t="s">
        <v>24</v>
      </c>
      <c r="J1015">
        <v>133</v>
      </c>
      <c r="K1015">
        <v>1098</v>
      </c>
      <c r="L1015">
        <v>26</v>
      </c>
      <c r="M1015">
        <f>COUNTIF(H1015:$H$2581,H1015)</f>
        <v>13</v>
      </c>
    </row>
    <row r="1016" spans="1:13" x14ac:dyDescent="0.2">
      <c r="A1016">
        <v>509</v>
      </c>
      <c r="B1016" t="s">
        <v>7557</v>
      </c>
      <c r="C1016" t="s">
        <v>7558</v>
      </c>
      <c r="D1016" t="s">
        <v>54</v>
      </c>
      <c r="E1016" t="s">
        <v>7559</v>
      </c>
      <c r="F1016" t="s">
        <v>7560</v>
      </c>
      <c r="G1016" t="s">
        <v>7561</v>
      </c>
      <c r="H1016" t="s">
        <v>1845</v>
      </c>
      <c r="I1016" t="b">
        <v>0</v>
      </c>
      <c r="J1016">
        <v>73</v>
      </c>
      <c r="K1016">
        <v>510</v>
      </c>
      <c r="L1016">
        <v>118</v>
      </c>
      <c r="M1016">
        <f>COUNTIF(H1016:$H$2581,H1016)</f>
        <v>12</v>
      </c>
    </row>
    <row r="1017" spans="1:13" x14ac:dyDescent="0.2">
      <c r="A1017">
        <v>553</v>
      </c>
      <c r="B1017" t="s">
        <v>103</v>
      </c>
      <c r="C1017" t="s">
        <v>7681</v>
      </c>
      <c r="D1017" t="s">
        <v>13</v>
      </c>
      <c r="E1017" t="s">
        <v>7696</v>
      </c>
      <c r="F1017" t="s">
        <v>105</v>
      </c>
      <c r="G1017" t="s">
        <v>7683</v>
      </c>
      <c r="H1017" t="s">
        <v>1845</v>
      </c>
      <c r="I1017" t="b">
        <v>0</v>
      </c>
      <c r="J1017">
        <v>81</v>
      </c>
      <c r="K1017">
        <v>554</v>
      </c>
      <c r="L1017">
        <v>54</v>
      </c>
      <c r="M1017">
        <f>COUNTIF(H1017:$H$2581,H1017)</f>
        <v>11</v>
      </c>
    </row>
    <row r="1018" spans="1:13" x14ac:dyDescent="0.2">
      <c r="A1018">
        <v>2186</v>
      </c>
      <c r="B1018" t="s">
        <v>1180</v>
      </c>
      <c r="C1018" t="s">
        <v>7837</v>
      </c>
      <c r="D1018" t="s">
        <v>13</v>
      </c>
      <c r="E1018" t="s">
        <v>7838</v>
      </c>
      <c r="F1018" t="s">
        <v>1183</v>
      </c>
      <c r="G1018" t="s">
        <v>7839</v>
      </c>
      <c r="H1018" t="s">
        <v>1845</v>
      </c>
      <c r="I1018" t="b">
        <v>1</v>
      </c>
      <c r="J1018">
        <v>256</v>
      </c>
      <c r="K1018">
        <v>2187</v>
      </c>
      <c r="L1018">
        <v>27</v>
      </c>
      <c r="M1018">
        <f>COUNTIF(H1018:$H$2581,H1018)</f>
        <v>10</v>
      </c>
    </row>
    <row r="1019" spans="1:13" x14ac:dyDescent="0.2">
      <c r="A1019">
        <v>1730</v>
      </c>
      <c r="B1019" t="s">
        <v>725</v>
      </c>
      <c r="C1019" t="s">
        <v>7922</v>
      </c>
      <c r="D1019" t="s">
        <v>33</v>
      </c>
      <c r="E1019" t="s">
        <v>7923</v>
      </c>
      <c r="F1019" t="s">
        <v>728</v>
      </c>
      <c r="G1019" t="s">
        <v>7924</v>
      </c>
      <c r="H1019" t="s">
        <v>1845</v>
      </c>
      <c r="I1019" t="b">
        <v>1</v>
      </c>
      <c r="J1019">
        <v>205</v>
      </c>
      <c r="K1019">
        <v>1731</v>
      </c>
      <c r="L1019">
        <v>183</v>
      </c>
      <c r="M1019">
        <f>COUNTIF(H1019:$H$2581,H1019)</f>
        <v>9</v>
      </c>
    </row>
    <row r="1020" spans="1:13" x14ac:dyDescent="0.2">
      <c r="A1020">
        <v>1099</v>
      </c>
      <c r="B1020" t="s">
        <v>1075</v>
      </c>
      <c r="C1020" t="s">
        <v>7974</v>
      </c>
      <c r="D1020" t="s">
        <v>13</v>
      </c>
      <c r="E1020" t="s">
        <v>7975</v>
      </c>
      <c r="F1020" t="s">
        <v>1078</v>
      </c>
      <c r="G1020" t="s">
        <v>7976</v>
      </c>
      <c r="H1020" t="s">
        <v>1845</v>
      </c>
      <c r="I1020" t="s">
        <v>24</v>
      </c>
      <c r="J1020">
        <v>133</v>
      </c>
      <c r="K1020">
        <v>1100</v>
      </c>
      <c r="L1020">
        <v>284</v>
      </c>
      <c r="M1020">
        <f>COUNTIF(H1020:$H$2581,H1020)</f>
        <v>8</v>
      </c>
    </row>
    <row r="1021" spans="1:13" x14ac:dyDescent="0.2">
      <c r="A1021">
        <v>1742</v>
      </c>
      <c r="B1021" t="s">
        <v>1497</v>
      </c>
      <c r="C1021" t="s">
        <v>8043</v>
      </c>
      <c r="D1021" t="s">
        <v>33</v>
      </c>
      <c r="E1021" t="s">
        <v>8044</v>
      </c>
      <c r="F1021" t="s">
        <v>1500</v>
      </c>
      <c r="G1021" t="s">
        <v>8045</v>
      </c>
      <c r="H1021" t="s">
        <v>1845</v>
      </c>
      <c r="I1021" t="b">
        <v>0</v>
      </c>
      <c r="J1021">
        <v>206</v>
      </c>
      <c r="K1021">
        <v>1743</v>
      </c>
      <c r="L1021">
        <v>128</v>
      </c>
      <c r="M1021">
        <f>COUNTIF(H1021:$H$2581,H1021)</f>
        <v>7</v>
      </c>
    </row>
    <row r="1022" spans="1:13" x14ac:dyDescent="0.2">
      <c r="A1022">
        <v>986</v>
      </c>
      <c r="B1022" t="s">
        <v>203</v>
      </c>
      <c r="C1022" t="s">
        <v>8109</v>
      </c>
      <c r="D1022" t="s">
        <v>54</v>
      </c>
      <c r="E1022" t="s">
        <v>8110</v>
      </c>
      <c r="F1022" t="s">
        <v>206</v>
      </c>
      <c r="G1022" t="s">
        <v>8111</v>
      </c>
      <c r="H1022" t="s">
        <v>1845</v>
      </c>
      <c r="I1022" t="b">
        <v>1</v>
      </c>
      <c r="J1022">
        <v>123</v>
      </c>
      <c r="K1022">
        <v>987</v>
      </c>
      <c r="L1022">
        <v>29</v>
      </c>
      <c r="M1022">
        <f>COUNTIF(H1022:$H$2581,H1022)</f>
        <v>6</v>
      </c>
    </row>
    <row r="1023" spans="1:13" x14ac:dyDescent="0.2">
      <c r="A1023">
        <v>1913</v>
      </c>
      <c r="B1023" t="s">
        <v>4687</v>
      </c>
      <c r="C1023" t="s">
        <v>8219</v>
      </c>
      <c r="D1023" t="s">
        <v>54</v>
      </c>
      <c r="E1023" t="s">
        <v>8220</v>
      </c>
      <c r="F1023" t="s">
        <v>4690</v>
      </c>
      <c r="G1023" t="s">
        <v>8221</v>
      </c>
      <c r="H1023" t="s">
        <v>1845</v>
      </c>
      <c r="I1023" t="s">
        <v>24</v>
      </c>
      <c r="J1023">
        <v>223</v>
      </c>
      <c r="K1023">
        <v>1914</v>
      </c>
      <c r="L1023">
        <v>30</v>
      </c>
      <c r="M1023">
        <f>COUNTIF(H1023:$H$2581,H1023)</f>
        <v>5</v>
      </c>
    </row>
    <row r="1024" spans="1:13" x14ac:dyDescent="0.2">
      <c r="A1024">
        <v>327</v>
      </c>
      <c r="B1024" t="s">
        <v>98</v>
      </c>
      <c r="C1024" t="s">
        <v>8323</v>
      </c>
      <c r="D1024" t="s">
        <v>54</v>
      </c>
      <c r="E1024" t="s">
        <v>8324</v>
      </c>
      <c r="F1024" t="s">
        <v>101</v>
      </c>
      <c r="G1024" t="s">
        <v>8325</v>
      </c>
      <c r="H1024" t="s">
        <v>1845</v>
      </c>
      <c r="I1024" t="s">
        <v>24</v>
      </c>
      <c r="J1024">
        <v>46</v>
      </c>
      <c r="K1024">
        <v>328</v>
      </c>
      <c r="L1024">
        <v>42</v>
      </c>
      <c r="M1024">
        <f>COUNTIF(H1024:$H$2581,H1024)</f>
        <v>4</v>
      </c>
    </row>
    <row r="1025" spans="1:13" x14ac:dyDescent="0.2">
      <c r="A1025">
        <v>83</v>
      </c>
      <c r="B1025" t="s">
        <v>31</v>
      </c>
      <c r="C1025" t="s">
        <v>8495</v>
      </c>
      <c r="D1025" t="s">
        <v>54</v>
      </c>
      <c r="E1025" t="s">
        <v>8496</v>
      </c>
      <c r="F1025" t="s">
        <v>35</v>
      </c>
      <c r="G1025" t="s">
        <v>8497</v>
      </c>
      <c r="H1025" t="s">
        <v>1845</v>
      </c>
      <c r="I1025" t="b">
        <v>0</v>
      </c>
      <c r="J1025">
        <v>13</v>
      </c>
      <c r="K1025">
        <v>84</v>
      </c>
      <c r="L1025">
        <v>58</v>
      </c>
      <c r="M1025">
        <f>COUNTIF(H1025:$H$2581,H1025)</f>
        <v>3</v>
      </c>
    </row>
    <row r="1026" spans="1:13" x14ac:dyDescent="0.2">
      <c r="A1026">
        <v>2102</v>
      </c>
      <c r="B1026" t="s">
        <v>255</v>
      </c>
      <c r="C1026" t="s">
        <v>8591</v>
      </c>
      <c r="D1026" t="s">
        <v>54</v>
      </c>
      <c r="E1026" t="s">
        <v>8592</v>
      </c>
      <c r="F1026" t="s">
        <v>258</v>
      </c>
      <c r="G1026" t="s">
        <v>8593</v>
      </c>
      <c r="H1026" t="s">
        <v>1845</v>
      </c>
      <c r="I1026" t="s">
        <v>24</v>
      </c>
      <c r="J1026">
        <v>242</v>
      </c>
      <c r="K1026">
        <v>2103</v>
      </c>
      <c r="L1026">
        <v>56</v>
      </c>
      <c r="M1026">
        <f>COUNTIF(H1026:$H$2581,H1026)</f>
        <v>2</v>
      </c>
    </row>
    <row r="1027" spans="1:13" x14ac:dyDescent="0.2">
      <c r="A1027">
        <v>2362</v>
      </c>
      <c r="B1027" t="s">
        <v>504</v>
      </c>
      <c r="C1027" t="s">
        <v>8784</v>
      </c>
      <c r="D1027" t="s">
        <v>54</v>
      </c>
      <c r="E1027" t="s">
        <v>8785</v>
      </c>
      <c r="F1027" t="s">
        <v>507</v>
      </c>
      <c r="G1027" t="s">
        <v>8786</v>
      </c>
      <c r="H1027" t="s">
        <v>1845</v>
      </c>
      <c r="I1027" t="s">
        <v>24</v>
      </c>
      <c r="J1027">
        <v>275</v>
      </c>
      <c r="K1027">
        <v>2363</v>
      </c>
      <c r="L1027">
        <v>31</v>
      </c>
      <c r="M1027">
        <f>COUNTIF(H1027:$H$2581,H1027)</f>
        <v>1</v>
      </c>
    </row>
    <row r="1028" spans="1:13" x14ac:dyDescent="0.2">
      <c r="A1028">
        <v>1017</v>
      </c>
      <c r="B1028" t="s">
        <v>1268</v>
      </c>
      <c r="C1028" t="s">
        <v>8815</v>
      </c>
      <c r="D1028" t="s">
        <v>13</v>
      </c>
      <c r="E1028" t="s">
        <v>8816</v>
      </c>
      <c r="F1028" t="s">
        <v>1271</v>
      </c>
      <c r="G1028" t="s">
        <v>8817</v>
      </c>
      <c r="H1028" t="s">
        <v>2012</v>
      </c>
      <c r="I1028" t="s">
        <v>24</v>
      </c>
      <c r="J1028">
        <v>126</v>
      </c>
      <c r="K1028">
        <v>1018</v>
      </c>
      <c r="L1028">
        <v>254</v>
      </c>
      <c r="M1028">
        <f>COUNTIF(H1028:$H$2581,H1028)</f>
        <v>4</v>
      </c>
    </row>
    <row r="1029" spans="1:13" x14ac:dyDescent="0.2">
      <c r="A1029">
        <v>131</v>
      </c>
      <c r="B1029" t="s">
        <v>58</v>
      </c>
      <c r="C1029" t="s">
        <v>59</v>
      </c>
      <c r="D1029" t="s">
        <v>54</v>
      </c>
      <c r="E1029" t="s">
        <v>60</v>
      </c>
      <c r="F1029" t="s">
        <v>61</v>
      </c>
      <c r="G1029" t="s">
        <v>62</v>
      </c>
      <c r="H1029" t="s">
        <v>2012</v>
      </c>
      <c r="I1029" t="b">
        <v>0</v>
      </c>
      <c r="J1029">
        <v>24</v>
      </c>
      <c r="K1029">
        <v>132</v>
      </c>
      <c r="L1029">
        <v>45</v>
      </c>
      <c r="M1029">
        <f>COUNTIF(H1029:$H$2581,H1029)</f>
        <v>3</v>
      </c>
    </row>
    <row r="1030" spans="1:13" x14ac:dyDescent="0.2">
      <c r="A1030">
        <v>1584</v>
      </c>
      <c r="B1030" t="s">
        <v>211</v>
      </c>
      <c r="C1030" t="s">
        <v>212</v>
      </c>
      <c r="D1030" t="s">
        <v>54</v>
      </c>
      <c r="E1030" t="s">
        <v>213</v>
      </c>
      <c r="F1030" t="s">
        <v>214</v>
      </c>
      <c r="G1030" t="s">
        <v>215</v>
      </c>
      <c r="H1030" t="s">
        <v>2012</v>
      </c>
      <c r="I1030" t="s">
        <v>24</v>
      </c>
      <c r="J1030">
        <v>195</v>
      </c>
      <c r="K1030">
        <v>1585</v>
      </c>
      <c r="L1030">
        <v>217</v>
      </c>
      <c r="M1030">
        <f>COUNTIF(H1030:$H$2581,H1030)</f>
        <v>2</v>
      </c>
    </row>
    <row r="1031" spans="1:13" x14ac:dyDescent="0.2">
      <c r="A1031">
        <v>115</v>
      </c>
      <c r="B1031" t="s">
        <v>47</v>
      </c>
      <c r="C1031" t="s">
        <v>324</v>
      </c>
      <c r="D1031" t="s">
        <v>54</v>
      </c>
      <c r="E1031" t="s">
        <v>325</v>
      </c>
      <c r="F1031" t="s">
        <v>50</v>
      </c>
      <c r="G1031" t="s">
        <v>326</v>
      </c>
      <c r="H1031" t="s">
        <v>2012</v>
      </c>
      <c r="I1031" t="s">
        <v>24</v>
      </c>
      <c r="J1031">
        <v>20</v>
      </c>
      <c r="K1031">
        <v>116</v>
      </c>
      <c r="L1031">
        <v>1</v>
      </c>
      <c r="M1031">
        <f>COUNTIF(H1031:$H$2581,H1031)</f>
        <v>1</v>
      </c>
    </row>
    <row r="1032" spans="1:13" x14ac:dyDescent="0.2">
      <c r="A1032">
        <v>154</v>
      </c>
      <c r="B1032" t="s">
        <v>68</v>
      </c>
      <c r="C1032" t="s">
        <v>551</v>
      </c>
      <c r="D1032" t="s">
        <v>13</v>
      </c>
      <c r="E1032" t="s">
        <v>552</v>
      </c>
      <c r="F1032" t="s">
        <v>71</v>
      </c>
      <c r="G1032" t="s">
        <v>553</v>
      </c>
      <c r="H1032" t="s">
        <v>2058</v>
      </c>
      <c r="I1032" t="b">
        <v>1</v>
      </c>
      <c r="J1032">
        <v>28</v>
      </c>
      <c r="K1032">
        <v>155</v>
      </c>
      <c r="L1032">
        <v>46</v>
      </c>
      <c r="M1032">
        <f>COUNTIF(H1032:$H$2581,H1032)</f>
        <v>1</v>
      </c>
    </row>
    <row r="1033" spans="1:13" x14ac:dyDescent="0.2">
      <c r="A1033">
        <v>522</v>
      </c>
      <c r="B1033" t="s">
        <v>881</v>
      </c>
      <c r="C1033" t="s">
        <v>882</v>
      </c>
      <c r="D1033" t="s">
        <v>13</v>
      </c>
      <c r="E1033" t="s">
        <v>883</v>
      </c>
      <c r="F1033" t="s">
        <v>884</v>
      </c>
      <c r="G1033" t="s">
        <v>885</v>
      </c>
      <c r="H1033" t="s">
        <v>2085</v>
      </c>
      <c r="I1033" t="s">
        <v>24</v>
      </c>
      <c r="J1033">
        <v>77</v>
      </c>
      <c r="K1033">
        <v>523</v>
      </c>
      <c r="L1033">
        <v>156</v>
      </c>
      <c r="M1033">
        <f>COUNTIF(H1033:$H$2581,H1033)</f>
        <v>1</v>
      </c>
    </row>
    <row r="1034" spans="1:13" x14ac:dyDescent="0.2">
      <c r="A1034">
        <v>812</v>
      </c>
      <c r="B1034" t="s">
        <v>594</v>
      </c>
      <c r="C1034" t="s">
        <v>1048</v>
      </c>
      <c r="D1034" t="s">
        <v>13</v>
      </c>
      <c r="E1034" t="s">
        <v>1049</v>
      </c>
      <c r="F1034" t="s">
        <v>597</v>
      </c>
      <c r="G1034" t="s">
        <v>1050</v>
      </c>
      <c r="H1034" t="s">
        <v>2120</v>
      </c>
      <c r="I1034" t="b">
        <v>1</v>
      </c>
      <c r="J1034">
        <v>114</v>
      </c>
      <c r="K1034">
        <v>813</v>
      </c>
      <c r="L1034">
        <v>203</v>
      </c>
      <c r="M1034">
        <f>COUNTIF(H1034:$H$2581,H1034)</f>
        <v>4</v>
      </c>
    </row>
    <row r="1035" spans="1:13" x14ac:dyDescent="0.2">
      <c r="A1035">
        <v>2039</v>
      </c>
      <c r="B1035" t="s">
        <v>1313</v>
      </c>
      <c r="C1035" t="s">
        <v>1314</v>
      </c>
      <c r="D1035" t="s">
        <v>13</v>
      </c>
      <c r="E1035" t="s">
        <v>1315</v>
      </c>
      <c r="F1035" t="s">
        <v>1316</v>
      </c>
      <c r="G1035" t="s">
        <v>1317</v>
      </c>
      <c r="H1035" t="s">
        <v>2120</v>
      </c>
      <c r="I1035" t="s">
        <v>24</v>
      </c>
      <c r="J1035">
        <v>238</v>
      </c>
      <c r="K1035">
        <v>2040</v>
      </c>
      <c r="L1035">
        <v>157</v>
      </c>
      <c r="M1035">
        <f>COUNTIF(H1035:$H$2581,H1035)</f>
        <v>3</v>
      </c>
    </row>
    <row r="1036" spans="1:13" x14ac:dyDescent="0.2">
      <c r="A1036">
        <v>317</v>
      </c>
      <c r="B1036" t="s">
        <v>98</v>
      </c>
      <c r="C1036" t="s">
        <v>1378</v>
      </c>
      <c r="D1036" t="s">
        <v>54</v>
      </c>
      <c r="E1036" t="s">
        <v>1379</v>
      </c>
      <c r="F1036" t="s">
        <v>101</v>
      </c>
      <c r="G1036" t="s">
        <v>1380</v>
      </c>
      <c r="H1036" t="s">
        <v>2120</v>
      </c>
      <c r="I1036" t="s">
        <v>24</v>
      </c>
      <c r="J1036">
        <v>46</v>
      </c>
      <c r="K1036">
        <v>318</v>
      </c>
      <c r="L1036">
        <v>37</v>
      </c>
      <c r="M1036">
        <f>COUNTIF(H1036:$H$2581,H1036)</f>
        <v>2</v>
      </c>
    </row>
    <row r="1037" spans="1:13" x14ac:dyDescent="0.2">
      <c r="A1037">
        <v>337</v>
      </c>
      <c r="B1037" t="s">
        <v>455</v>
      </c>
      <c r="C1037" t="s">
        <v>1609</v>
      </c>
      <c r="D1037" t="s">
        <v>13</v>
      </c>
      <c r="E1037" t="s">
        <v>1610</v>
      </c>
      <c r="F1037" t="s">
        <v>458</v>
      </c>
      <c r="G1037" t="s">
        <v>1611</v>
      </c>
      <c r="H1037" t="s">
        <v>2120</v>
      </c>
      <c r="I1037" t="b">
        <v>0</v>
      </c>
      <c r="J1037">
        <v>49</v>
      </c>
      <c r="K1037">
        <v>338</v>
      </c>
      <c r="L1037">
        <v>97</v>
      </c>
      <c r="M1037">
        <f>COUNTIF(H1037:$H$2581,H1037)</f>
        <v>1</v>
      </c>
    </row>
    <row r="1038" spans="1:13" x14ac:dyDescent="0.2">
      <c r="A1038">
        <v>1987</v>
      </c>
      <c r="B1038" t="s">
        <v>1793</v>
      </c>
      <c r="C1038" t="s">
        <v>1794</v>
      </c>
      <c r="D1038" t="s">
        <v>13</v>
      </c>
      <c r="E1038" t="s">
        <v>1795</v>
      </c>
      <c r="F1038" t="s">
        <v>1796</v>
      </c>
      <c r="G1038" t="s">
        <v>1797</v>
      </c>
      <c r="H1038" t="s">
        <v>2174</v>
      </c>
      <c r="I1038" t="b">
        <v>1</v>
      </c>
      <c r="J1038">
        <v>230</v>
      </c>
      <c r="K1038">
        <v>1988</v>
      </c>
      <c r="L1038">
        <v>84</v>
      </c>
      <c r="M1038">
        <f>COUNTIF(H1038:$H$2581,H1038)</f>
        <v>8</v>
      </c>
    </row>
    <row r="1039" spans="1:13" x14ac:dyDescent="0.2">
      <c r="A1039">
        <v>2307</v>
      </c>
      <c r="B1039" t="s">
        <v>703</v>
      </c>
      <c r="C1039" t="s">
        <v>1984</v>
      </c>
      <c r="D1039" t="s">
        <v>54</v>
      </c>
      <c r="E1039" t="s">
        <v>1985</v>
      </c>
      <c r="F1039" t="s">
        <v>706</v>
      </c>
      <c r="G1039" t="s">
        <v>1986</v>
      </c>
      <c r="H1039" t="s">
        <v>2174</v>
      </c>
      <c r="I1039" t="s">
        <v>24</v>
      </c>
      <c r="J1039">
        <v>271</v>
      </c>
      <c r="K1039">
        <v>2308</v>
      </c>
      <c r="L1039">
        <v>10</v>
      </c>
      <c r="M1039">
        <f>COUNTIF(H1039:$H$2581,H1039)</f>
        <v>7</v>
      </c>
    </row>
    <row r="1040" spans="1:13" x14ac:dyDescent="0.2">
      <c r="A1040">
        <v>948</v>
      </c>
      <c r="B1040" t="s">
        <v>203</v>
      </c>
      <c r="C1040" t="s">
        <v>2178</v>
      </c>
      <c r="D1040" t="s">
        <v>13</v>
      </c>
      <c r="E1040" t="s">
        <v>2179</v>
      </c>
      <c r="F1040" t="s">
        <v>206</v>
      </c>
      <c r="G1040" t="s">
        <v>2180</v>
      </c>
      <c r="H1040" t="s">
        <v>2174</v>
      </c>
      <c r="I1040" t="b">
        <v>1</v>
      </c>
      <c r="J1040">
        <v>123</v>
      </c>
      <c r="K1040">
        <v>949</v>
      </c>
      <c r="L1040">
        <v>204</v>
      </c>
      <c r="M1040">
        <f>COUNTIF(H1040:$H$2581,H1040)</f>
        <v>6</v>
      </c>
    </row>
    <row r="1041" spans="1:13" x14ac:dyDescent="0.2">
      <c r="A1041">
        <v>1326</v>
      </c>
      <c r="B1041" t="s">
        <v>2235</v>
      </c>
      <c r="C1041" t="s">
        <v>2236</v>
      </c>
      <c r="D1041" t="s">
        <v>54</v>
      </c>
      <c r="E1041" t="s">
        <v>2237</v>
      </c>
      <c r="F1041" t="s">
        <v>2238</v>
      </c>
      <c r="G1041" t="s">
        <v>2239</v>
      </c>
      <c r="H1041" t="s">
        <v>2174</v>
      </c>
      <c r="I1041" t="b">
        <v>0</v>
      </c>
      <c r="J1041">
        <v>163</v>
      </c>
      <c r="K1041">
        <v>1327</v>
      </c>
      <c r="L1041">
        <v>289</v>
      </c>
      <c r="M1041">
        <f>COUNTIF(H1041:$H$2581,H1041)</f>
        <v>5</v>
      </c>
    </row>
    <row r="1042" spans="1:13" x14ac:dyDescent="0.2">
      <c r="A1042">
        <v>1924</v>
      </c>
      <c r="B1042" t="s">
        <v>439</v>
      </c>
      <c r="C1042" t="s">
        <v>2304</v>
      </c>
      <c r="D1042" t="s">
        <v>33</v>
      </c>
      <c r="E1042" t="s">
        <v>2305</v>
      </c>
      <c r="F1042" t="s">
        <v>442</v>
      </c>
      <c r="G1042" t="s">
        <v>2306</v>
      </c>
      <c r="H1042" t="s">
        <v>2174</v>
      </c>
      <c r="I1042" t="b">
        <v>0</v>
      </c>
      <c r="J1042">
        <v>224</v>
      </c>
      <c r="K1042">
        <v>1925</v>
      </c>
      <c r="L1042">
        <v>120</v>
      </c>
      <c r="M1042">
        <f>COUNTIF(H1042:$H$2581,H1042)</f>
        <v>4</v>
      </c>
    </row>
    <row r="1043" spans="1:13" x14ac:dyDescent="0.2">
      <c r="A1043">
        <v>2041</v>
      </c>
      <c r="B1043" t="s">
        <v>1313</v>
      </c>
      <c r="C1043" t="s">
        <v>2396</v>
      </c>
      <c r="D1043" t="s">
        <v>13</v>
      </c>
      <c r="E1043" t="s">
        <v>2397</v>
      </c>
      <c r="F1043" t="s">
        <v>1316</v>
      </c>
      <c r="G1043" t="s">
        <v>2398</v>
      </c>
      <c r="H1043" t="s">
        <v>2174</v>
      </c>
      <c r="I1043" t="s">
        <v>24</v>
      </c>
      <c r="J1043">
        <v>238</v>
      </c>
      <c r="K1043">
        <v>2042</v>
      </c>
      <c r="L1043">
        <v>121</v>
      </c>
      <c r="M1043">
        <f>COUNTIF(H1043:$H$2581,H1043)</f>
        <v>3</v>
      </c>
    </row>
    <row r="1044" spans="1:13" x14ac:dyDescent="0.2">
      <c r="A1044">
        <v>718</v>
      </c>
      <c r="B1044" t="s">
        <v>1349</v>
      </c>
      <c r="C1044" t="s">
        <v>2457</v>
      </c>
      <c r="D1044" t="s">
        <v>13</v>
      </c>
      <c r="E1044" t="s">
        <v>2458</v>
      </c>
      <c r="F1044" t="s">
        <v>1352</v>
      </c>
      <c r="G1044" t="s">
        <v>2459</v>
      </c>
      <c r="H1044" t="s">
        <v>2174</v>
      </c>
      <c r="I1044" t="b">
        <v>1</v>
      </c>
      <c r="J1044">
        <v>104</v>
      </c>
      <c r="K1044">
        <v>719</v>
      </c>
      <c r="L1044">
        <v>16</v>
      </c>
      <c r="M1044">
        <f>COUNTIF(H1044:$H$2581,H1044)</f>
        <v>2</v>
      </c>
    </row>
    <row r="1045" spans="1:13" x14ac:dyDescent="0.2">
      <c r="A1045">
        <v>596</v>
      </c>
      <c r="B1045" t="s">
        <v>1097</v>
      </c>
      <c r="C1045" t="s">
        <v>2609</v>
      </c>
      <c r="D1045" t="s">
        <v>54</v>
      </c>
      <c r="E1045" t="s">
        <v>2610</v>
      </c>
      <c r="F1045" t="s">
        <v>1100</v>
      </c>
      <c r="G1045" t="s">
        <v>2611</v>
      </c>
      <c r="H1045" t="s">
        <v>2174</v>
      </c>
      <c r="I1045" t="b">
        <v>0</v>
      </c>
      <c r="J1045">
        <v>90</v>
      </c>
      <c r="K1045">
        <v>597</v>
      </c>
      <c r="L1045">
        <v>262</v>
      </c>
      <c r="M1045">
        <f>COUNTIF(H1045:$H$2581,H1045)</f>
        <v>1</v>
      </c>
    </row>
    <row r="1046" spans="1:13" x14ac:dyDescent="0.2">
      <c r="A1046">
        <v>1542</v>
      </c>
      <c r="B1046" t="s">
        <v>282</v>
      </c>
      <c r="C1046" t="s">
        <v>2836</v>
      </c>
      <c r="D1046" t="s">
        <v>54</v>
      </c>
      <c r="E1046" t="s">
        <v>2837</v>
      </c>
      <c r="F1046" t="s">
        <v>285</v>
      </c>
      <c r="G1046" t="s">
        <v>2838</v>
      </c>
      <c r="H1046" t="s">
        <v>2204</v>
      </c>
      <c r="I1046" t="b">
        <v>0</v>
      </c>
      <c r="J1046">
        <v>188</v>
      </c>
      <c r="K1046">
        <v>1543</v>
      </c>
      <c r="L1046">
        <v>17</v>
      </c>
      <c r="M1046">
        <f>COUNTIF(H1046:$H$2581,H1046)</f>
        <v>2</v>
      </c>
    </row>
    <row r="1047" spans="1:13" x14ac:dyDescent="0.2">
      <c r="A1047">
        <v>1397</v>
      </c>
      <c r="B1047" t="s">
        <v>170</v>
      </c>
      <c r="C1047" t="s">
        <v>2956</v>
      </c>
      <c r="D1047" t="s">
        <v>13</v>
      </c>
      <c r="E1047" t="s">
        <v>2957</v>
      </c>
      <c r="F1047" t="s">
        <v>173</v>
      </c>
      <c r="G1047" t="s">
        <v>2958</v>
      </c>
      <c r="H1047" t="s">
        <v>2204</v>
      </c>
      <c r="I1047" t="b">
        <v>1</v>
      </c>
      <c r="J1047">
        <v>168</v>
      </c>
      <c r="K1047">
        <v>1398</v>
      </c>
      <c r="L1047">
        <v>100</v>
      </c>
      <c r="M1047">
        <f>COUNTIF(H1047:$H$2581,H1047)</f>
        <v>1</v>
      </c>
    </row>
    <row r="1048" spans="1:13" x14ac:dyDescent="0.2">
      <c r="A1048">
        <v>2188</v>
      </c>
      <c r="B1048" t="s">
        <v>2870</v>
      </c>
      <c r="C1048" t="s">
        <v>3299</v>
      </c>
      <c r="D1048" t="s">
        <v>13</v>
      </c>
      <c r="E1048" t="s">
        <v>3300</v>
      </c>
      <c r="F1048" t="s">
        <v>2873</v>
      </c>
      <c r="G1048" t="s">
        <v>3301</v>
      </c>
      <c r="H1048" t="s">
        <v>2214</v>
      </c>
      <c r="I1048" t="s">
        <v>24</v>
      </c>
      <c r="J1048">
        <v>257</v>
      </c>
      <c r="K1048">
        <v>2189</v>
      </c>
      <c r="L1048">
        <v>21</v>
      </c>
      <c r="M1048">
        <f>COUNTIF(H1048:$H$2581,H1048)</f>
        <v>1</v>
      </c>
    </row>
    <row r="1049" spans="1:13" x14ac:dyDescent="0.2">
      <c r="A1049">
        <v>638</v>
      </c>
      <c r="B1049" t="s">
        <v>237</v>
      </c>
      <c r="C1049" t="s">
        <v>3378</v>
      </c>
      <c r="D1049" t="s">
        <v>13</v>
      </c>
      <c r="E1049" t="s">
        <v>3379</v>
      </c>
      <c r="F1049" t="s">
        <v>240</v>
      </c>
      <c r="G1049" t="s">
        <v>3380</v>
      </c>
      <c r="H1049" t="s">
        <v>2227</v>
      </c>
      <c r="I1049" t="b">
        <v>1</v>
      </c>
      <c r="J1049">
        <v>92</v>
      </c>
      <c r="K1049">
        <v>639</v>
      </c>
      <c r="L1049">
        <v>280</v>
      </c>
      <c r="M1049">
        <f>COUNTIF(H1049:$H$2581,H1049)</f>
        <v>9</v>
      </c>
    </row>
    <row r="1050" spans="1:13" x14ac:dyDescent="0.2">
      <c r="A1050">
        <v>1322</v>
      </c>
      <c r="B1050" t="s">
        <v>1157</v>
      </c>
      <c r="C1050" t="s">
        <v>3445</v>
      </c>
      <c r="D1050" t="s">
        <v>54</v>
      </c>
      <c r="E1050" t="s">
        <v>3446</v>
      </c>
      <c r="F1050" t="s">
        <v>1160</v>
      </c>
      <c r="G1050" t="s">
        <v>3447</v>
      </c>
      <c r="H1050" t="s">
        <v>2227</v>
      </c>
      <c r="I1050" t="b">
        <v>0</v>
      </c>
      <c r="J1050">
        <v>162</v>
      </c>
      <c r="K1050">
        <v>1323</v>
      </c>
      <c r="L1050">
        <v>240</v>
      </c>
      <c r="M1050">
        <f>COUNTIF(H1050:$H$2581,H1050)</f>
        <v>8</v>
      </c>
    </row>
    <row r="1051" spans="1:13" x14ac:dyDescent="0.2">
      <c r="A1051">
        <v>2148</v>
      </c>
      <c r="B1051" t="s">
        <v>157</v>
      </c>
      <c r="C1051" t="s">
        <v>3509</v>
      </c>
      <c r="D1051" t="s">
        <v>54</v>
      </c>
      <c r="E1051" t="s">
        <v>3622</v>
      </c>
      <c r="F1051" t="s">
        <v>159</v>
      </c>
      <c r="G1051" t="s">
        <v>3511</v>
      </c>
      <c r="H1051" t="s">
        <v>2227</v>
      </c>
      <c r="I1051" t="s">
        <v>24</v>
      </c>
      <c r="J1051">
        <v>250</v>
      </c>
      <c r="K1051">
        <v>2149</v>
      </c>
      <c r="L1051">
        <v>39</v>
      </c>
      <c r="M1051">
        <f>COUNTIF(H1051:$H$2581,H1051)</f>
        <v>7</v>
      </c>
    </row>
    <row r="1052" spans="1:13" x14ac:dyDescent="0.2">
      <c r="A1052">
        <v>2189</v>
      </c>
      <c r="B1052" t="s">
        <v>2870</v>
      </c>
      <c r="C1052" t="s">
        <v>3764</v>
      </c>
      <c r="D1052" t="s">
        <v>13</v>
      </c>
      <c r="E1052" t="s">
        <v>3765</v>
      </c>
      <c r="F1052" t="s">
        <v>2873</v>
      </c>
      <c r="G1052" t="s">
        <v>3766</v>
      </c>
      <c r="H1052" t="s">
        <v>2227</v>
      </c>
      <c r="I1052" t="s">
        <v>24</v>
      </c>
      <c r="J1052">
        <v>257</v>
      </c>
      <c r="K1052">
        <v>2190</v>
      </c>
      <c r="L1052">
        <v>22</v>
      </c>
      <c r="M1052">
        <f>COUNTIF(H1052:$H$2581,H1052)</f>
        <v>6</v>
      </c>
    </row>
    <row r="1053" spans="1:13" x14ac:dyDescent="0.2">
      <c r="A1053">
        <v>1767</v>
      </c>
      <c r="B1053" t="s">
        <v>216</v>
      </c>
      <c r="C1053" t="s">
        <v>3842</v>
      </c>
      <c r="D1053" t="s">
        <v>54</v>
      </c>
      <c r="E1053" t="s">
        <v>3843</v>
      </c>
      <c r="F1053" t="s">
        <v>219</v>
      </c>
      <c r="G1053" t="s">
        <v>3844</v>
      </c>
      <c r="H1053" t="s">
        <v>2227</v>
      </c>
      <c r="I1053" t="b">
        <v>1</v>
      </c>
      <c r="J1053">
        <v>209</v>
      </c>
      <c r="K1053">
        <v>1768</v>
      </c>
      <c r="L1053">
        <v>270</v>
      </c>
      <c r="M1053">
        <f>COUNTIF(H1053:$H$2581,H1053)</f>
        <v>5</v>
      </c>
    </row>
    <row r="1054" spans="1:13" x14ac:dyDescent="0.2">
      <c r="A1054">
        <v>894</v>
      </c>
      <c r="B1054" t="s">
        <v>198</v>
      </c>
      <c r="C1054" t="s">
        <v>3880</v>
      </c>
      <c r="D1054" t="s">
        <v>33</v>
      </c>
      <c r="E1054" t="s">
        <v>3881</v>
      </c>
      <c r="F1054" t="s">
        <v>201</v>
      </c>
      <c r="G1054" t="s">
        <v>3882</v>
      </c>
      <c r="H1054" t="s">
        <v>2227</v>
      </c>
      <c r="I1054" t="b">
        <v>0</v>
      </c>
      <c r="J1054">
        <v>120</v>
      </c>
      <c r="K1054">
        <v>895</v>
      </c>
      <c r="L1054">
        <v>101</v>
      </c>
      <c r="M1054">
        <f>COUNTIF(H1054:$H$2581,H1054)</f>
        <v>4</v>
      </c>
    </row>
    <row r="1055" spans="1:13" x14ac:dyDescent="0.2">
      <c r="A1055">
        <v>729</v>
      </c>
      <c r="B1055" t="s">
        <v>1349</v>
      </c>
      <c r="C1055" t="s">
        <v>3967</v>
      </c>
      <c r="D1055" t="s">
        <v>54</v>
      </c>
      <c r="E1055" t="s">
        <v>3968</v>
      </c>
      <c r="F1055" t="s">
        <v>1352</v>
      </c>
      <c r="G1055" t="s">
        <v>3969</v>
      </c>
      <c r="H1055" t="s">
        <v>2227</v>
      </c>
      <c r="I1055" t="b">
        <v>1</v>
      </c>
      <c r="J1055">
        <v>104</v>
      </c>
      <c r="K1055">
        <v>730</v>
      </c>
      <c r="L1055">
        <v>40</v>
      </c>
      <c r="M1055">
        <f>COUNTIF(H1055:$H$2581,H1055)</f>
        <v>3</v>
      </c>
    </row>
    <row r="1056" spans="1:13" x14ac:dyDescent="0.2">
      <c r="A1056">
        <v>129</v>
      </c>
      <c r="B1056" t="s">
        <v>330</v>
      </c>
      <c r="C1056" t="s">
        <v>3988</v>
      </c>
      <c r="D1056" t="s">
        <v>54</v>
      </c>
      <c r="E1056" t="s">
        <v>3989</v>
      </c>
      <c r="F1056" t="s">
        <v>333</v>
      </c>
      <c r="G1056" t="s">
        <v>3990</v>
      </c>
      <c r="H1056" t="s">
        <v>2227</v>
      </c>
      <c r="I1056" t="b">
        <v>0</v>
      </c>
      <c r="J1056">
        <v>23</v>
      </c>
      <c r="K1056">
        <v>130</v>
      </c>
      <c r="L1056">
        <v>71</v>
      </c>
      <c r="M1056">
        <f>COUNTIF(H1056:$H$2581,H1056)</f>
        <v>2</v>
      </c>
    </row>
    <row r="1057" spans="1:13" x14ac:dyDescent="0.2">
      <c r="A1057">
        <v>1770</v>
      </c>
      <c r="B1057" t="s">
        <v>216</v>
      </c>
      <c r="C1057" t="s">
        <v>4052</v>
      </c>
      <c r="D1057" t="s">
        <v>13</v>
      </c>
      <c r="E1057" t="s">
        <v>4053</v>
      </c>
      <c r="F1057" t="s">
        <v>219</v>
      </c>
      <c r="G1057" t="s">
        <v>4054</v>
      </c>
      <c r="H1057" t="s">
        <v>2227</v>
      </c>
      <c r="I1057" t="b">
        <v>1</v>
      </c>
      <c r="J1057">
        <v>209</v>
      </c>
      <c r="K1057">
        <v>1771</v>
      </c>
      <c r="L1057">
        <v>23</v>
      </c>
      <c r="M1057">
        <f>COUNTIF(H1057:$H$2581,H1057)</f>
        <v>1</v>
      </c>
    </row>
    <row r="1058" spans="1:13" x14ac:dyDescent="0.2">
      <c r="A1058">
        <v>771</v>
      </c>
      <c r="B1058" t="s">
        <v>368</v>
      </c>
      <c r="C1058" t="s">
        <v>4198</v>
      </c>
      <c r="D1058" t="s">
        <v>13</v>
      </c>
      <c r="E1058" t="s">
        <v>4199</v>
      </c>
      <c r="F1058" t="s">
        <v>371</v>
      </c>
      <c r="G1058" t="s">
        <v>4200</v>
      </c>
      <c r="H1058" t="s">
        <v>2278</v>
      </c>
      <c r="I1058" t="s">
        <v>24</v>
      </c>
      <c r="J1058">
        <v>109</v>
      </c>
      <c r="K1058">
        <v>772</v>
      </c>
      <c r="L1058">
        <v>64</v>
      </c>
      <c r="M1058">
        <f>COUNTIF(H1058:$H$2581,H1058)</f>
        <v>1</v>
      </c>
    </row>
    <row r="1059" spans="1:13" x14ac:dyDescent="0.2">
      <c r="A1059">
        <v>2409</v>
      </c>
      <c r="B1059" t="s">
        <v>793</v>
      </c>
      <c r="C1059" t="s">
        <v>4613</v>
      </c>
      <c r="D1059" t="s">
        <v>13</v>
      </c>
      <c r="E1059" t="s">
        <v>4614</v>
      </c>
      <c r="F1059" t="s">
        <v>796</v>
      </c>
      <c r="G1059" t="s">
        <v>4615</v>
      </c>
      <c r="H1059" t="s">
        <v>2285</v>
      </c>
      <c r="I1059" t="s">
        <v>24</v>
      </c>
      <c r="J1059">
        <v>282</v>
      </c>
      <c r="K1059">
        <v>2410</v>
      </c>
      <c r="L1059">
        <v>4</v>
      </c>
      <c r="M1059">
        <f>COUNTIF(H1059:$H$2581,H1059)</f>
        <v>13</v>
      </c>
    </row>
    <row r="1060" spans="1:13" x14ac:dyDescent="0.2">
      <c r="A1060">
        <v>1116</v>
      </c>
      <c r="B1060" t="s">
        <v>1892</v>
      </c>
      <c r="C1060" t="s">
        <v>4675</v>
      </c>
      <c r="D1060" t="s">
        <v>13</v>
      </c>
      <c r="E1060" t="s">
        <v>4676</v>
      </c>
      <c r="F1060" t="s">
        <v>1895</v>
      </c>
      <c r="G1060" t="s">
        <v>4677</v>
      </c>
      <c r="H1060" t="s">
        <v>2285</v>
      </c>
      <c r="I1060" t="s">
        <v>24</v>
      </c>
      <c r="J1060">
        <v>135</v>
      </c>
      <c r="K1060">
        <v>1117</v>
      </c>
      <c r="L1060">
        <v>33</v>
      </c>
      <c r="M1060">
        <f>COUNTIF(H1060:$H$2581,H1060)</f>
        <v>12</v>
      </c>
    </row>
    <row r="1061" spans="1:13" x14ac:dyDescent="0.2">
      <c r="A1061">
        <v>55</v>
      </c>
      <c r="B1061" t="s">
        <v>1357</v>
      </c>
      <c r="C1061" t="s">
        <v>4821</v>
      </c>
      <c r="D1061" t="s">
        <v>54</v>
      </c>
      <c r="E1061" t="s">
        <v>4822</v>
      </c>
      <c r="F1061" t="s">
        <v>1360</v>
      </c>
      <c r="G1061" t="s">
        <v>4823</v>
      </c>
      <c r="H1061" t="s">
        <v>2285</v>
      </c>
      <c r="I1061" t="b">
        <v>0</v>
      </c>
      <c r="J1061">
        <v>8</v>
      </c>
      <c r="K1061">
        <v>56</v>
      </c>
      <c r="L1061">
        <v>41</v>
      </c>
      <c r="M1061">
        <f>COUNTIF(H1061:$H$2581,H1061)</f>
        <v>11</v>
      </c>
    </row>
    <row r="1062" spans="1:13" x14ac:dyDescent="0.2">
      <c r="A1062">
        <v>5</v>
      </c>
      <c r="B1062" t="s">
        <v>449</v>
      </c>
      <c r="C1062" t="s">
        <v>4853</v>
      </c>
      <c r="D1062" t="s">
        <v>13</v>
      </c>
      <c r="E1062" t="s">
        <v>4854</v>
      </c>
      <c r="F1062" t="s">
        <v>452</v>
      </c>
      <c r="G1062" t="s">
        <v>4855</v>
      </c>
      <c r="H1062" t="s">
        <v>2285</v>
      </c>
      <c r="I1062" t="s">
        <v>24</v>
      </c>
      <c r="J1062">
        <v>2</v>
      </c>
      <c r="K1062">
        <v>6</v>
      </c>
      <c r="L1062">
        <v>5</v>
      </c>
      <c r="M1062">
        <f>COUNTIF(H1062:$H$2581,H1062)</f>
        <v>10</v>
      </c>
    </row>
    <row r="1063" spans="1:13" x14ac:dyDescent="0.2">
      <c r="A1063">
        <v>1011</v>
      </c>
      <c r="B1063" t="s">
        <v>1268</v>
      </c>
      <c r="C1063" t="s">
        <v>4905</v>
      </c>
      <c r="D1063" t="s">
        <v>13</v>
      </c>
      <c r="E1063" t="s">
        <v>4906</v>
      </c>
      <c r="F1063" t="s">
        <v>1271</v>
      </c>
      <c r="G1063" t="s">
        <v>4907</v>
      </c>
      <c r="H1063" t="s">
        <v>2285</v>
      </c>
      <c r="I1063" t="s">
        <v>24</v>
      </c>
      <c r="J1063">
        <v>126</v>
      </c>
      <c r="K1063">
        <v>1012</v>
      </c>
      <c r="L1063">
        <v>34</v>
      </c>
      <c r="M1063">
        <f>COUNTIF(H1063:$H$2581,H1063)</f>
        <v>9</v>
      </c>
    </row>
    <row r="1064" spans="1:13" x14ac:dyDescent="0.2">
      <c r="A1064">
        <v>1936</v>
      </c>
      <c r="B1064" t="s">
        <v>439</v>
      </c>
      <c r="C1064" t="s">
        <v>5016</v>
      </c>
      <c r="D1064" t="s">
        <v>33</v>
      </c>
      <c r="E1064" t="s">
        <v>5017</v>
      </c>
      <c r="F1064" t="s">
        <v>442</v>
      </c>
      <c r="G1064" t="s">
        <v>5018</v>
      </c>
      <c r="H1064" t="s">
        <v>2285</v>
      </c>
      <c r="I1064" t="b">
        <v>0</v>
      </c>
      <c r="J1064">
        <v>224</v>
      </c>
      <c r="K1064">
        <v>1937</v>
      </c>
      <c r="L1064">
        <v>123</v>
      </c>
      <c r="M1064">
        <f>COUNTIF(H1064:$H$2581,H1064)</f>
        <v>8</v>
      </c>
    </row>
    <row r="1065" spans="1:13" x14ac:dyDescent="0.2">
      <c r="A1065">
        <v>1240</v>
      </c>
      <c r="B1065" t="s">
        <v>1461</v>
      </c>
      <c r="C1065" t="s">
        <v>5201</v>
      </c>
      <c r="D1065" t="s">
        <v>33</v>
      </c>
      <c r="E1065" t="s">
        <v>5202</v>
      </c>
      <c r="F1065" t="s">
        <v>1464</v>
      </c>
      <c r="G1065" t="s">
        <v>5203</v>
      </c>
      <c r="H1065" t="s">
        <v>2285</v>
      </c>
      <c r="I1065" t="b">
        <v>0</v>
      </c>
      <c r="J1065">
        <v>152</v>
      </c>
      <c r="K1065">
        <v>1241</v>
      </c>
      <c r="L1065">
        <v>425</v>
      </c>
      <c r="M1065">
        <f>COUNTIF(H1065:$H$2581,H1065)</f>
        <v>7</v>
      </c>
    </row>
    <row r="1066" spans="1:13" x14ac:dyDescent="0.2">
      <c r="A1066">
        <v>1938</v>
      </c>
      <c r="B1066" t="s">
        <v>439</v>
      </c>
      <c r="C1066" t="s">
        <v>5279</v>
      </c>
      <c r="D1066" t="s">
        <v>33</v>
      </c>
      <c r="E1066" t="s">
        <v>5280</v>
      </c>
      <c r="F1066" t="s">
        <v>442</v>
      </c>
      <c r="G1066" t="s">
        <v>5281</v>
      </c>
      <c r="H1066" t="s">
        <v>2285</v>
      </c>
      <c r="I1066" t="b">
        <v>0</v>
      </c>
      <c r="J1066">
        <v>224</v>
      </c>
      <c r="K1066">
        <v>1939</v>
      </c>
      <c r="L1066">
        <v>35</v>
      </c>
      <c r="M1066">
        <f>COUNTIF(H1066:$H$2581,H1066)</f>
        <v>6</v>
      </c>
    </row>
    <row r="1067" spans="1:13" x14ac:dyDescent="0.2">
      <c r="A1067">
        <v>2231</v>
      </c>
      <c r="B1067" t="s">
        <v>165</v>
      </c>
      <c r="C1067" t="s">
        <v>5403</v>
      </c>
      <c r="D1067" t="s">
        <v>33</v>
      </c>
      <c r="E1067" t="s">
        <v>5404</v>
      </c>
      <c r="F1067" t="s">
        <v>168</v>
      </c>
      <c r="G1067" t="s">
        <v>5405</v>
      </c>
      <c r="H1067" t="s">
        <v>2285</v>
      </c>
      <c r="I1067" t="s">
        <v>24</v>
      </c>
      <c r="J1067">
        <v>261</v>
      </c>
      <c r="K1067">
        <v>2232</v>
      </c>
      <c r="L1067">
        <v>24</v>
      </c>
      <c r="M1067">
        <f>COUNTIF(H1067:$H$2581,H1067)</f>
        <v>5</v>
      </c>
    </row>
    <row r="1068" spans="1:13" x14ac:dyDescent="0.2">
      <c r="A1068">
        <v>1549</v>
      </c>
      <c r="B1068" t="s">
        <v>282</v>
      </c>
      <c r="C1068" t="s">
        <v>5451</v>
      </c>
      <c r="D1068" t="s">
        <v>13</v>
      </c>
      <c r="E1068" t="s">
        <v>5452</v>
      </c>
      <c r="F1068" t="s">
        <v>285</v>
      </c>
      <c r="G1068" t="s">
        <v>5453</v>
      </c>
      <c r="H1068" t="s">
        <v>2285</v>
      </c>
      <c r="I1068" t="b">
        <v>0</v>
      </c>
      <c r="J1068">
        <v>188</v>
      </c>
      <c r="K1068">
        <v>1550</v>
      </c>
      <c r="L1068">
        <v>12</v>
      </c>
      <c r="M1068">
        <f>COUNTIF(H1068:$H$2581,H1068)</f>
        <v>4</v>
      </c>
    </row>
    <row r="1069" spans="1:13" x14ac:dyDescent="0.2">
      <c r="A1069">
        <v>2112</v>
      </c>
      <c r="B1069" t="s">
        <v>984</v>
      </c>
      <c r="C1069" t="s">
        <v>5539</v>
      </c>
      <c r="D1069" t="s">
        <v>13</v>
      </c>
      <c r="E1069" t="s">
        <v>5540</v>
      </c>
      <c r="F1069" t="s">
        <v>987</v>
      </c>
      <c r="G1069" t="s">
        <v>5541</v>
      </c>
      <c r="H1069" t="s">
        <v>2285</v>
      </c>
      <c r="I1069" t="s">
        <v>24</v>
      </c>
      <c r="J1069">
        <v>243</v>
      </c>
      <c r="K1069">
        <v>2113</v>
      </c>
      <c r="L1069">
        <v>13</v>
      </c>
      <c r="M1069">
        <f>COUNTIF(H1069:$H$2581,H1069)</f>
        <v>3</v>
      </c>
    </row>
    <row r="1070" spans="1:13" x14ac:dyDescent="0.2">
      <c r="A1070">
        <v>2290</v>
      </c>
      <c r="B1070" t="s">
        <v>1070</v>
      </c>
      <c r="C1070" t="s">
        <v>5624</v>
      </c>
      <c r="D1070" t="s">
        <v>54</v>
      </c>
      <c r="E1070" s="1" t="s">
        <v>5625</v>
      </c>
      <c r="F1070" t="s">
        <v>1073</v>
      </c>
      <c r="G1070" t="s">
        <v>5626</v>
      </c>
      <c r="H1070" t="s">
        <v>2285</v>
      </c>
      <c r="I1070" t="b">
        <v>1</v>
      </c>
      <c r="J1070">
        <v>268</v>
      </c>
      <c r="K1070">
        <v>2291</v>
      </c>
      <c r="L1070">
        <v>50</v>
      </c>
      <c r="M1070">
        <f>COUNTIF(H1070:$H$2581,H1070)</f>
        <v>2</v>
      </c>
    </row>
    <row r="1071" spans="1:13" x14ac:dyDescent="0.2">
      <c r="A1071">
        <v>2291</v>
      </c>
      <c r="B1071" t="s">
        <v>1070</v>
      </c>
      <c r="C1071" t="s">
        <v>5808</v>
      </c>
      <c r="D1071" t="s">
        <v>13</v>
      </c>
      <c r="E1071" t="s">
        <v>5809</v>
      </c>
      <c r="F1071" t="s">
        <v>1073</v>
      </c>
      <c r="G1071" t="s">
        <v>5810</v>
      </c>
      <c r="H1071" t="s">
        <v>2285</v>
      </c>
      <c r="I1071" t="b">
        <v>1</v>
      </c>
      <c r="J1071">
        <v>268</v>
      </c>
      <c r="K1071">
        <v>2292</v>
      </c>
      <c r="L1071">
        <v>25</v>
      </c>
      <c r="M1071">
        <f>COUNTIF(H1071:$H$2581,H1071)</f>
        <v>1</v>
      </c>
    </row>
    <row r="1072" spans="1:13" x14ac:dyDescent="0.2">
      <c r="A1072">
        <v>2095</v>
      </c>
      <c r="B1072" t="s">
        <v>255</v>
      </c>
      <c r="C1072" t="s">
        <v>5967</v>
      </c>
      <c r="D1072" t="s">
        <v>13</v>
      </c>
      <c r="E1072" t="s">
        <v>5968</v>
      </c>
      <c r="F1072" t="s">
        <v>258</v>
      </c>
      <c r="G1072" t="s">
        <v>5969</v>
      </c>
      <c r="H1072" t="s">
        <v>2330</v>
      </c>
      <c r="I1072" t="s">
        <v>24</v>
      </c>
      <c r="J1072">
        <v>242</v>
      </c>
      <c r="K1072">
        <v>2096</v>
      </c>
      <c r="L1072">
        <v>124</v>
      </c>
      <c r="M1072">
        <f>COUNTIF(H1072:$H$2581,H1072)</f>
        <v>28</v>
      </c>
    </row>
    <row r="1073" spans="1:13" x14ac:dyDescent="0.2">
      <c r="A1073">
        <v>1414</v>
      </c>
      <c r="B1073" t="s">
        <v>1397</v>
      </c>
      <c r="C1073" t="s">
        <v>6173</v>
      </c>
      <c r="D1073" t="s">
        <v>13</v>
      </c>
      <c r="E1073" t="s">
        <v>6174</v>
      </c>
      <c r="F1073" t="s">
        <v>1400</v>
      </c>
      <c r="G1073" t="s">
        <v>6175</v>
      </c>
      <c r="H1073" t="s">
        <v>2330</v>
      </c>
      <c r="I1073" t="b">
        <v>1</v>
      </c>
      <c r="J1073">
        <v>169</v>
      </c>
      <c r="K1073">
        <v>1415</v>
      </c>
      <c r="L1073">
        <v>167</v>
      </c>
      <c r="M1073">
        <f>COUNTIF(H1073:$H$2581,H1073)</f>
        <v>27</v>
      </c>
    </row>
    <row r="1074" spans="1:13" x14ac:dyDescent="0.2">
      <c r="A1074">
        <v>2141</v>
      </c>
      <c r="B1074" t="s">
        <v>147</v>
      </c>
      <c r="C1074" t="s">
        <v>6315</v>
      </c>
      <c r="D1074" t="s">
        <v>13</v>
      </c>
      <c r="E1074" t="s">
        <v>6316</v>
      </c>
      <c r="F1074" t="s">
        <v>150</v>
      </c>
      <c r="G1074" t="s">
        <v>6317</v>
      </c>
      <c r="H1074" t="s">
        <v>2330</v>
      </c>
      <c r="I1074" t="b">
        <v>1</v>
      </c>
      <c r="J1074">
        <v>248</v>
      </c>
      <c r="K1074">
        <v>2142</v>
      </c>
      <c r="L1074">
        <v>9</v>
      </c>
      <c r="M1074">
        <f>COUNTIF(H1074:$H$2581,H1074)</f>
        <v>26</v>
      </c>
    </row>
    <row r="1075" spans="1:13" x14ac:dyDescent="0.2">
      <c r="A1075">
        <v>1722</v>
      </c>
      <c r="B1075" t="s">
        <v>725</v>
      </c>
      <c r="C1075" t="s">
        <v>6420</v>
      </c>
      <c r="D1075" t="s">
        <v>33</v>
      </c>
      <c r="E1075" t="s">
        <v>6421</v>
      </c>
      <c r="F1075" t="s">
        <v>728</v>
      </c>
      <c r="G1075" t="s">
        <v>6422</v>
      </c>
      <c r="H1075" t="s">
        <v>2330</v>
      </c>
      <c r="I1075" t="b">
        <v>1</v>
      </c>
      <c r="J1075">
        <v>205</v>
      </c>
      <c r="K1075">
        <v>1723</v>
      </c>
      <c r="L1075">
        <v>161</v>
      </c>
      <c r="M1075">
        <f>COUNTIF(H1075:$H$2581,H1075)</f>
        <v>25</v>
      </c>
    </row>
    <row r="1076" spans="1:13" x14ac:dyDescent="0.2">
      <c r="A1076">
        <v>2065</v>
      </c>
      <c r="B1076" t="s">
        <v>1965</v>
      </c>
      <c r="C1076" t="s">
        <v>6648</v>
      </c>
      <c r="D1076" t="s">
        <v>13</v>
      </c>
      <c r="E1076" t="s">
        <v>6649</v>
      </c>
      <c r="F1076" t="s">
        <v>1968</v>
      </c>
      <c r="G1076" t="s">
        <v>6650</v>
      </c>
      <c r="H1076" t="s">
        <v>2330</v>
      </c>
      <c r="I1076" t="b">
        <v>1</v>
      </c>
      <c r="J1076">
        <v>240</v>
      </c>
      <c r="K1076">
        <v>2066</v>
      </c>
      <c r="L1076">
        <v>7</v>
      </c>
      <c r="M1076">
        <f>COUNTIF(H1076:$H$2581,H1076)</f>
        <v>24</v>
      </c>
    </row>
    <row r="1077" spans="1:13" x14ac:dyDescent="0.2">
      <c r="A1077">
        <v>1724</v>
      </c>
      <c r="B1077" t="s">
        <v>725</v>
      </c>
      <c r="C1077" t="s">
        <v>6792</v>
      </c>
      <c r="D1077" t="s">
        <v>54</v>
      </c>
      <c r="E1077" t="s">
        <v>6793</v>
      </c>
      <c r="F1077" t="s">
        <v>728</v>
      </c>
      <c r="G1077" t="s">
        <v>6794</v>
      </c>
      <c r="H1077" t="s">
        <v>2330</v>
      </c>
      <c r="I1077" t="b">
        <v>1</v>
      </c>
      <c r="J1077">
        <v>205</v>
      </c>
      <c r="K1077">
        <v>1725</v>
      </c>
      <c r="L1077">
        <v>106</v>
      </c>
      <c r="M1077">
        <f>COUNTIF(H1077:$H$2581,H1077)</f>
        <v>23</v>
      </c>
    </row>
    <row r="1078" spans="1:13" x14ac:dyDescent="0.2">
      <c r="A1078">
        <v>1984</v>
      </c>
      <c r="B1078" t="s">
        <v>1621</v>
      </c>
      <c r="C1078" t="s">
        <v>6895</v>
      </c>
      <c r="D1078" t="s">
        <v>13</v>
      </c>
      <c r="E1078" t="s">
        <v>6896</v>
      </c>
      <c r="F1078" t="s">
        <v>1624</v>
      </c>
      <c r="G1078" t="s">
        <v>6897</v>
      </c>
      <c r="H1078" t="s">
        <v>2330</v>
      </c>
      <c r="I1078" t="s">
        <v>24</v>
      </c>
      <c r="J1078">
        <v>228</v>
      </c>
      <c r="K1078">
        <v>1985</v>
      </c>
      <c r="L1078">
        <v>125</v>
      </c>
      <c r="M1078">
        <f>COUNTIF(H1078:$H$2581,H1078)</f>
        <v>22</v>
      </c>
    </row>
    <row r="1079" spans="1:13" x14ac:dyDescent="0.2">
      <c r="A1079">
        <v>1340</v>
      </c>
      <c r="B1079" t="s">
        <v>2235</v>
      </c>
      <c r="C1079" t="s">
        <v>6989</v>
      </c>
      <c r="D1079" t="s">
        <v>33</v>
      </c>
      <c r="E1079" t="s">
        <v>6990</v>
      </c>
      <c r="F1079" t="s">
        <v>2238</v>
      </c>
      <c r="G1079" t="s">
        <v>6991</v>
      </c>
      <c r="H1079" t="s">
        <v>2330</v>
      </c>
      <c r="I1079" t="b">
        <v>0</v>
      </c>
      <c r="J1079">
        <v>163</v>
      </c>
      <c r="K1079">
        <v>1341</v>
      </c>
      <c r="L1079">
        <v>107</v>
      </c>
      <c r="M1079">
        <f>COUNTIF(H1079:$H$2581,H1079)</f>
        <v>21</v>
      </c>
    </row>
    <row r="1080" spans="1:13" x14ac:dyDescent="0.2">
      <c r="A1080">
        <v>2056</v>
      </c>
      <c r="B1080" t="s">
        <v>1798</v>
      </c>
      <c r="C1080" t="s">
        <v>7106</v>
      </c>
      <c r="D1080" t="s">
        <v>13</v>
      </c>
      <c r="E1080" t="s">
        <v>7107</v>
      </c>
      <c r="F1080" t="s">
        <v>1801</v>
      </c>
      <c r="G1080" t="s">
        <v>7108</v>
      </c>
      <c r="H1080" t="s">
        <v>2330</v>
      </c>
      <c r="I1080" t="b">
        <v>1</v>
      </c>
      <c r="J1080">
        <v>239</v>
      </c>
      <c r="K1080">
        <v>2057</v>
      </c>
      <c r="L1080">
        <v>14</v>
      </c>
      <c r="M1080">
        <f>COUNTIF(H1080:$H$2581,H1080)</f>
        <v>20</v>
      </c>
    </row>
    <row r="1081" spans="1:13" x14ac:dyDescent="0.2">
      <c r="A1081">
        <v>980</v>
      </c>
      <c r="B1081" t="s">
        <v>203</v>
      </c>
      <c r="C1081" t="s">
        <v>7153</v>
      </c>
      <c r="D1081" t="s">
        <v>13</v>
      </c>
      <c r="E1081" t="s">
        <v>7154</v>
      </c>
      <c r="F1081" t="s">
        <v>206</v>
      </c>
      <c r="G1081" t="s">
        <v>7155</v>
      </c>
      <c r="H1081" t="s">
        <v>2330</v>
      </c>
      <c r="I1081" t="b">
        <v>1</v>
      </c>
      <c r="J1081">
        <v>123</v>
      </c>
      <c r="K1081">
        <v>981</v>
      </c>
      <c r="L1081">
        <v>281</v>
      </c>
      <c r="M1081">
        <f>COUNTIF(H1081:$H$2581,H1081)</f>
        <v>19</v>
      </c>
    </row>
    <row r="1082" spans="1:13" x14ac:dyDescent="0.2">
      <c r="A1082">
        <v>1997</v>
      </c>
      <c r="B1082" t="s">
        <v>1957</v>
      </c>
      <c r="C1082" t="s">
        <v>7200</v>
      </c>
      <c r="D1082" t="s">
        <v>13</v>
      </c>
      <c r="E1082" t="s">
        <v>7201</v>
      </c>
      <c r="F1082" t="s">
        <v>1960</v>
      </c>
      <c r="G1082" t="s">
        <v>7202</v>
      </c>
      <c r="H1082" t="s">
        <v>2330</v>
      </c>
      <c r="I1082" t="s">
        <v>24</v>
      </c>
      <c r="J1082">
        <v>231</v>
      </c>
      <c r="K1082">
        <v>1998</v>
      </c>
      <c r="L1082">
        <v>362</v>
      </c>
      <c r="M1082">
        <f>COUNTIF(H1082:$H$2581,H1082)</f>
        <v>18</v>
      </c>
    </row>
    <row r="1083" spans="1:13" x14ac:dyDescent="0.2">
      <c r="A1083">
        <v>1671</v>
      </c>
      <c r="B1083" t="s">
        <v>1059</v>
      </c>
      <c r="C1083" t="s">
        <v>3913</v>
      </c>
      <c r="D1083" t="s">
        <v>13</v>
      </c>
      <c r="E1083" t="s">
        <v>7384</v>
      </c>
      <c r="F1083" t="s">
        <v>1062</v>
      </c>
      <c r="G1083" t="s">
        <v>7385</v>
      </c>
      <c r="H1083" t="s">
        <v>2330</v>
      </c>
      <c r="I1083" t="b">
        <v>1</v>
      </c>
      <c r="J1083">
        <v>201</v>
      </c>
      <c r="K1083">
        <v>1672</v>
      </c>
      <c r="L1083">
        <v>250</v>
      </c>
      <c r="M1083">
        <f>COUNTIF(H1083:$H$2581,H1083)</f>
        <v>17</v>
      </c>
    </row>
    <row r="1084" spans="1:13" x14ac:dyDescent="0.2">
      <c r="A1084">
        <v>158</v>
      </c>
      <c r="B1084" t="s">
        <v>68</v>
      </c>
      <c r="C1084" t="s">
        <v>7454</v>
      </c>
      <c r="D1084" t="s">
        <v>54</v>
      </c>
      <c r="E1084" t="s">
        <v>7455</v>
      </c>
      <c r="F1084" t="s">
        <v>71</v>
      </c>
      <c r="G1084" t="s">
        <v>7456</v>
      </c>
      <c r="H1084" t="s">
        <v>2330</v>
      </c>
      <c r="I1084" t="b">
        <v>1</v>
      </c>
      <c r="J1084">
        <v>28</v>
      </c>
      <c r="K1084">
        <v>159</v>
      </c>
      <c r="L1084">
        <v>53</v>
      </c>
      <c r="M1084">
        <f>COUNTIF(H1084:$H$2581,H1084)</f>
        <v>16</v>
      </c>
    </row>
    <row r="1085" spans="1:13" x14ac:dyDescent="0.2">
      <c r="A1085">
        <v>1374</v>
      </c>
      <c r="B1085" t="s">
        <v>603</v>
      </c>
      <c r="C1085" t="s">
        <v>7485</v>
      </c>
      <c r="D1085" t="s">
        <v>54</v>
      </c>
      <c r="E1085" t="s">
        <v>7486</v>
      </c>
      <c r="F1085" t="s">
        <v>606</v>
      </c>
      <c r="G1085" t="s">
        <v>7487</v>
      </c>
      <c r="H1085" t="s">
        <v>2330</v>
      </c>
      <c r="I1085" t="s">
        <v>24</v>
      </c>
      <c r="J1085">
        <v>166</v>
      </c>
      <c r="K1085">
        <v>1375</v>
      </c>
      <c r="L1085">
        <v>251</v>
      </c>
      <c r="M1085">
        <f>COUNTIF(H1085:$H$2581,H1085)</f>
        <v>15</v>
      </c>
    </row>
    <row r="1086" spans="1:13" x14ac:dyDescent="0.2">
      <c r="A1086">
        <v>1150</v>
      </c>
      <c r="B1086" t="s">
        <v>957</v>
      </c>
      <c r="C1086" t="s">
        <v>7522</v>
      </c>
      <c r="D1086" t="s">
        <v>13</v>
      </c>
      <c r="E1086" t="s">
        <v>7523</v>
      </c>
      <c r="F1086" t="s">
        <v>960</v>
      </c>
      <c r="G1086" t="s">
        <v>7524</v>
      </c>
      <c r="H1086" t="s">
        <v>2330</v>
      </c>
      <c r="I1086" t="s">
        <v>24</v>
      </c>
      <c r="J1086">
        <v>140</v>
      </c>
      <c r="K1086">
        <v>1151</v>
      </c>
      <c r="L1086">
        <v>26</v>
      </c>
      <c r="M1086">
        <f>COUNTIF(H1086:$H$2581,H1086)</f>
        <v>14</v>
      </c>
    </row>
    <row r="1087" spans="1:13" x14ac:dyDescent="0.2">
      <c r="A1087">
        <v>531</v>
      </c>
      <c r="B1087" t="s">
        <v>7562</v>
      </c>
      <c r="C1087" t="s">
        <v>7563</v>
      </c>
      <c r="D1087" t="s">
        <v>54</v>
      </c>
      <c r="E1087" t="s">
        <v>7564</v>
      </c>
      <c r="F1087" t="s">
        <v>7565</v>
      </c>
      <c r="G1087" t="s">
        <v>7566</v>
      </c>
      <c r="H1087" t="s">
        <v>2330</v>
      </c>
      <c r="I1087" t="b">
        <v>0</v>
      </c>
      <c r="J1087">
        <v>79</v>
      </c>
      <c r="K1087">
        <v>532</v>
      </c>
      <c r="L1087">
        <v>118</v>
      </c>
      <c r="M1087">
        <f>COUNTIF(H1087:$H$2581,H1087)</f>
        <v>13</v>
      </c>
    </row>
    <row r="1088" spans="1:13" x14ac:dyDescent="0.2">
      <c r="A1088">
        <v>585</v>
      </c>
      <c r="B1088" t="s">
        <v>3533</v>
      </c>
      <c r="C1088" t="s">
        <v>7697</v>
      </c>
      <c r="D1088" t="s">
        <v>54</v>
      </c>
      <c r="E1088" t="s">
        <v>7698</v>
      </c>
      <c r="F1088" t="s">
        <v>3536</v>
      </c>
      <c r="G1088" t="s">
        <v>7699</v>
      </c>
      <c r="H1088" t="s">
        <v>2330</v>
      </c>
      <c r="I1088" t="s">
        <v>24</v>
      </c>
      <c r="J1088">
        <v>87</v>
      </c>
      <c r="K1088">
        <v>586</v>
      </c>
      <c r="L1088">
        <v>54</v>
      </c>
      <c r="M1088">
        <f>COUNTIF(H1088:$H$2581,H1088)</f>
        <v>12</v>
      </c>
    </row>
    <row r="1089" spans="1:13" x14ac:dyDescent="0.2">
      <c r="A1089">
        <v>2195</v>
      </c>
      <c r="B1089" t="s">
        <v>2870</v>
      </c>
      <c r="C1089" t="s">
        <v>7840</v>
      </c>
      <c r="D1089" t="s">
        <v>13</v>
      </c>
      <c r="E1089" t="s">
        <v>7841</v>
      </c>
      <c r="F1089" t="s">
        <v>2873</v>
      </c>
      <c r="G1089" t="s">
        <v>7842</v>
      </c>
      <c r="H1089" t="s">
        <v>2330</v>
      </c>
      <c r="I1089" t="s">
        <v>24</v>
      </c>
      <c r="J1089">
        <v>257</v>
      </c>
      <c r="K1089">
        <v>2196</v>
      </c>
      <c r="L1089">
        <v>27</v>
      </c>
      <c r="M1089">
        <f>COUNTIF(H1089:$H$2581,H1089)</f>
        <v>11</v>
      </c>
    </row>
    <row r="1090" spans="1:13" x14ac:dyDescent="0.2">
      <c r="A1090">
        <v>1786</v>
      </c>
      <c r="B1090" t="s">
        <v>216</v>
      </c>
      <c r="C1090" t="s">
        <v>7925</v>
      </c>
      <c r="D1090" t="s">
        <v>54</v>
      </c>
      <c r="E1090" t="s">
        <v>7926</v>
      </c>
      <c r="F1090" t="s">
        <v>219</v>
      </c>
      <c r="G1090" t="s">
        <v>7927</v>
      </c>
      <c r="H1090" t="s">
        <v>2330</v>
      </c>
      <c r="I1090" t="b">
        <v>1</v>
      </c>
      <c r="J1090">
        <v>209</v>
      </c>
      <c r="K1090">
        <v>1787</v>
      </c>
      <c r="L1090">
        <v>183</v>
      </c>
      <c r="M1090">
        <f>COUNTIF(H1090:$H$2581,H1090)</f>
        <v>10</v>
      </c>
    </row>
    <row r="1091" spans="1:13" x14ac:dyDescent="0.2">
      <c r="A1091">
        <v>1253</v>
      </c>
      <c r="B1091" t="s">
        <v>709</v>
      </c>
      <c r="C1091" t="s">
        <v>7977</v>
      </c>
      <c r="D1091" t="s">
        <v>33</v>
      </c>
      <c r="E1091" t="s">
        <v>7978</v>
      </c>
      <c r="F1091" t="s">
        <v>712</v>
      </c>
      <c r="G1091" t="s">
        <v>7979</v>
      </c>
      <c r="H1091" t="s">
        <v>2330</v>
      </c>
      <c r="I1091" t="b">
        <v>0</v>
      </c>
      <c r="J1091">
        <v>154</v>
      </c>
      <c r="K1091">
        <v>1254</v>
      </c>
      <c r="L1091">
        <v>284</v>
      </c>
      <c r="M1091">
        <f>COUNTIF(H1091:$H$2581,H1091)</f>
        <v>9</v>
      </c>
    </row>
    <row r="1092" spans="1:13" x14ac:dyDescent="0.2">
      <c r="A1092">
        <v>1758</v>
      </c>
      <c r="B1092" t="s">
        <v>1004</v>
      </c>
      <c r="C1092" t="s">
        <v>8046</v>
      </c>
      <c r="D1092" t="s">
        <v>33</v>
      </c>
      <c r="E1092" t="s">
        <v>8047</v>
      </c>
      <c r="F1092" t="s">
        <v>1007</v>
      </c>
      <c r="G1092" t="s">
        <v>8048</v>
      </c>
      <c r="H1092" t="s">
        <v>2330</v>
      </c>
      <c r="I1092" t="b">
        <v>0</v>
      </c>
      <c r="J1092">
        <v>208</v>
      </c>
      <c r="K1092">
        <v>1759</v>
      </c>
      <c r="L1092">
        <v>128</v>
      </c>
      <c r="M1092">
        <f>COUNTIF(H1092:$H$2581,H1092)</f>
        <v>8</v>
      </c>
    </row>
    <row r="1093" spans="1:13" x14ac:dyDescent="0.2">
      <c r="A1093">
        <v>1070</v>
      </c>
      <c r="B1093" t="s">
        <v>1884</v>
      </c>
      <c r="C1093" t="s">
        <v>8112</v>
      </c>
      <c r="D1093" t="s">
        <v>54</v>
      </c>
      <c r="E1093" t="s">
        <v>8113</v>
      </c>
      <c r="F1093" t="s">
        <v>1887</v>
      </c>
      <c r="G1093" t="s">
        <v>8114</v>
      </c>
      <c r="H1093" t="s">
        <v>2330</v>
      </c>
      <c r="I1093" t="s">
        <v>24</v>
      </c>
      <c r="J1093">
        <v>131</v>
      </c>
      <c r="K1093">
        <v>1071</v>
      </c>
      <c r="L1093">
        <v>29</v>
      </c>
      <c r="M1093">
        <f>COUNTIF(H1093:$H$2581,H1093)</f>
        <v>7</v>
      </c>
    </row>
    <row r="1094" spans="1:13" x14ac:dyDescent="0.2">
      <c r="A1094">
        <v>2084</v>
      </c>
      <c r="B1094" t="s">
        <v>1970</v>
      </c>
      <c r="C1094" t="s">
        <v>8222</v>
      </c>
      <c r="D1094" t="s">
        <v>54</v>
      </c>
      <c r="E1094" t="s">
        <v>8223</v>
      </c>
      <c r="F1094" t="s">
        <v>1973</v>
      </c>
      <c r="G1094" t="s">
        <v>8224</v>
      </c>
      <c r="H1094" t="s">
        <v>2330</v>
      </c>
      <c r="I1094" t="s">
        <v>24</v>
      </c>
      <c r="J1094">
        <v>241</v>
      </c>
      <c r="K1094">
        <v>2085</v>
      </c>
      <c r="L1094">
        <v>30</v>
      </c>
      <c r="M1094">
        <f>COUNTIF(H1094:$H$2581,H1094)</f>
        <v>6</v>
      </c>
    </row>
    <row r="1095" spans="1:13" x14ac:dyDescent="0.2">
      <c r="A1095">
        <v>737</v>
      </c>
      <c r="B1095" t="s">
        <v>1349</v>
      </c>
      <c r="C1095" t="s">
        <v>8326</v>
      </c>
      <c r="D1095" t="s">
        <v>54</v>
      </c>
      <c r="E1095" t="s">
        <v>8327</v>
      </c>
      <c r="F1095" t="s">
        <v>1352</v>
      </c>
      <c r="G1095" t="s">
        <v>8328</v>
      </c>
      <c r="H1095" t="s">
        <v>2330</v>
      </c>
      <c r="I1095" t="b">
        <v>1</v>
      </c>
      <c r="J1095">
        <v>104</v>
      </c>
      <c r="K1095">
        <v>738</v>
      </c>
      <c r="L1095">
        <v>42</v>
      </c>
      <c r="M1095">
        <f>COUNTIF(H1095:$H$2581,H1095)</f>
        <v>5</v>
      </c>
    </row>
    <row r="1096" spans="1:13" x14ac:dyDescent="0.2">
      <c r="A1096">
        <v>292</v>
      </c>
      <c r="B1096" t="s">
        <v>2105</v>
      </c>
      <c r="C1096" t="s">
        <v>8410</v>
      </c>
      <c r="D1096" t="s">
        <v>13</v>
      </c>
      <c r="E1096" t="s">
        <v>8411</v>
      </c>
      <c r="F1096" t="s">
        <v>2108</v>
      </c>
      <c r="G1096" t="s">
        <v>8412</v>
      </c>
      <c r="H1096" t="s">
        <v>2330</v>
      </c>
      <c r="I1096" t="s">
        <v>24</v>
      </c>
      <c r="J1096">
        <v>44</v>
      </c>
      <c r="K1096">
        <v>293</v>
      </c>
      <c r="L1096">
        <v>130</v>
      </c>
      <c r="M1096">
        <f>COUNTIF(H1096:$H$2581,H1096)</f>
        <v>4</v>
      </c>
    </row>
    <row r="1097" spans="1:13" x14ac:dyDescent="0.2">
      <c r="A1097">
        <v>313</v>
      </c>
      <c r="B1097" t="s">
        <v>784</v>
      </c>
      <c r="C1097" t="s">
        <v>8466</v>
      </c>
      <c r="D1097" t="s">
        <v>33</v>
      </c>
      <c r="E1097" t="s">
        <v>8467</v>
      </c>
      <c r="F1097" t="s">
        <v>787</v>
      </c>
      <c r="G1097" t="s">
        <v>8468</v>
      </c>
      <c r="H1097" t="s">
        <v>2330</v>
      </c>
      <c r="I1097" t="b">
        <v>0</v>
      </c>
      <c r="J1097">
        <v>45</v>
      </c>
      <c r="K1097">
        <v>314</v>
      </c>
      <c r="L1097">
        <v>147</v>
      </c>
      <c r="M1097">
        <f>COUNTIF(H1097:$H$2581,H1097)</f>
        <v>3</v>
      </c>
    </row>
    <row r="1098" spans="1:13" x14ac:dyDescent="0.2">
      <c r="A1098">
        <v>152</v>
      </c>
      <c r="B1098" t="s">
        <v>63</v>
      </c>
      <c r="C1098" t="s">
        <v>8499</v>
      </c>
      <c r="D1098" t="s">
        <v>54</v>
      </c>
      <c r="E1098" t="s">
        <v>8500</v>
      </c>
      <c r="F1098" t="s">
        <v>66</v>
      </c>
      <c r="G1098" t="s">
        <v>8501</v>
      </c>
      <c r="H1098" t="s">
        <v>2330</v>
      </c>
      <c r="I1098" t="s">
        <v>24</v>
      </c>
      <c r="J1098">
        <v>27</v>
      </c>
      <c r="K1098">
        <v>153</v>
      </c>
      <c r="L1098">
        <v>58</v>
      </c>
      <c r="M1098">
        <f>COUNTIF(H1098:$H$2581,H1098)</f>
        <v>2</v>
      </c>
    </row>
    <row r="1099" spans="1:13" x14ac:dyDescent="0.2">
      <c r="A1099">
        <v>242</v>
      </c>
      <c r="B1099" t="s">
        <v>1120</v>
      </c>
      <c r="C1099" t="s">
        <v>8524</v>
      </c>
      <c r="D1099" t="s">
        <v>13</v>
      </c>
      <c r="E1099" t="s">
        <v>8525</v>
      </c>
      <c r="F1099" s="1" t="s">
        <v>1123</v>
      </c>
      <c r="G1099" t="s">
        <v>8526</v>
      </c>
      <c r="H1099" t="s">
        <v>2330</v>
      </c>
      <c r="I1099" t="b">
        <v>0</v>
      </c>
      <c r="J1099">
        <v>40</v>
      </c>
      <c r="K1099">
        <v>243</v>
      </c>
      <c r="L1099">
        <v>110</v>
      </c>
      <c r="M1099">
        <f>COUNTIF(H1099:$H$2581,H1099)</f>
        <v>1</v>
      </c>
    </row>
    <row r="1100" spans="1:13" x14ac:dyDescent="0.2">
      <c r="A1100">
        <v>2240</v>
      </c>
      <c r="B1100" t="s">
        <v>165</v>
      </c>
      <c r="C1100" t="s">
        <v>8594</v>
      </c>
      <c r="D1100" t="s">
        <v>33</v>
      </c>
      <c r="E1100" t="s">
        <v>8595</v>
      </c>
      <c r="F1100" t="s">
        <v>168</v>
      </c>
      <c r="G1100" t="s">
        <v>8596</v>
      </c>
      <c r="H1100" t="s">
        <v>2424</v>
      </c>
      <c r="I1100" t="s">
        <v>24</v>
      </c>
      <c r="J1100">
        <v>261</v>
      </c>
      <c r="K1100">
        <v>2241</v>
      </c>
      <c r="L1100">
        <v>56</v>
      </c>
      <c r="M1100">
        <f>COUNTIF(H1100:$H$2581,H1100)</f>
        <v>3</v>
      </c>
    </row>
    <row r="1101" spans="1:13" x14ac:dyDescent="0.2">
      <c r="A1101">
        <v>2454</v>
      </c>
      <c r="B1101" t="s">
        <v>1327</v>
      </c>
      <c r="C1101" t="s">
        <v>8787</v>
      </c>
      <c r="D1101" t="s">
        <v>54</v>
      </c>
      <c r="E1101" t="s">
        <v>8788</v>
      </c>
      <c r="F1101" t="s">
        <v>1330</v>
      </c>
      <c r="G1101" t="s">
        <v>8789</v>
      </c>
      <c r="H1101" t="s">
        <v>2424</v>
      </c>
      <c r="I1101" t="b">
        <v>0</v>
      </c>
      <c r="J1101">
        <v>283</v>
      </c>
      <c r="K1101">
        <v>2455</v>
      </c>
      <c r="L1101">
        <v>31</v>
      </c>
      <c r="M1101">
        <f>COUNTIF(H1101:$H$2581,H1101)</f>
        <v>2</v>
      </c>
    </row>
    <row r="1102" spans="1:13" x14ac:dyDescent="0.2">
      <c r="A1102">
        <v>1280</v>
      </c>
      <c r="B1102" t="s">
        <v>1273</v>
      </c>
      <c r="C1102" t="s">
        <v>8818</v>
      </c>
      <c r="D1102" t="s">
        <v>13</v>
      </c>
      <c r="E1102" t="s">
        <v>8819</v>
      </c>
      <c r="F1102" t="s">
        <v>1276</v>
      </c>
      <c r="G1102" t="s">
        <v>8820</v>
      </c>
      <c r="H1102" t="s">
        <v>2424</v>
      </c>
      <c r="I1102" t="b">
        <v>1</v>
      </c>
      <c r="J1102">
        <v>157</v>
      </c>
      <c r="K1102">
        <v>1281</v>
      </c>
      <c r="L1102">
        <v>254</v>
      </c>
      <c r="M1102">
        <f>COUNTIF(H1102:$H$2581,H1102)</f>
        <v>1</v>
      </c>
    </row>
    <row r="1103" spans="1:13" x14ac:dyDescent="0.2">
      <c r="A1103">
        <v>118</v>
      </c>
      <c r="B1103" t="s">
        <v>52</v>
      </c>
      <c r="C1103" t="s">
        <v>53</v>
      </c>
      <c r="D1103" t="s">
        <v>54</v>
      </c>
      <c r="E1103" t="s">
        <v>55</v>
      </c>
      <c r="F1103" t="s">
        <v>56</v>
      </c>
      <c r="G1103" t="s">
        <v>57</v>
      </c>
      <c r="H1103" t="s">
        <v>2453</v>
      </c>
      <c r="I1103" t="b">
        <v>0</v>
      </c>
      <c r="J1103">
        <v>22</v>
      </c>
      <c r="K1103">
        <v>119</v>
      </c>
      <c r="L1103">
        <v>45</v>
      </c>
      <c r="M1103">
        <f>COUNTIF(H1103:$H$2581,H1103)</f>
        <v>8</v>
      </c>
    </row>
    <row r="1104" spans="1:13" x14ac:dyDescent="0.2">
      <c r="A1104">
        <v>1394</v>
      </c>
      <c r="B1104" t="s">
        <v>170</v>
      </c>
      <c r="C1104" t="s">
        <v>208</v>
      </c>
      <c r="D1104" t="s">
        <v>13</v>
      </c>
      <c r="E1104" t="s">
        <v>209</v>
      </c>
      <c r="F1104" t="s">
        <v>173</v>
      </c>
      <c r="G1104" t="s">
        <v>210</v>
      </c>
      <c r="H1104" t="s">
        <v>2453</v>
      </c>
      <c r="I1104" t="b">
        <v>1</v>
      </c>
      <c r="J1104">
        <v>168</v>
      </c>
      <c r="K1104">
        <v>1395</v>
      </c>
      <c r="L1104">
        <v>217</v>
      </c>
      <c r="M1104">
        <f>COUNTIF(H1104:$H$2581,H1104)</f>
        <v>7</v>
      </c>
    </row>
    <row r="1105" spans="1:13" x14ac:dyDescent="0.2">
      <c r="A1105">
        <v>107</v>
      </c>
      <c r="B1105" t="s">
        <v>42</v>
      </c>
      <c r="C1105" t="s">
        <v>321</v>
      </c>
      <c r="D1105" t="s">
        <v>13</v>
      </c>
      <c r="E1105" s="1" t="s">
        <v>322</v>
      </c>
      <c r="F1105" t="s">
        <v>45</v>
      </c>
      <c r="G1105" t="s">
        <v>323</v>
      </c>
      <c r="H1105" t="s">
        <v>2453</v>
      </c>
      <c r="I1105" t="b">
        <v>1</v>
      </c>
      <c r="J1105">
        <v>19</v>
      </c>
      <c r="K1105">
        <v>108</v>
      </c>
      <c r="L1105">
        <v>1</v>
      </c>
      <c r="M1105">
        <f>COUNTIF(H1105:$H$2581,H1105)</f>
        <v>6</v>
      </c>
    </row>
    <row r="1106" spans="1:13" x14ac:dyDescent="0.2">
      <c r="A1106">
        <v>2005</v>
      </c>
      <c r="B1106" t="s">
        <v>444</v>
      </c>
      <c r="C1106" t="s">
        <v>445</v>
      </c>
      <c r="D1106" t="s">
        <v>13</v>
      </c>
      <c r="E1106" t="s">
        <v>446</v>
      </c>
      <c r="F1106" t="s">
        <v>447</v>
      </c>
      <c r="G1106" t="s">
        <v>448</v>
      </c>
      <c r="H1106" t="s">
        <v>2453</v>
      </c>
      <c r="I1106" t="s">
        <v>24</v>
      </c>
      <c r="J1106">
        <v>233</v>
      </c>
      <c r="K1106">
        <v>2006</v>
      </c>
      <c r="L1106">
        <v>90</v>
      </c>
      <c r="M1106">
        <f>COUNTIF(H1106:$H$2581,H1106)</f>
        <v>5</v>
      </c>
    </row>
    <row r="1107" spans="1:13" x14ac:dyDescent="0.2">
      <c r="A1107">
        <v>2501</v>
      </c>
      <c r="B1107" t="s">
        <v>481</v>
      </c>
      <c r="C1107" t="s">
        <v>482</v>
      </c>
      <c r="D1107" t="s">
        <v>13</v>
      </c>
      <c r="E1107" t="s">
        <v>483</v>
      </c>
      <c r="F1107" t="s">
        <v>484</v>
      </c>
      <c r="G1107" t="s">
        <v>485</v>
      </c>
      <c r="H1107" t="s">
        <v>2453</v>
      </c>
      <c r="I1107" t="s">
        <v>24</v>
      </c>
      <c r="J1107">
        <v>291</v>
      </c>
      <c r="K1107">
        <v>2502</v>
      </c>
      <c r="L1107">
        <v>155</v>
      </c>
      <c r="M1107">
        <f>COUNTIF(H1107:$H$2581,H1107)</f>
        <v>4</v>
      </c>
    </row>
    <row r="1108" spans="1:13" x14ac:dyDescent="0.2">
      <c r="A1108">
        <v>142</v>
      </c>
      <c r="B1108" t="s">
        <v>546</v>
      </c>
      <c r="C1108" t="s">
        <v>547</v>
      </c>
      <c r="D1108" t="s">
        <v>54</v>
      </c>
      <c r="E1108" t="s">
        <v>548</v>
      </c>
      <c r="F1108" t="s">
        <v>549</v>
      </c>
      <c r="G1108" t="s">
        <v>550</v>
      </c>
      <c r="H1108" t="s">
        <v>2453</v>
      </c>
      <c r="I1108" t="s">
        <v>24</v>
      </c>
      <c r="J1108">
        <v>26</v>
      </c>
      <c r="K1108">
        <v>143</v>
      </c>
      <c r="L1108">
        <v>46</v>
      </c>
      <c r="M1108">
        <f>COUNTIF(H1108:$H$2581,H1108)</f>
        <v>3</v>
      </c>
    </row>
    <row r="1109" spans="1:13" x14ac:dyDescent="0.2">
      <c r="A1109">
        <v>700</v>
      </c>
      <c r="B1109" t="s">
        <v>730</v>
      </c>
      <c r="C1109" t="s">
        <v>731</v>
      </c>
      <c r="D1109" t="s">
        <v>13</v>
      </c>
      <c r="E1109" t="s">
        <v>732</v>
      </c>
      <c r="F1109" t="s">
        <v>733</v>
      </c>
      <c r="G1109" t="s">
        <v>734</v>
      </c>
      <c r="H1109" t="s">
        <v>2453</v>
      </c>
      <c r="I1109" t="s">
        <v>24</v>
      </c>
      <c r="J1109">
        <v>103</v>
      </c>
      <c r="K1109">
        <v>701</v>
      </c>
      <c r="L1109">
        <v>293</v>
      </c>
      <c r="M1109">
        <f>COUNTIF(H1109:$H$2581,H1109)</f>
        <v>2</v>
      </c>
    </row>
    <row r="1110" spans="1:13" x14ac:dyDescent="0.2">
      <c r="A1110">
        <v>679</v>
      </c>
      <c r="B1110" t="s">
        <v>886</v>
      </c>
      <c r="C1110" t="s">
        <v>887</v>
      </c>
      <c r="D1110" t="s">
        <v>13</v>
      </c>
      <c r="E1110" t="s">
        <v>888</v>
      </c>
      <c r="F1110" t="s">
        <v>889</v>
      </c>
      <c r="G1110" t="s">
        <v>890</v>
      </c>
      <c r="H1110" t="s">
        <v>2453</v>
      </c>
      <c r="I1110" t="s">
        <v>24</v>
      </c>
      <c r="J1110">
        <v>100</v>
      </c>
      <c r="K1110">
        <v>680</v>
      </c>
      <c r="L1110">
        <v>156</v>
      </c>
      <c r="M1110">
        <f>COUNTIF(H1110:$H$2581,H1110)</f>
        <v>1</v>
      </c>
    </row>
    <row r="1111" spans="1:13" x14ac:dyDescent="0.2">
      <c r="A1111">
        <v>1166</v>
      </c>
      <c r="B1111" t="s">
        <v>429</v>
      </c>
      <c r="C1111" t="s">
        <v>1051</v>
      </c>
      <c r="D1111" t="s">
        <v>13</v>
      </c>
      <c r="E1111" t="s">
        <v>1052</v>
      </c>
      <c r="F1111" t="s">
        <v>432</v>
      </c>
      <c r="G1111" t="s">
        <v>1053</v>
      </c>
      <c r="H1111" t="s">
        <v>2484</v>
      </c>
      <c r="I1111" t="b">
        <v>0</v>
      </c>
      <c r="J1111">
        <v>143</v>
      </c>
      <c r="K1111">
        <v>1167</v>
      </c>
      <c r="L1111">
        <v>203</v>
      </c>
      <c r="M1111">
        <f>COUNTIF(H1111:$H$2581,H1111)</f>
        <v>4</v>
      </c>
    </row>
    <row r="1112" spans="1:13" x14ac:dyDescent="0.2">
      <c r="A1112">
        <v>2243</v>
      </c>
      <c r="B1112" t="s">
        <v>411</v>
      </c>
      <c r="C1112" t="s">
        <v>1318</v>
      </c>
      <c r="D1112" t="s">
        <v>54</v>
      </c>
      <c r="E1112" t="s">
        <v>1319</v>
      </c>
      <c r="F1112" t="s">
        <v>414</v>
      </c>
      <c r="G1112" t="s">
        <v>1320</v>
      </c>
      <c r="H1112" t="s">
        <v>2484</v>
      </c>
      <c r="I1112" t="s">
        <v>24</v>
      </c>
      <c r="J1112">
        <v>262</v>
      </c>
      <c r="K1112">
        <v>2244</v>
      </c>
      <c r="L1112">
        <v>157</v>
      </c>
      <c r="M1112">
        <f>COUNTIF(H1112:$H$2581,H1112)</f>
        <v>3</v>
      </c>
    </row>
    <row r="1113" spans="1:13" x14ac:dyDescent="0.2">
      <c r="A1113">
        <v>546</v>
      </c>
      <c r="B1113" t="s">
        <v>103</v>
      </c>
      <c r="C1113" t="s">
        <v>1375</v>
      </c>
      <c r="D1113" t="s">
        <v>54</v>
      </c>
      <c r="E1113" s="1" t="s">
        <v>1381</v>
      </c>
      <c r="F1113" t="s">
        <v>105</v>
      </c>
      <c r="G1113" t="s">
        <v>1377</v>
      </c>
      <c r="H1113" t="s">
        <v>2484</v>
      </c>
      <c r="I1113" t="b">
        <v>0</v>
      </c>
      <c r="J1113">
        <v>81</v>
      </c>
      <c r="K1113">
        <v>547</v>
      </c>
      <c r="L1113">
        <v>37</v>
      </c>
      <c r="M1113">
        <f>COUNTIF(H1113:$H$2581,H1113)</f>
        <v>2</v>
      </c>
    </row>
    <row r="1114" spans="1:13" x14ac:dyDescent="0.2">
      <c r="A1114">
        <v>1085</v>
      </c>
      <c r="B1114" t="s">
        <v>1075</v>
      </c>
      <c r="C1114" t="s">
        <v>1543</v>
      </c>
      <c r="D1114" t="s">
        <v>13</v>
      </c>
      <c r="E1114" t="s">
        <v>1544</v>
      </c>
      <c r="F1114" t="s">
        <v>1078</v>
      </c>
      <c r="G1114" t="s">
        <v>1545</v>
      </c>
      <c r="H1114" t="s">
        <v>2484</v>
      </c>
      <c r="I1114" t="s">
        <v>24</v>
      </c>
      <c r="J1114">
        <v>133</v>
      </c>
      <c r="K1114">
        <v>1086</v>
      </c>
      <c r="L1114">
        <v>377</v>
      </c>
      <c r="M1114">
        <f>COUNTIF(H1114:$H$2581,H1114)</f>
        <v>1</v>
      </c>
    </row>
    <row r="1115" spans="1:13" x14ac:dyDescent="0.2">
      <c r="A1115">
        <v>512</v>
      </c>
      <c r="B1115" t="s">
        <v>486</v>
      </c>
      <c r="C1115" t="s">
        <v>1612</v>
      </c>
      <c r="D1115" t="s">
        <v>13</v>
      </c>
      <c r="E1115" t="s">
        <v>1613</v>
      </c>
      <c r="F1115" t="s">
        <v>489</v>
      </c>
      <c r="G1115" t="s">
        <v>1614</v>
      </c>
      <c r="H1115" t="s">
        <v>2502</v>
      </c>
      <c r="I1115" t="b">
        <v>0</v>
      </c>
      <c r="J1115">
        <v>74</v>
      </c>
      <c r="K1115">
        <v>513</v>
      </c>
      <c r="L1115">
        <v>97</v>
      </c>
      <c r="M1115">
        <f>COUNTIF(H1115:$H$2581,H1115)</f>
        <v>2</v>
      </c>
    </row>
    <row r="1116" spans="1:13" x14ac:dyDescent="0.2">
      <c r="A1116">
        <v>2047</v>
      </c>
      <c r="B1116" t="s">
        <v>1798</v>
      </c>
      <c r="C1116" t="s">
        <v>1799</v>
      </c>
      <c r="D1116" t="s">
        <v>13</v>
      </c>
      <c r="E1116" t="s">
        <v>1800</v>
      </c>
      <c r="F1116" t="s">
        <v>1801</v>
      </c>
      <c r="G1116" t="s">
        <v>1802</v>
      </c>
      <c r="H1116" t="s">
        <v>2502</v>
      </c>
      <c r="I1116" t="b">
        <v>1</v>
      </c>
      <c r="J1116">
        <v>239</v>
      </c>
      <c r="K1116">
        <v>2048</v>
      </c>
      <c r="L1116">
        <v>84</v>
      </c>
      <c r="M1116">
        <f>COUNTIF(H1116:$H$2581,H1116)</f>
        <v>1</v>
      </c>
    </row>
    <row r="1117" spans="1:13" x14ac:dyDescent="0.2">
      <c r="A1117">
        <v>2398</v>
      </c>
      <c r="B1117" t="s">
        <v>1987</v>
      </c>
      <c r="C1117" t="s">
        <v>1988</v>
      </c>
      <c r="D1117" t="s">
        <v>13</v>
      </c>
      <c r="E1117" t="s">
        <v>1989</v>
      </c>
      <c r="F1117" t="s">
        <v>1990</v>
      </c>
      <c r="G1117" t="s">
        <v>1991</v>
      </c>
      <c r="H1117" t="s">
        <v>2512</v>
      </c>
      <c r="I1117" t="b">
        <v>1</v>
      </c>
      <c r="J1117">
        <v>281</v>
      </c>
      <c r="K1117">
        <v>2399</v>
      </c>
      <c r="L1117">
        <v>10</v>
      </c>
      <c r="M1117">
        <f>COUNTIF(H1117:$H$2581,H1117)</f>
        <v>4</v>
      </c>
    </row>
    <row r="1118" spans="1:13" x14ac:dyDescent="0.2">
      <c r="A1118">
        <v>1089</v>
      </c>
      <c r="B1118" t="s">
        <v>1075</v>
      </c>
      <c r="C1118" t="s">
        <v>2181</v>
      </c>
      <c r="D1118" t="s">
        <v>54</v>
      </c>
      <c r="E1118" t="s">
        <v>2182</v>
      </c>
      <c r="F1118" t="s">
        <v>1078</v>
      </c>
      <c r="G1118" t="s">
        <v>2183</v>
      </c>
      <c r="H1118" t="s">
        <v>2512</v>
      </c>
      <c r="I1118" t="s">
        <v>24</v>
      </c>
      <c r="J1118">
        <v>133</v>
      </c>
      <c r="K1118">
        <v>1090</v>
      </c>
      <c r="L1118">
        <v>204</v>
      </c>
      <c r="M1118">
        <f>COUNTIF(H1118:$H$2581,H1118)</f>
        <v>3</v>
      </c>
    </row>
    <row r="1119" spans="1:13" x14ac:dyDescent="0.2">
      <c r="A1119">
        <v>1706</v>
      </c>
      <c r="B1119" t="s">
        <v>725</v>
      </c>
      <c r="C1119" t="s">
        <v>2240</v>
      </c>
      <c r="D1119" t="s">
        <v>54</v>
      </c>
      <c r="E1119" t="s">
        <v>2241</v>
      </c>
      <c r="F1119" t="s">
        <v>728</v>
      </c>
      <c r="G1119" t="s">
        <v>2242</v>
      </c>
      <c r="H1119" t="s">
        <v>2512</v>
      </c>
      <c r="I1119" t="b">
        <v>1</v>
      </c>
      <c r="J1119">
        <v>205</v>
      </c>
      <c r="K1119">
        <v>1707</v>
      </c>
      <c r="L1119">
        <v>289</v>
      </c>
      <c r="M1119">
        <f>COUNTIF(H1119:$H$2581,H1119)</f>
        <v>2</v>
      </c>
    </row>
    <row r="1120" spans="1:13" x14ac:dyDescent="0.2">
      <c r="A1120">
        <v>2008</v>
      </c>
      <c r="B1120" t="s">
        <v>444</v>
      </c>
      <c r="C1120" t="s">
        <v>2307</v>
      </c>
      <c r="D1120" t="s">
        <v>13</v>
      </c>
      <c r="E1120" t="s">
        <v>2308</v>
      </c>
      <c r="F1120" t="s">
        <v>447</v>
      </c>
      <c r="G1120" t="s">
        <v>2309</v>
      </c>
      <c r="H1120" t="s">
        <v>2512</v>
      </c>
      <c r="I1120" t="s">
        <v>24</v>
      </c>
      <c r="J1120">
        <v>233</v>
      </c>
      <c r="K1120">
        <v>2009</v>
      </c>
      <c r="L1120">
        <v>120</v>
      </c>
      <c r="M1120">
        <f>COUNTIF(H1120:$H$2581,H1120)</f>
        <v>1</v>
      </c>
    </row>
    <row r="1121" spans="1:13" x14ac:dyDescent="0.2">
      <c r="A1121">
        <v>2049</v>
      </c>
      <c r="B1121" t="s">
        <v>1798</v>
      </c>
      <c r="C1121" t="s">
        <v>2399</v>
      </c>
      <c r="D1121" t="s">
        <v>13</v>
      </c>
      <c r="E1121" t="s">
        <v>2400</v>
      </c>
      <c r="F1121" t="s">
        <v>1801</v>
      </c>
      <c r="G1121" t="s">
        <v>2401</v>
      </c>
      <c r="H1121" t="s">
        <v>2528</v>
      </c>
      <c r="I1121" t="b">
        <v>1</v>
      </c>
      <c r="J1121">
        <v>239</v>
      </c>
      <c r="K1121">
        <v>2050</v>
      </c>
      <c r="L1121">
        <v>121</v>
      </c>
      <c r="M1121">
        <f>COUNTIF(H1121:$H$2581,H1121)</f>
        <v>1</v>
      </c>
    </row>
    <row r="1122" spans="1:13" x14ac:dyDescent="0.2">
      <c r="A1122">
        <v>719</v>
      </c>
      <c r="B1122" t="s">
        <v>1349</v>
      </c>
      <c r="C1122" t="s">
        <v>2460</v>
      </c>
      <c r="D1122" t="s">
        <v>13</v>
      </c>
      <c r="E1122" t="s">
        <v>2461</v>
      </c>
      <c r="F1122" t="s">
        <v>1352</v>
      </c>
      <c r="G1122" t="s">
        <v>2462</v>
      </c>
      <c r="H1122" t="s">
        <v>2535</v>
      </c>
      <c r="I1122" t="b">
        <v>1</v>
      </c>
      <c r="J1122">
        <v>104</v>
      </c>
      <c r="K1122">
        <v>720</v>
      </c>
      <c r="L1122">
        <v>16</v>
      </c>
      <c r="M1122">
        <f>COUNTIF(H1122:$H$2581,H1122)</f>
        <v>1</v>
      </c>
    </row>
    <row r="1123" spans="1:13" x14ac:dyDescent="0.2">
      <c r="A1123">
        <v>1619</v>
      </c>
      <c r="B1123" t="s">
        <v>720</v>
      </c>
      <c r="C1123" t="s">
        <v>2571</v>
      </c>
      <c r="D1123" t="s">
        <v>13</v>
      </c>
      <c r="E1123" t="s">
        <v>2572</v>
      </c>
      <c r="F1123" t="s">
        <v>723</v>
      </c>
      <c r="G1123" t="s">
        <v>2573</v>
      </c>
      <c r="H1123" t="s">
        <v>2546</v>
      </c>
      <c r="I1123" t="b">
        <v>1</v>
      </c>
      <c r="J1123">
        <v>197</v>
      </c>
      <c r="K1123">
        <v>1620</v>
      </c>
      <c r="L1123">
        <v>546</v>
      </c>
      <c r="M1123">
        <f>COUNTIF(H1123:$H$2581,H1123)</f>
        <v>1</v>
      </c>
    </row>
    <row r="1124" spans="1:13" x14ac:dyDescent="0.2">
      <c r="A1124">
        <v>913</v>
      </c>
      <c r="B1124" t="s">
        <v>271</v>
      </c>
      <c r="C1124" t="s">
        <v>2613</v>
      </c>
      <c r="D1124" t="s">
        <v>54</v>
      </c>
      <c r="E1124" s="1" t="s">
        <v>2614</v>
      </c>
      <c r="F1124" t="s">
        <v>274</v>
      </c>
      <c r="G1124" t="s">
        <v>2615</v>
      </c>
      <c r="H1124" t="s">
        <v>2557</v>
      </c>
      <c r="I1124" t="s">
        <v>24</v>
      </c>
      <c r="J1124">
        <v>121</v>
      </c>
      <c r="K1124">
        <v>914</v>
      </c>
      <c r="L1124">
        <v>262</v>
      </c>
      <c r="M1124">
        <f>COUNTIF(H1124:$H$2581,H1124)</f>
        <v>3</v>
      </c>
    </row>
    <row r="1125" spans="1:13" x14ac:dyDescent="0.2">
      <c r="A1125">
        <v>1837</v>
      </c>
      <c r="B1125" t="s">
        <v>1198</v>
      </c>
      <c r="C1125" t="s">
        <v>2839</v>
      </c>
      <c r="D1125" t="s">
        <v>13</v>
      </c>
      <c r="E1125" t="s">
        <v>2840</v>
      </c>
      <c r="F1125" t="s">
        <v>1201</v>
      </c>
      <c r="G1125" t="s">
        <v>2841</v>
      </c>
      <c r="H1125" t="s">
        <v>2557</v>
      </c>
      <c r="I1125" t="s">
        <v>24</v>
      </c>
      <c r="J1125">
        <v>214</v>
      </c>
      <c r="K1125">
        <v>1838</v>
      </c>
      <c r="L1125">
        <v>17</v>
      </c>
      <c r="M1125">
        <f>COUNTIF(H1125:$H$2581,H1125)</f>
        <v>2</v>
      </c>
    </row>
    <row r="1126" spans="1:13" x14ac:dyDescent="0.2">
      <c r="A1126">
        <v>1621</v>
      </c>
      <c r="B1126" t="s">
        <v>720</v>
      </c>
      <c r="C1126" t="s">
        <v>2959</v>
      </c>
      <c r="D1126" t="s">
        <v>54</v>
      </c>
      <c r="E1126" t="s">
        <v>2960</v>
      </c>
      <c r="F1126" t="s">
        <v>723</v>
      </c>
      <c r="G1126" t="s">
        <v>2961</v>
      </c>
      <c r="H1126" t="s">
        <v>2557</v>
      </c>
      <c r="I1126" t="b">
        <v>1</v>
      </c>
      <c r="J1126">
        <v>197</v>
      </c>
      <c r="K1126">
        <v>1622</v>
      </c>
      <c r="L1126">
        <v>100</v>
      </c>
      <c r="M1126">
        <f>COUNTIF(H1126:$H$2581,H1126)</f>
        <v>1</v>
      </c>
    </row>
    <row r="1127" spans="1:13" x14ac:dyDescent="0.2">
      <c r="A1127">
        <v>2283</v>
      </c>
      <c r="B1127" t="s">
        <v>1070</v>
      </c>
      <c r="C1127" t="s">
        <v>3302</v>
      </c>
      <c r="D1127" t="s">
        <v>13</v>
      </c>
      <c r="E1127" t="s">
        <v>3303</v>
      </c>
      <c r="F1127" t="s">
        <v>1073</v>
      </c>
      <c r="G1127" t="s">
        <v>3304</v>
      </c>
      <c r="H1127" t="s">
        <v>2574</v>
      </c>
      <c r="I1127" t="b">
        <v>1</v>
      </c>
      <c r="J1127">
        <v>268</v>
      </c>
      <c r="K1127">
        <v>2284</v>
      </c>
      <c r="L1127">
        <v>21</v>
      </c>
      <c r="M1127">
        <f>COUNTIF(H1127:$H$2581,H1127)</f>
        <v>5</v>
      </c>
    </row>
    <row r="1128" spans="1:13" x14ac:dyDescent="0.2">
      <c r="A1128">
        <v>90</v>
      </c>
      <c r="B1128" t="s">
        <v>311</v>
      </c>
      <c r="C1128" t="s">
        <v>3351</v>
      </c>
      <c r="D1128" t="s">
        <v>54</v>
      </c>
      <c r="E1128" t="s">
        <v>3352</v>
      </c>
      <c r="F1128" s="1" t="s">
        <v>314</v>
      </c>
      <c r="G1128" t="s">
        <v>3353</v>
      </c>
      <c r="H1128" t="s">
        <v>2574</v>
      </c>
      <c r="I1128" t="s">
        <v>24</v>
      </c>
      <c r="J1128">
        <v>14</v>
      </c>
      <c r="K1128">
        <v>91</v>
      </c>
      <c r="L1128">
        <v>62</v>
      </c>
      <c r="M1128">
        <f>COUNTIF(H1128:$H$2581,H1128)</f>
        <v>4</v>
      </c>
    </row>
    <row r="1129" spans="1:13" x14ac:dyDescent="0.2">
      <c r="A1129">
        <v>1496</v>
      </c>
      <c r="B1129" t="s">
        <v>807</v>
      </c>
      <c r="C1129" t="s">
        <v>3382</v>
      </c>
      <c r="D1129" t="s">
        <v>13</v>
      </c>
      <c r="E1129" s="1" t="s">
        <v>3383</v>
      </c>
      <c r="F1129" t="s">
        <v>810</v>
      </c>
      <c r="G1129" t="s">
        <v>3384</v>
      </c>
      <c r="H1129" t="s">
        <v>2574</v>
      </c>
      <c r="I1129" t="b">
        <v>1</v>
      </c>
      <c r="J1129">
        <v>182</v>
      </c>
      <c r="K1129">
        <v>1497</v>
      </c>
      <c r="L1129">
        <v>280</v>
      </c>
      <c r="M1129">
        <f>COUNTIF(H1129:$H$2581,H1129)</f>
        <v>3</v>
      </c>
    </row>
    <row r="1130" spans="1:13" x14ac:dyDescent="0.2">
      <c r="A1130">
        <v>1588</v>
      </c>
      <c r="B1130" t="s">
        <v>211</v>
      </c>
      <c r="C1130" t="s">
        <v>3448</v>
      </c>
      <c r="D1130" t="s">
        <v>54</v>
      </c>
      <c r="E1130" t="s">
        <v>3449</v>
      </c>
      <c r="F1130" t="s">
        <v>214</v>
      </c>
      <c r="G1130" t="s">
        <v>3450</v>
      </c>
      <c r="H1130" t="s">
        <v>2574</v>
      </c>
      <c r="I1130" t="s">
        <v>24</v>
      </c>
      <c r="J1130">
        <v>195</v>
      </c>
      <c r="K1130">
        <v>1589</v>
      </c>
      <c r="L1130">
        <v>240</v>
      </c>
      <c r="M1130">
        <f>COUNTIF(H1130:$H$2581,H1130)</f>
        <v>2</v>
      </c>
    </row>
    <row r="1131" spans="1:13" x14ac:dyDescent="0.2">
      <c r="A1131">
        <v>2158</v>
      </c>
      <c r="B1131" t="s">
        <v>3623</v>
      </c>
      <c r="C1131" t="s">
        <v>3624</v>
      </c>
      <c r="D1131" t="s">
        <v>13</v>
      </c>
      <c r="E1131" t="s">
        <v>3625</v>
      </c>
      <c r="F1131" t="s">
        <v>3626</v>
      </c>
      <c r="G1131" t="s">
        <v>3627</v>
      </c>
      <c r="H1131" t="s">
        <v>2574</v>
      </c>
      <c r="I1131" t="s">
        <v>24</v>
      </c>
      <c r="J1131">
        <v>252</v>
      </c>
      <c r="K1131">
        <v>2159</v>
      </c>
      <c r="L1131">
        <v>39</v>
      </c>
      <c r="M1131">
        <f>COUNTIF(H1131:$H$2581,H1131)</f>
        <v>1</v>
      </c>
    </row>
    <row r="1132" spans="1:13" x14ac:dyDescent="0.2">
      <c r="A1132">
        <v>2199</v>
      </c>
      <c r="B1132" t="s">
        <v>1803</v>
      </c>
      <c r="C1132" t="s">
        <v>3767</v>
      </c>
      <c r="D1132" t="s">
        <v>54</v>
      </c>
      <c r="E1132" t="s">
        <v>3768</v>
      </c>
      <c r="F1132" t="s">
        <v>1806</v>
      </c>
      <c r="G1132" t="s">
        <v>3769</v>
      </c>
      <c r="H1132" t="s">
        <v>2601</v>
      </c>
      <c r="I1132" t="b">
        <v>0</v>
      </c>
      <c r="J1132">
        <v>258</v>
      </c>
      <c r="K1132">
        <v>2200</v>
      </c>
      <c r="L1132">
        <v>22</v>
      </c>
      <c r="M1132">
        <f>COUNTIF(H1132:$H$2581,H1132)</f>
        <v>1</v>
      </c>
    </row>
    <row r="1133" spans="1:13" x14ac:dyDescent="0.2">
      <c r="A1133">
        <v>2026</v>
      </c>
      <c r="B1133" t="s">
        <v>3759</v>
      </c>
      <c r="C1133" t="s">
        <v>3845</v>
      </c>
      <c r="D1133" t="s">
        <v>13</v>
      </c>
      <c r="E1133" t="s">
        <v>3846</v>
      </c>
      <c r="F1133" t="s">
        <v>3762</v>
      </c>
      <c r="G1133" t="s">
        <v>3847</v>
      </c>
      <c r="H1133" t="s">
        <v>2612</v>
      </c>
      <c r="I1133" t="b">
        <v>1</v>
      </c>
      <c r="J1133">
        <v>234</v>
      </c>
      <c r="K1133">
        <v>2027</v>
      </c>
      <c r="L1133">
        <v>270</v>
      </c>
      <c r="M1133">
        <f>COUNTIF(H1133:$H$2581,H1133)</f>
        <v>6</v>
      </c>
    </row>
    <row r="1134" spans="1:13" x14ac:dyDescent="0.2">
      <c r="A1134">
        <v>916</v>
      </c>
      <c r="B1134" t="s">
        <v>271</v>
      </c>
      <c r="C1134" t="s">
        <v>3883</v>
      </c>
      <c r="D1134" t="s">
        <v>54</v>
      </c>
      <c r="E1134" t="s">
        <v>3884</v>
      </c>
      <c r="F1134" t="s">
        <v>274</v>
      </c>
      <c r="G1134" t="s">
        <v>3885</v>
      </c>
      <c r="H1134" t="s">
        <v>2612</v>
      </c>
      <c r="I1134" t="s">
        <v>24</v>
      </c>
      <c r="J1134">
        <v>121</v>
      </c>
      <c r="K1134">
        <v>917</v>
      </c>
      <c r="L1134">
        <v>101</v>
      </c>
      <c r="M1134">
        <f>COUNTIF(H1134:$H$2581,H1134)</f>
        <v>5</v>
      </c>
    </row>
    <row r="1135" spans="1:13" x14ac:dyDescent="0.2">
      <c r="A1135">
        <v>797</v>
      </c>
      <c r="B1135" t="s">
        <v>116</v>
      </c>
      <c r="C1135" t="s">
        <v>3970</v>
      </c>
      <c r="D1135" t="s">
        <v>13</v>
      </c>
      <c r="E1135" t="s">
        <v>3971</v>
      </c>
      <c r="F1135" t="s">
        <v>119</v>
      </c>
      <c r="G1135" t="s">
        <v>3972</v>
      </c>
      <c r="H1135" t="s">
        <v>2612</v>
      </c>
      <c r="I1135" t="s">
        <v>24</v>
      </c>
      <c r="J1135">
        <v>112</v>
      </c>
      <c r="K1135">
        <v>798</v>
      </c>
      <c r="L1135">
        <v>40</v>
      </c>
      <c r="M1135">
        <f>COUNTIF(H1135:$H$2581,H1135)</f>
        <v>4</v>
      </c>
    </row>
    <row r="1136" spans="1:13" x14ac:dyDescent="0.2">
      <c r="A1136">
        <v>209</v>
      </c>
      <c r="B1136" t="s">
        <v>88</v>
      </c>
      <c r="C1136" t="s">
        <v>3992</v>
      </c>
      <c r="D1136" t="s">
        <v>54</v>
      </c>
      <c r="E1136" t="s">
        <v>3993</v>
      </c>
      <c r="F1136" t="s">
        <v>91</v>
      </c>
      <c r="G1136" t="s">
        <v>3994</v>
      </c>
      <c r="H1136" t="s">
        <v>2612</v>
      </c>
      <c r="I1136" t="s">
        <v>24</v>
      </c>
      <c r="J1136">
        <v>37</v>
      </c>
      <c r="K1136">
        <v>210</v>
      </c>
      <c r="L1136">
        <v>71</v>
      </c>
      <c r="M1136">
        <f>COUNTIF(H1136:$H$2581,H1136)</f>
        <v>3</v>
      </c>
    </row>
    <row r="1137" spans="1:13" x14ac:dyDescent="0.2">
      <c r="A1137">
        <v>1973</v>
      </c>
      <c r="B1137" t="s">
        <v>608</v>
      </c>
      <c r="C1137" t="s">
        <v>4055</v>
      </c>
      <c r="D1137" t="s">
        <v>13</v>
      </c>
      <c r="E1137" t="s">
        <v>4056</v>
      </c>
      <c r="F1137" t="s">
        <v>611</v>
      </c>
      <c r="G1137" t="s">
        <v>4057</v>
      </c>
      <c r="H1137" t="s">
        <v>2612</v>
      </c>
      <c r="I1137" t="b">
        <v>1</v>
      </c>
      <c r="J1137">
        <v>227</v>
      </c>
      <c r="K1137">
        <v>1974</v>
      </c>
      <c r="L1137">
        <v>23</v>
      </c>
      <c r="M1137">
        <f>COUNTIF(H1137:$H$2581,H1137)</f>
        <v>2</v>
      </c>
    </row>
    <row r="1138" spans="1:13" x14ac:dyDescent="0.2">
      <c r="A1138">
        <v>783</v>
      </c>
      <c r="B1138" t="s">
        <v>373</v>
      </c>
      <c r="C1138" t="s">
        <v>4201</v>
      </c>
      <c r="D1138" t="s">
        <v>54</v>
      </c>
      <c r="E1138" t="s">
        <v>4202</v>
      </c>
      <c r="F1138" s="1" t="s">
        <v>376</v>
      </c>
      <c r="G1138" t="s">
        <v>4203</v>
      </c>
      <c r="H1138" t="s">
        <v>2612</v>
      </c>
      <c r="I1138" t="s">
        <v>24</v>
      </c>
      <c r="J1138">
        <v>111</v>
      </c>
      <c r="K1138">
        <v>784</v>
      </c>
      <c r="L1138">
        <v>64</v>
      </c>
      <c r="M1138">
        <f>COUNTIF(H1138:$H$2581,H1138)</f>
        <v>1</v>
      </c>
    </row>
    <row r="1139" spans="1:13" x14ac:dyDescent="0.2">
      <c r="A1139">
        <v>2461</v>
      </c>
      <c r="B1139" t="s">
        <v>1411</v>
      </c>
      <c r="C1139" t="s">
        <v>4616</v>
      </c>
      <c r="D1139" t="s">
        <v>13</v>
      </c>
      <c r="E1139" t="s">
        <v>4617</v>
      </c>
      <c r="F1139" t="s">
        <v>1414</v>
      </c>
      <c r="G1139" t="s">
        <v>4618</v>
      </c>
      <c r="H1139" t="s">
        <v>2660</v>
      </c>
      <c r="I1139" t="b">
        <v>1</v>
      </c>
      <c r="J1139">
        <v>285</v>
      </c>
      <c r="K1139">
        <v>2462</v>
      </c>
      <c r="L1139">
        <v>4</v>
      </c>
      <c r="M1139">
        <f>COUNTIF(H1139:$H$2581,H1139)</f>
        <v>2</v>
      </c>
    </row>
    <row r="1140" spans="1:13" x14ac:dyDescent="0.2">
      <c r="A1140">
        <v>1269</v>
      </c>
      <c r="B1140" t="s">
        <v>1085</v>
      </c>
      <c r="C1140" t="s">
        <v>4678</v>
      </c>
      <c r="D1140" t="s">
        <v>13</v>
      </c>
      <c r="E1140" t="s">
        <v>4679</v>
      </c>
      <c r="F1140" t="s">
        <v>1088</v>
      </c>
      <c r="G1140" t="s">
        <v>4680</v>
      </c>
      <c r="H1140" t="s">
        <v>2660</v>
      </c>
      <c r="I1140" t="s">
        <v>24</v>
      </c>
      <c r="J1140">
        <v>156</v>
      </c>
      <c r="K1140">
        <v>1270</v>
      </c>
      <c r="L1140">
        <v>33</v>
      </c>
      <c r="M1140">
        <f>COUNTIF(H1140:$H$2581,H1140)</f>
        <v>1</v>
      </c>
    </row>
    <row r="1141" spans="1:13" x14ac:dyDescent="0.2">
      <c r="A1141">
        <v>175</v>
      </c>
      <c r="B1141" t="s">
        <v>78</v>
      </c>
      <c r="C1141" t="s">
        <v>4825</v>
      </c>
      <c r="D1141" t="s">
        <v>13</v>
      </c>
      <c r="E1141" t="s">
        <v>4826</v>
      </c>
      <c r="F1141" t="s">
        <v>81</v>
      </c>
      <c r="G1141" t="s">
        <v>4827</v>
      </c>
      <c r="H1141" t="s">
        <v>2688</v>
      </c>
      <c r="I1141" t="b">
        <v>1</v>
      </c>
      <c r="J1141">
        <v>33</v>
      </c>
      <c r="K1141">
        <v>176</v>
      </c>
      <c r="L1141">
        <v>41</v>
      </c>
      <c r="M1141">
        <f>COUNTIF(H1141:$H$2581,H1141)</f>
        <v>1</v>
      </c>
    </row>
    <row r="1142" spans="1:13" x14ac:dyDescent="0.2">
      <c r="A1142">
        <v>280</v>
      </c>
      <c r="B1142" t="s">
        <v>2105</v>
      </c>
      <c r="C1142" t="s">
        <v>4856</v>
      </c>
      <c r="D1142" t="s">
        <v>13</v>
      </c>
      <c r="E1142" t="s">
        <v>4857</v>
      </c>
      <c r="F1142" t="s">
        <v>2108</v>
      </c>
      <c r="G1142" t="s">
        <v>4858</v>
      </c>
      <c r="H1142" t="s">
        <v>2699</v>
      </c>
      <c r="I1142" t="s">
        <v>24</v>
      </c>
      <c r="J1142">
        <v>44</v>
      </c>
      <c r="K1142">
        <v>281</v>
      </c>
      <c r="L1142">
        <v>5</v>
      </c>
      <c r="M1142">
        <f>COUNTIF(H1142:$H$2581,H1142)</f>
        <v>1</v>
      </c>
    </row>
    <row r="1143" spans="1:13" x14ac:dyDescent="0.2">
      <c r="A1143">
        <v>1060</v>
      </c>
      <c r="B1143" t="s">
        <v>1884</v>
      </c>
      <c r="C1143" t="s">
        <v>4908</v>
      </c>
      <c r="D1143" t="s">
        <v>13</v>
      </c>
      <c r="E1143" t="s">
        <v>4909</v>
      </c>
      <c r="F1143" t="s">
        <v>1887</v>
      </c>
      <c r="G1143" t="s">
        <v>4910</v>
      </c>
      <c r="H1143" t="s">
        <v>2706</v>
      </c>
      <c r="I1143" t="s">
        <v>24</v>
      </c>
      <c r="J1143">
        <v>131</v>
      </c>
      <c r="K1143">
        <v>1061</v>
      </c>
      <c r="L1143">
        <v>34</v>
      </c>
      <c r="M1143">
        <f>COUNTIF(H1143:$H$2581,H1143)</f>
        <v>1</v>
      </c>
    </row>
    <row r="1144" spans="1:13" x14ac:dyDescent="0.2">
      <c r="A1144">
        <v>2017</v>
      </c>
      <c r="B1144" t="s">
        <v>444</v>
      </c>
      <c r="C1144" t="s">
        <v>5019</v>
      </c>
      <c r="D1144" t="s">
        <v>54</v>
      </c>
      <c r="E1144" t="s">
        <v>5020</v>
      </c>
      <c r="F1144" t="s">
        <v>447</v>
      </c>
      <c r="G1144" t="s">
        <v>5021</v>
      </c>
      <c r="H1144" t="s">
        <v>2717</v>
      </c>
      <c r="I1144" t="s">
        <v>24</v>
      </c>
      <c r="J1144">
        <v>233</v>
      </c>
      <c r="K1144">
        <v>2018</v>
      </c>
      <c r="L1144">
        <v>123</v>
      </c>
      <c r="M1144">
        <f>COUNTIF(H1144:$H$2581,H1144)</f>
        <v>3</v>
      </c>
    </row>
    <row r="1145" spans="1:13" x14ac:dyDescent="0.2">
      <c r="A1145">
        <v>228</v>
      </c>
      <c r="B1145" t="s">
        <v>1120</v>
      </c>
      <c r="C1145" t="s">
        <v>5148</v>
      </c>
      <c r="D1145" t="s">
        <v>13</v>
      </c>
      <c r="E1145" t="s">
        <v>5149</v>
      </c>
      <c r="F1145" s="1" t="s">
        <v>1123</v>
      </c>
      <c r="G1145" t="s">
        <v>5150</v>
      </c>
      <c r="H1145" t="s">
        <v>2717</v>
      </c>
      <c r="I1145" t="b">
        <v>0</v>
      </c>
      <c r="J1145">
        <v>40</v>
      </c>
      <c r="K1145">
        <v>229</v>
      </c>
      <c r="L1145">
        <v>103</v>
      </c>
      <c r="M1145">
        <f>COUNTIF(H1145:$H$2581,H1145)</f>
        <v>2</v>
      </c>
    </row>
    <row r="1146" spans="1:13" x14ac:dyDescent="0.2">
      <c r="A1146">
        <v>1524</v>
      </c>
      <c r="B1146" t="s">
        <v>1209</v>
      </c>
      <c r="C1146" t="s">
        <v>5205</v>
      </c>
      <c r="D1146" t="s">
        <v>33</v>
      </c>
      <c r="E1146" t="s">
        <v>5206</v>
      </c>
      <c r="F1146" t="s">
        <v>1212</v>
      </c>
      <c r="G1146" t="s">
        <v>5207</v>
      </c>
      <c r="H1146" t="s">
        <v>2717</v>
      </c>
      <c r="I1146" t="b">
        <v>0</v>
      </c>
      <c r="J1146">
        <v>185</v>
      </c>
      <c r="K1146">
        <v>1525</v>
      </c>
      <c r="L1146">
        <v>425</v>
      </c>
      <c r="M1146">
        <f>COUNTIF(H1146:$H$2581,H1146)</f>
        <v>1</v>
      </c>
    </row>
    <row r="1147" spans="1:13" x14ac:dyDescent="0.2">
      <c r="A1147">
        <v>1979</v>
      </c>
      <c r="B1147" t="s">
        <v>1621</v>
      </c>
      <c r="C1147" t="s">
        <v>5282</v>
      </c>
      <c r="D1147" t="s">
        <v>13</v>
      </c>
      <c r="E1147" t="s">
        <v>5283</v>
      </c>
      <c r="F1147" t="s">
        <v>1624</v>
      </c>
      <c r="G1147" t="s">
        <v>5284</v>
      </c>
      <c r="H1147" t="s">
        <v>2744</v>
      </c>
      <c r="I1147" t="s">
        <v>24</v>
      </c>
      <c r="J1147">
        <v>228</v>
      </c>
      <c r="K1147">
        <v>1980</v>
      </c>
      <c r="L1147">
        <v>35</v>
      </c>
      <c r="M1147">
        <f>COUNTIF(H1147:$H$2581,H1147)</f>
        <v>1</v>
      </c>
    </row>
    <row r="1148" spans="1:13" x14ac:dyDescent="0.2">
      <c r="A1148">
        <v>2303</v>
      </c>
      <c r="B1148" t="s">
        <v>1808</v>
      </c>
      <c r="C1148" t="s">
        <v>5406</v>
      </c>
      <c r="D1148" t="s">
        <v>13</v>
      </c>
      <c r="E1148" t="s">
        <v>5407</v>
      </c>
      <c r="F1148" t="s">
        <v>1811</v>
      </c>
      <c r="G1148" t="s">
        <v>5408</v>
      </c>
      <c r="H1148" t="s">
        <v>2771</v>
      </c>
      <c r="I1148" t="b">
        <v>1</v>
      </c>
      <c r="J1148">
        <v>270</v>
      </c>
      <c r="K1148">
        <v>2304</v>
      </c>
      <c r="L1148">
        <v>24</v>
      </c>
      <c r="M1148">
        <f>COUNTIF(H1148:$H$2581,H1148)</f>
        <v>1</v>
      </c>
    </row>
    <row r="1149" spans="1:13" x14ac:dyDescent="0.2">
      <c r="A1149">
        <v>1591</v>
      </c>
      <c r="B1149" t="s">
        <v>211</v>
      </c>
      <c r="C1149" t="s">
        <v>5454</v>
      </c>
      <c r="D1149" t="s">
        <v>13</v>
      </c>
      <c r="E1149" t="s">
        <v>5455</v>
      </c>
      <c r="F1149" t="s">
        <v>214</v>
      </c>
      <c r="G1149" t="s">
        <v>5456</v>
      </c>
      <c r="H1149" t="s">
        <v>2790</v>
      </c>
      <c r="I1149" t="s">
        <v>24</v>
      </c>
      <c r="J1149">
        <v>195</v>
      </c>
      <c r="K1149">
        <v>1592</v>
      </c>
      <c r="L1149">
        <v>12</v>
      </c>
      <c r="M1149">
        <f>COUNTIF(H1149:$H$2581,H1149)</f>
        <v>4</v>
      </c>
    </row>
    <row r="1150" spans="1:13" x14ac:dyDescent="0.2">
      <c r="A1150">
        <v>2166</v>
      </c>
      <c r="B1150" t="s">
        <v>471</v>
      </c>
      <c r="C1150" t="s">
        <v>5542</v>
      </c>
      <c r="D1150" t="s">
        <v>13</v>
      </c>
      <c r="E1150" t="s">
        <v>5543</v>
      </c>
      <c r="F1150" t="s">
        <v>474</v>
      </c>
      <c r="G1150" t="s">
        <v>5544</v>
      </c>
      <c r="H1150" t="s">
        <v>2790</v>
      </c>
      <c r="I1150" t="s">
        <v>24</v>
      </c>
      <c r="J1150">
        <v>253</v>
      </c>
      <c r="K1150">
        <v>2167</v>
      </c>
      <c r="L1150">
        <v>13</v>
      </c>
      <c r="M1150">
        <f>COUNTIF(H1150:$H$2581,H1150)</f>
        <v>3</v>
      </c>
    </row>
    <row r="1151" spans="1:13" x14ac:dyDescent="0.2">
      <c r="A1151">
        <v>2334</v>
      </c>
      <c r="B1151" t="s">
        <v>900</v>
      </c>
      <c r="C1151" t="s">
        <v>5627</v>
      </c>
      <c r="D1151" t="s">
        <v>33</v>
      </c>
      <c r="E1151" t="s">
        <v>5628</v>
      </c>
      <c r="F1151" t="s">
        <v>903</v>
      </c>
      <c r="G1151" t="s">
        <v>5629</v>
      </c>
      <c r="H1151" t="s">
        <v>2790</v>
      </c>
      <c r="I1151" t="b">
        <v>0</v>
      </c>
      <c r="J1151">
        <v>274</v>
      </c>
      <c r="K1151">
        <v>2335</v>
      </c>
      <c r="L1151">
        <v>50</v>
      </c>
      <c r="M1151">
        <f>COUNTIF(H1151:$H$2581,H1151)</f>
        <v>2</v>
      </c>
    </row>
    <row r="1152" spans="1:13" x14ac:dyDescent="0.2">
      <c r="A1152">
        <v>2304</v>
      </c>
      <c r="B1152" t="s">
        <v>1808</v>
      </c>
      <c r="C1152" t="s">
        <v>5811</v>
      </c>
      <c r="D1152" t="s">
        <v>13</v>
      </c>
      <c r="E1152" t="s">
        <v>5812</v>
      </c>
      <c r="F1152" t="s">
        <v>1811</v>
      </c>
      <c r="G1152" t="s">
        <v>5813</v>
      </c>
      <c r="H1152" t="s">
        <v>2790</v>
      </c>
      <c r="I1152" t="b">
        <v>1</v>
      </c>
      <c r="J1152">
        <v>270</v>
      </c>
      <c r="K1152">
        <v>2305</v>
      </c>
      <c r="L1152">
        <v>25</v>
      </c>
      <c r="M1152">
        <f>COUNTIF(H1152:$H$2581,H1152)</f>
        <v>1</v>
      </c>
    </row>
    <row r="1153" spans="1:13" x14ac:dyDescent="0.2">
      <c r="A1153">
        <v>2167</v>
      </c>
      <c r="B1153" t="s">
        <v>471</v>
      </c>
      <c r="C1153" t="s">
        <v>5970</v>
      </c>
      <c r="D1153" t="s">
        <v>13</v>
      </c>
      <c r="E1153" s="1" t="s">
        <v>5971</v>
      </c>
      <c r="F1153" t="s">
        <v>474</v>
      </c>
      <c r="G1153" t="s">
        <v>5972</v>
      </c>
      <c r="H1153" t="s">
        <v>2808</v>
      </c>
      <c r="I1153" t="s">
        <v>24</v>
      </c>
      <c r="J1153">
        <v>253</v>
      </c>
      <c r="K1153">
        <v>2168</v>
      </c>
      <c r="L1153">
        <v>124</v>
      </c>
      <c r="M1153">
        <f>COUNTIF(H1153:$H$2581,H1153)</f>
        <v>16</v>
      </c>
    </row>
    <row r="1154" spans="1:13" x14ac:dyDescent="0.2">
      <c r="A1154">
        <v>1634</v>
      </c>
      <c r="B1154" t="s">
        <v>720</v>
      </c>
      <c r="C1154" t="s">
        <v>6176</v>
      </c>
      <c r="D1154" t="s">
        <v>54</v>
      </c>
      <c r="E1154" t="s">
        <v>6177</v>
      </c>
      <c r="F1154" t="s">
        <v>723</v>
      </c>
      <c r="G1154" t="s">
        <v>6178</v>
      </c>
      <c r="H1154" t="s">
        <v>2808</v>
      </c>
      <c r="I1154" t="b">
        <v>1</v>
      </c>
      <c r="J1154">
        <v>197</v>
      </c>
      <c r="K1154">
        <v>1635</v>
      </c>
      <c r="L1154">
        <v>167</v>
      </c>
      <c r="M1154">
        <f>COUNTIF(H1154:$H$2581,H1154)</f>
        <v>15</v>
      </c>
    </row>
    <row r="1155" spans="1:13" x14ac:dyDescent="0.2">
      <c r="A1155">
        <v>2151</v>
      </c>
      <c r="B1155" t="s">
        <v>157</v>
      </c>
      <c r="C1155" t="s">
        <v>6281</v>
      </c>
      <c r="D1155" t="s">
        <v>13</v>
      </c>
      <c r="E1155" t="s">
        <v>6318</v>
      </c>
      <c r="F1155" t="s">
        <v>159</v>
      </c>
      <c r="G1155" t="s">
        <v>6283</v>
      </c>
      <c r="H1155" t="s">
        <v>2808</v>
      </c>
      <c r="I1155" t="s">
        <v>24</v>
      </c>
      <c r="J1155">
        <v>250</v>
      </c>
      <c r="K1155">
        <v>2152</v>
      </c>
      <c r="L1155">
        <v>9</v>
      </c>
      <c r="M1155">
        <f>COUNTIF(H1155:$H$2581,H1155)</f>
        <v>14</v>
      </c>
    </row>
    <row r="1156" spans="1:13" x14ac:dyDescent="0.2">
      <c r="A1156">
        <v>1776</v>
      </c>
      <c r="B1156" t="s">
        <v>216</v>
      </c>
      <c r="C1156" t="s">
        <v>6423</v>
      </c>
      <c r="D1156" t="s">
        <v>54</v>
      </c>
      <c r="E1156" t="s">
        <v>6424</v>
      </c>
      <c r="F1156" t="s">
        <v>219</v>
      </c>
      <c r="G1156" t="s">
        <v>6425</v>
      </c>
      <c r="H1156" t="s">
        <v>2808</v>
      </c>
      <c r="I1156" t="b">
        <v>1</v>
      </c>
      <c r="J1156">
        <v>209</v>
      </c>
      <c r="K1156">
        <v>1777</v>
      </c>
      <c r="L1156">
        <v>161</v>
      </c>
      <c r="M1156">
        <f>COUNTIF(H1156:$H$2581,H1156)</f>
        <v>13</v>
      </c>
    </row>
    <row r="1157" spans="1:13" x14ac:dyDescent="0.2">
      <c r="A1157">
        <v>2194</v>
      </c>
      <c r="B1157" t="s">
        <v>2870</v>
      </c>
      <c r="C1157" t="s">
        <v>6651</v>
      </c>
      <c r="D1157" t="s">
        <v>13</v>
      </c>
      <c r="E1157" t="s">
        <v>6652</v>
      </c>
      <c r="F1157" t="s">
        <v>2873</v>
      </c>
      <c r="G1157" t="s">
        <v>6653</v>
      </c>
      <c r="H1157" t="s">
        <v>2808</v>
      </c>
      <c r="I1157" t="s">
        <v>24</v>
      </c>
      <c r="J1157">
        <v>257</v>
      </c>
      <c r="K1157">
        <v>2195</v>
      </c>
      <c r="L1157">
        <v>7</v>
      </c>
      <c r="M1157">
        <f>COUNTIF(H1157:$H$2581,H1157)</f>
        <v>12</v>
      </c>
    </row>
    <row r="1158" spans="1:13" x14ac:dyDescent="0.2">
      <c r="A1158">
        <v>348</v>
      </c>
      <c r="B1158" t="s">
        <v>455</v>
      </c>
      <c r="C1158" t="s">
        <v>6705</v>
      </c>
      <c r="D1158" t="s">
        <v>13</v>
      </c>
      <c r="E1158" t="s">
        <v>6706</v>
      </c>
      <c r="F1158" t="s">
        <v>458</v>
      </c>
      <c r="G1158" t="s">
        <v>6707</v>
      </c>
      <c r="H1158" t="s">
        <v>2808</v>
      </c>
      <c r="I1158" t="b">
        <v>0</v>
      </c>
      <c r="J1158">
        <v>49</v>
      </c>
      <c r="K1158">
        <v>349</v>
      </c>
      <c r="L1158">
        <v>162</v>
      </c>
      <c r="M1158">
        <f>COUNTIF(H1158:$H$2581,H1158)</f>
        <v>11</v>
      </c>
    </row>
    <row r="1159" spans="1:13" x14ac:dyDescent="0.2">
      <c r="A1159">
        <v>1778</v>
      </c>
      <c r="B1159" t="s">
        <v>216</v>
      </c>
      <c r="C1159" t="s">
        <v>6795</v>
      </c>
      <c r="D1159" t="s">
        <v>54</v>
      </c>
      <c r="E1159" t="s">
        <v>6796</v>
      </c>
      <c r="F1159" t="s">
        <v>219</v>
      </c>
      <c r="G1159" t="s">
        <v>6797</v>
      </c>
      <c r="H1159" t="s">
        <v>2808</v>
      </c>
      <c r="I1159" t="b">
        <v>1</v>
      </c>
      <c r="J1159">
        <v>209</v>
      </c>
      <c r="K1159">
        <v>1779</v>
      </c>
      <c r="L1159">
        <v>106</v>
      </c>
      <c r="M1159">
        <f>COUNTIF(H1159:$H$2581,H1159)</f>
        <v>10</v>
      </c>
    </row>
    <row r="1160" spans="1:13" x14ac:dyDescent="0.2">
      <c r="A1160">
        <v>2067</v>
      </c>
      <c r="B1160" t="s">
        <v>1965</v>
      </c>
      <c r="C1160" t="s">
        <v>6898</v>
      </c>
      <c r="D1160" t="s">
        <v>13</v>
      </c>
      <c r="E1160" t="s">
        <v>6899</v>
      </c>
      <c r="F1160" t="s">
        <v>1968</v>
      </c>
      <c r="G1160" t="s">
        <v>6900</v>
      </c>
      <c r="H1160" t="s">
        <v>2808</v>
      </c>
      <c r="I1160" t="b">
        <v>1</v>
      </c>
      <c r="J1160">
        <v>240</v>
      </c>
      <c r="K1160">
        <v>2068</v>
      </c>
      <c r="L1160">
        <v>125</v>
      </c>
      <c r="M1160">
        <f>COUNTIF(H1160:$H$2581,H1160)</f>
        <v>9</v>
      </c>
    </row>
    <row r="1161" spans="1:13" x14ac:dyDescent="0.2">
      <c r="A1161">
        <v>1341</v>
      </c>
      <c r="B1161" t="s">
        <v>2235</v>
      </c>
      <c r="C1161" t="s">
        <v>6992</v>
      </c>
      <c r="D1161" t="s">
        <v>54</v>
      </c>
      <c r="E1161" t="s">
        <v>6993</v>
      </c>
      <c r="F1161" t="s">
        <v>2238</v>
      </c>
      <c r="G1161" t="s">
        <v>6994</v>
      </c>
      <c r="H1161" t="s">
        <v>2808</v>
      </c>
      <c r="I1161" t="b">
        <v>0</v>
      </c>
      <c r="J1161">
        <v>163</v>
      </c>
      <c r="K1161">
        <v>1342</v>
      </c>
      <c r="L1161">
        <v>107</v>
      </c>
      <c r="M1161">
        <f>COUNTIF(H1161:$H$2581,H1161)</f>
        <v>8</v>
      </c>
    </row>
    <row r="1162" spans="1:13" x14ac:dyDescent="0.2">
      <c r="A1162">
        <v>2372</v>
      </c>
      <c r="B1162" t="s">
        <v>1816</v>
      </c>
      <c r="C1162" t="s">
        <v>7109</v>
      </c>
      <c r="D1162" t="s">
        <v>54</v>
      </c>
      <c r="E1162" t="s">
        <v>7110</v>
      </c>
      <c r="F1162" t="s">
        <v>1819</v>
      </c>
      <c r="G1162" t="s">
        <v>7111</v>
      </c>
      <c r="H1162" t="s">
        <v>2808</v>
      </c>
      <c r="I1162" t="s">
        <v>24</v>
      </c>
      <c r="J1162">
        <v>276</v>
      </c>
      <c r="K1162">
        <v>2373</v>
      </c>
      <c r="L1162">
        <v>14</v>
      </c>
      <c r="M1162">
        <f>COUNTIF(H1162:$H$2581,H1162)</f>
        <v>7</v>
      </c>
    </row>
    <row r="1163" spans="1:13" x14ac:dyDescent="0.2">
      <c r="A1163">
        <v>1066</v>
      </c>
      <c r="B1163" t="s">
        <v>1884</v>
      </c>
      <c r="C1163" t="s">
        <v>7156</v>
      </c>
      <c r="D1163" t="s">
        <v>13</v>
      </c>
      <c r="E1163" t="s">
        <v>7157</v>
      </c>
      <c r="F1163" t="s">
        <v>1887</v>
      </c>
      <c r="G1163" t="s">
        <v>7158</v>
      </c>
      <c r="H1163" t="s">
        <v>2808</v>
      </c>
      <c r="I1163" t="s">
        <v>24</v>
      </c>
      <c r="J1163">
        <v>131</v>
      </c>
      <c r="K1163">
        <v>1067</v>
      </c>
      <c r="L1163">
        <v>281</v>
      </c>
      <c r="M1163">
        <f>COUNTIF(H1163:$H$2581,H1163)</f>
        <v>6</v>
      </c>
    </row>
    <row r="1164" spans="1:13" x14ac:dyDescent="0.2">
      <c r="A1164">
        <v>2069</v>
      </c>
      <c r="B1164" t="s">
        <v>1965</v>
      </c>
      <c r="C1164" t="s">
        <v>7203</v>
      </c>
      <c r="D1164" t="s">
        <v>13</v>
      </c>
      <c r="E1164" t="s">
        <v>7204</v>
      </c>
      <c r="F1164" t="s">
        <v>1968</v>
      </c>
      <c r="G1164" t="s">
        <v>7205</v>
      </c>
      <c r="H1164" t="s">
        <v>2808</v>
      </c>
      <c r="I1164" t="b">
        <v>1</v>
      </c>
      <c r="J1164">
        <v>240</v>
      </c>
      <c r="K1164">
        <v>2070</v>
      </c>
      <c r="L1164">
        <v>362</v>
      </c>
      <c r="M1164">
        <f>COUNTIF(H1164:$H$2581,H1164)</f>
        <v>5</v>
      </c>
    </row>
    <row r="1165" spans="1:13" x14ac:dyDescent="0.2">
      <c r="A1165">
        <v>1755</v>
      </c>
      <c r="B1165" t="s">
        <v>1403</v>
      </c>
      <c r="C1165" t="s">
        <v>7386</v>
      </c>
      <c r="D1165" t="s">
        <v>13</v>
      </c>
      <c r="E1165" t="s">
        <v>7387</v>
      </c>
      <c r="F1165" t="s">
        <v>1406</v>
      </c>
      <c r="G1165" t="s">
        <v>7388</v>
      </c>
      <c r="H1165" t="s">
        <v>2808</v>
      </c>
      <c r="I1165" t="b">
        <v>1</v>
      </c>
      <c r="J1165">
        <v>207</v>
      </c>
      <c r="K1165">
        <v>1756</v>
      </c>
      <c r="L1165">
        <v>250</v>
      </c>
      <c r="M1165">
        <f>COUNTIF(H1165:$H$2581,H1165)</f>
        <v>4</v>
      </c>
    </row>
    <row r="1166" spans="1:13" x14ac:dyDescent="0.2">
      <c r="A1166">
        <v>177</v>
      </c>
      <c r="B1166" t="s">
        <v>78</v>
      </c>
      <c r="C1166" t="s">
        <v>7457</v>
      </c>
      <c r="D1166" t="s">
        <v>13</v>
      </c>
      <c r="E1166" t="s">
        <v>7458</v>
      </c>
      <c r="F1166" t="s">
        <v>81</v>
      </c>
      <c r="G1166" t="s">
        <v>7459</v>
      </c>
      <c r="H1166" t="s">
        <v>2808</v>
      </c>
      <c r="I1166" t="b">
        <v>1</v>
      </c>
      <c r="J1166">
        <v>33</v>
      </c>
      <c r="K1166">
        <v>178</v>
      </c>
      <c r="L1166">
        <v>53</v>
      </c>
      <c r="M1166">
        <f>COUNTIF(H1166:$H$2581,H1166)</f>
        <v>3</v>
      </c>
    </row>
    <row r="1167" spans="1:13" x14ac:dyDescent="0.2">
      <c r="A1167">
        <v>1503</v>
      </c>
      <c r="B1167" t="s">
        <v>807</v>
      </c>
      <c r="C1167" t="s">
        <v>7488</v>
      </c>
      <c r="D1167" t="s">
        <v>13</v>
      </c>
      <c r="E1167" t="s">
        <v>7489</v>
      </c>
      <c r="F1167" t="s">
        <v>810</v>
      </c>
      <c r="G1167" t="s">
        <v>7490</v>
      </c>
      <c r="H1167" t="s">
        <v>2808</v>
      </c>
      <c r="I1167" t="b">
        <v>1</v>
      </c>
      <c r="J1167">
        <v>182</v>
      </c>
      <c r="K1167">
        <v>1504</v>
      </c>
      <c r="L1167">
        <v>251</v>
      </c>
      <c r="M1167">
        <f>COUNTIF(H1167:$H$2581,H1167)</f>
        <v>2</v>
      </c>
    </row>
    <row r="1168" spans="1:13" x14ac:dyDescent="0.2">
      <c r="A1168">
        <v>1375</v>
      </c>
      <c r="B1168" t="s">
        <v>603</v>
      </c>
      <c r="C1168" t="s">
        <v>7525</v>
      </c>
      <c r="D1168" t="s">
        <v>13</v>
      </c>
      <c r="E1168" t="s">
        <v>7526</v>
      </c>
      <c r="F1168" t="s">
        <v>606</v>
      </c>
      <c r="G1168" t="s">
        <v>7527</v>
      </c>
      <c r="H1168" t="s">
        <v>2808</v>
      </c>
      <c r="I1168" t="s">
        <v>24</v>
      </c>
      <c r="J1168">
        <v>166</v>
      </c>
      <c r="K1168">
        <v>1376</v>
      </c>
      <c r="L1168">
        <v>26</v>
      </c>
      <c r="M1168">
        <f>COUNTIF(H1168:$H$2581,H1168)</f>
        <v>1</v>
      </c>
    </row>
    <row r="1169" spans="1:13" x14ac:dyDescent="0.2">
      <c r="A1169">
        <v>1136</v>
      </c>
      <c r="B1169" t="s">
        <v>231</v>
      </c>
      <c r="C1169" t="s">
        <v>7567</v>
      </c>
      <c r="D1169" t="s">
        <v>54</v>
      </c>
      <c r="E1169" t="s">
        <v>7568</v>
      </c>
      <c r="F1169" t="s">
        <v>234</v>
      </c>
      <c r="G1169" t="s">
        <v>7569</v>
      </c>
      <c r="H1169" t="s">
        <v>2860</v>
      </c>
      <c r="I1169" t="b">
        <v>0</v>
      </c>
      <c r="J1169">
        <v>138</v>
      </c>
      <c r="K1169">
        <v>1137</v>
      </c>
      <c r="L1169">
        <v>118</v>
      </c>
      <c r="M1169">
        <f>COUNTIF(H1169:$H$2581,H1169)</f>
        <v>4</v>
      </c>
    </row>
    <row r="1170" spans="1:13" x14ac:dyDescent="0.2">
      <c r="A1170">
        <v>650</v>
      </c>
      <c r="B1170" t="s">
        <v>2726</v>
      </c>
      <c r="C1170" t="s">
        <v>7700</v>
      </c>
      <c r="D1170" t="s">
        <v>54</v>
      </c>
      <c r="E1170" t="s">
        <v>7701</v>
      </c>
      <c r="F1170" t="s">
        <v>2729</v>
      </c>
      <c r="G1170" t="s">
        <v>7702</v>
      </c>
      <c r="H1170" t="s">
        <v>2860</v>
      </c>
      <c r="I1170" t="b">
        <v>0</v>
      </c>
      <c r="J1170">
        <v>93</v>
      </c>
      <c r="K1170">
        <v>651</v>
      </c>
      <c r="L1170">
        <v>54</v>
      </c>
      <c r="M1170">
        <f>COUNTIF(H1170:$H$2581,H1170)</f>
        <v>3</v>
      </c>
    </row>
    <row r="1171" spans="1:13" x14ac:dyDescent="0.2">
      <c r="A1171">
        <v>2236</v>
      </c>
      <c r="B1171" t="s">
        <v>165</v>
      </c>
      <c r="C1171" t="s">
        <v>7843</v>
      </c>
      <c r="D1171" t="s">
        <v>33</v>
      </c>
      <c r="E1171" t="s">
        <v>7844</v>
      </c>
      <c r="F1171" t="s">
        <v>168</v>
      </c>
      <c r="G1171" t="s">
        <v>7845</v>
      </c>
      <c r="H1171" t="s">
        <v>2860</v>
      </c>
      <c r="I1171" t="s">
        <v>24</v>
      </c>
      <c r="J1171">
        <v>261</v>
      </c>
      <c r="K1171">
        <v>2237</v>
      </c>
      <c r="L1171">
        <v>27</v>
      </c>
      <c r="M1171">
        <f>COUNTIF(H1171:$H$2581,H1171)</f>
        <v>2</v>
      </c>
    </row>
    <row r="1172" spans="1:13" x14ac:dyDescent="0.2">
      <c r="A1172">
        <v>34</v>
      </c>
      <c r="B1172" t="s">
        <v>2448</v>
      </c>
      <c r="C1172" t="s">
        <v>7877</v>
      </c>
      <c r="D1172" t="s">
        <v>13</v>
      </c>
      <c r="E1172" t="s">
        <v>7878</v>
      </c>
      <c r="F1172" t="s">
        <v>2451</v>
      </c>
      <c r="G1172" t="s">
        <v>7879</v>
      </c>
      <c r="H1172" t="s">
        <v>2860</v>
      </c>
      <c r="I1172" t="s">
        <v>24</v>
      </c>
      <c r="J1172">
        <v>6</v>
      </c>
      <c r="K1172">
        <v>35</v>
      </c>
      <c r="L1172">
        <v>28</v>
      </c>
      <c r="M1172">
        <f>COUNTIF(H1172:$H$2581,H1172)</f>
        <v>1</v>
      </c>
    </row>
    <row r="1173" spans="1:13" x14ac:dyDescent="0.2">
      <c r="A1173">
        <v>1810</v>
      </c>
      <c r="B1173" t="s">
        <v>1287</v>
      </c>
      <c r="C1173" t="s">
        <v>7928</v>
      </c>
      <c r="D1173" t="s">
        <v>54</v>
      </c>
      <c r="E1173" t="s">
        <v>7929</v>
      </c>
      <c r="F1173" t="s">
        <v>1290</v>
      </c>
      <c r="G1173" t="s">
        <v>7930</v>
      </c>
      <c r="H1173" t="s">
        <v>2878</v>
      </c>
      <c r="I1173" t="s">
        <v>24</v>
      </c>
      <c r="J1173">
        <v>210</v>
      </c>
      <c r="K1173">
        <v>1811</v>
      </c>
      <c r="L1173">
        <v>183</v>
      </c>
      <c r="M1173">
        <f>COUNTIF(H1173:$H$2581,H1173)</f>
        <v>1</v>
      </c>
    </row>
    <row r="1174" spans="1:13" x14ac:dyDescent="0.2">
      <c r="A1174">
        <v>1319</v>
      </c>
      <c r="B1174" t="s">
        <v>1915</v>
      </c>
      <c r="C1174" t="s">
        <v>7980</v>
      </c>
      <c r="D1174" t="s">
        <v>13</v>
      </c>
      <c r="E1174" t="s">
        <v>7981</v>
      </c>
      <c r="F1174" t="s">
        <v>1918</v>
      </c>
      <c r="G1174" t="s">
        <v>7982</v>
      </c>
      <c r="H1174" t="s">
        <v>2895</v>
      </c>
      <c r="I1174" t="s">
        <v>24</v>
      </c>
      <c r="J1174">
        <v>161</v>
      </c>
      <c r="K1174">
        <v>1320</v>
      </c>
      <c r="L1174">
        <v>284</v>
      </c>
      <c r="M1174">
        <f>COUNTIF(H1174:$H$2581,H1174)</f>
        <v>2</v>
      </c>
    </row>
    <row r="1175" spans="1:13" x14ac:dyDescent="0.2">
      <c r="A1175">
        <v>1901</v>
      </c>
      <c r="B1175" t="s">
        <v>8049</v>
      </c>
      <c r="C1175" t="s">
        <v>8050</v>
      </c>
      <c r="D1175" t="s">
        <v>54</v>
      </c>
      <c r="E1175" t="s">
        <v>8051</v>
      </c>
      <c r="F1175" t="s">
        <v>8052</v>
      </c>
      <c r="G1175" t="s">
        <v>8053</v>
      </c>
      <c r="H1175" t="s">
        <v>2895</v>
      </c>
      <c r="I1175" t="b">
        <v>0</v>
      </c>
      <c r="J1175">
        <v>221</v>
      </c>
      <c r="K1175">
        <v>1902</v>
      </c>
      <c r="L1175">
        <v>128</v>
      </c>
      <c r="M1175">
        <f>COUNTIF(H1175:$H$2581,H1175)</f>
        <v>1</v>
      </c>
    </row>
    <row r="1176" spans="1:13" x14ac:dyDescent="0.2">
      <c r="A1176">
        <v>291</v>
      </c>
      <c r="B1176" t="s">
        <v>2105</v>
      </c>
      <c r="C1176" t="s">
        <v>8077</v>
      </c>
      <c r="D1176" t="s">
        <v>13</v>
      </c>
      <c r="E1176" s="1" t="s">
        <v>8078</v>
      </c>
      <c r="F1176" t="s">
        <v>2108</v>
      </c>
      <c r="G1176" t="s">
        <v>8079</v>
      </c>
      <c r="H1176" t="s">
        <v>2911</v>
      </c>
      <c r="I1176" t="s">
        <v>24</v>
      </c>
      <c r="J1176">
        <v>44</v>
      </c>
      <c r="K1176">
        <v>292</v>
      </c>
      <c r="L1176">
        <v>129</v>
      </c>
      <c r="M1176">
        <f>COUNTIF(H1176:$H$2581,H1176)</f>
        <v>4</v>
      </c>
    </row>
    <row r="1177" spans="1:13" x14ac:dyDescent="0.2">
      <c r="A1177">
        <v>1100</v>
      </c>
      <c r="B1177" t="s">
        <v>1075</v>
      </c>
      <c r="C1177" t="s">
        <v>8115</v>
      </c>
      <c r="D1177" t="s">
        <v>54</v>
      </c>
      <c r="E1177" t="s">
        <v>8116</v>
      </c>
      <c r="F1177" t="s">
        <v>1078</v>
      </c>
      <c r="G1177" t="s">
        <v>8117</v>
      </c>
      <c r="H1177" t="s">
        <v>2911</v>
      </c>
      <c r="I1177" t="s">
        <v>24</v>
      </c>
      <c r="J1177">
        <v>133</v>
      </c>
      <c r="K1177">
        <v>1101</v>
      </c>
      <c r="L1177">
        <v>29</v>
      </c>
      <c r="M1177">
        <f>COUNTIF(H1177:$H$2581,H1177)</f>
        <v>3</v>
      </c>
    </row>
    <row r="1178" spans="1:13" x14ac:dyDescent="0.2">
      <c r="A1178">
        <v>2237</v>
      </c>
      <c r="B1178" t="s">
        <v>165</v>
      </c>
      <c r="C1178" t="s">
        <v>8225</v>
      </c>
      <c r="D1178" t="s">
        <v>13</v>
      </c>
      <c r="E1178" t="s">
        <v>8226</v>
      </c>
      <c r="F1178" t="s">
        <v>168</v>
      </c>
      <c r="G1178" t="s">
        <v>8227</v>
      </c>
      <c r="H1178" t="s">
        <v>2911</v>
      </c>
      <c r="I1178" t="s">
        <v>24</v>
      </c>
      <c r="J1178">
        <v>261</v>
      </c>
      <c r="K1178">
        <v>2238</v>
      </c>
      <c r="L1178">
        <v>30</v>
      </c>
      <c r="M1178">
        <f>COUNTIF(H1178:$H$2581,H1178)</f>
        <v>2</v>
      </c>
    </row>
    <row r="1179" spans="1:13" x14ac:dyDescent="0.2">
      <c r="A1179">
        <v>738</v>
      </c>
      <c r="B1179" t="s">
        <v>1349</v>
      </c>
      <c r="C1179" t="s">
        <v>8329</v>
      </c>
      <c r="D1179" t="s">
        <v>13</v>
      </c>
      <c r="E1179" t="s">
        <v>8330</v>
      </c>
      <c r="F1179" t="s">
        <v>1352</v>
      </c>
      <c r="G1179" t="s">
        <v>8331</v>
      </c>
      <c r="H1179" t="s">
        <v>2911</v>
      </c>
      <c r="I1179" t="b">
        <v>1</v>
      </c>
      <c r="J1179">
        <v>104</v>
      </c>
      <c r="K1179">
        <v>739</v>
      </c>
      <c r="L1179">
        <v>42</v>
      </c>
      <c r="M1179">
        <f>COUNTIF(H1179:$H$2581,H1179)</f>
        <v>1</v>
      </c>
    </row>
    <row r="1180" spans="1:13" x14ac:dyDescent="0.2">
      <c r="A1180">
        <v>609</v>
      </c>
      <c r="B1180" t="s">
        <v>1097</v>
      </c>
      <c r="C1180" t="s">
        <v>8414</v>
      </c>
      <c r="D1180" t="s">
        <v>13</v>
      </c>
      <c r="E1180" t="s">
        <v>8415</v>
      </c>
      <c r="F1180" t="s">
        <v>1100</v>
      </c>
      <c r="G1180" t="s">
        <v>8416</v>
      </c>
      <c r="H1180" t="s">
        <v>2943</v>
      </c>
      <c r="I1180" t="b">
        <v>0</v>
      </c>
      <c r="J1180">
        <v>90</v>
      </c>
      <c r="K1180">
        <v>610</v>
      </c>
      <c r="L1180">
        <v>130</v>
      </c>
      <c r="M1180">
        <f>COUNTIF(H1180:$H$2581,H1180)</f>
        <v>11</v>
      </c>
    </row>
    <row r="1181" spans="1:13" x14ac:dyDescent="0.2">
      <c r="A1181">
        <v>367</v>
      </c>
      <c r="B1181" t="s">
        <v>975</v>
      </c>
      <c r="C1181" t="s">
        <v>8470</v>
      </c>
      <c r="D1181" t="s">
        <v>13</v>
      </c>
      <c r="E1181" t="s">
        <v>8471</v>
      </c>
      <c r="F1181" s="1" t="s">
        <v>978</v>
      </c>
      <c r="G1181" t="s">
        <v>8472</v>
      </c>
      <c r="H1181" t="s">
        <v>2943</v>
      </c>
      <c r="I1181" t="b">
        <v>1</v>
      </c>
      <c r="J1181">
        <v>50</v>
      </c>
      <c r="K1181">
        <v>368</v>
      </c>
      <c r="L1181">
        <v>147</v>
      </c>
      <c r="M1181">
        <f>COUNTIF(H1181:$H$2581,H1181)</f>
        <v>10</v>
      </c>
    </row>
    <row r="1182" spans="1:13" x14ac:dyDescent="0.2">
      <c r="A1182">
        <v>191</v>
      </c>
      <c r="B1182" t="s">
        <v>557</v>
      </c>
      <c r="C1182" t="s">
        <v>8502</v>
      </c>
      <c r="D1182" t="s">
        <v>13</v>
      </c>
      <c r="E1182" t="s">
        <v>8503</v>
      </c>
      <c r="F1182" t="s">
        <v>560</v>
      </c>
      <c r="G1182" t="s">
        <v>8504</v>
      </c>
      <c r="H1182" t="s">
        <v>2943</v>
      </c>
      <c r="I1182" t="s">
        <v>24</v>
      </c>
      <c r="J1182">
        <v>34</v>
      </c>
      <c r="K1182">
        <v>192</v>
      </c>
      <c r="L1182">
        <v>58</v>
      </c>
      <c r="M1182">
        <f>COUNTIF(H1182:$H$2581,H1182)</f>
        <v>9</v>
      </c>
    </row>
    <row r="1183" spans="1:13" x14ac:dyDescent="0.2">
      <c r="A1183">
        <v>573</v>
      </c>
      <c r="B1183" t="s">
        <v>2797</v>
      </c>
      <c r="C1183" t="s">
        <v>8528</v>
      </c>
      <c r="D1183" t="s">
        <v>13</v>
      </c>
      <c r="E1183" t="s">
        <v>8529</v>
      </c>
      <c r="F1183" t="s">
        <v>2800</v>
      </c>
      <c r="G1183" t="s">
        <v>8530</v>
      </c>
      <c r="H1183" t="s">
        <v>2943</v>
      </c>
      <c r="I1183" t="s">
        <v>24</v>
      </c>
      <c r="J1183">
        <v>84</v>
      </c>
      <c r="K1183">
        <v>574</v>
      </c>
      <c r="L1183">
        <v>110</v>
      </c>
      <c r="M1183">
        <f>COUNTIF(H1183:$H$2581,H1183)</f>
        <v>8</v>
      </c>
    </row>
    <row r="1184" spans="1:13" x14ac:dyDescent="0.2">
      <c r="A1184">
        <v>2295</v>
      </c>
      <c r="B1184" t="s">
        <v>1070</v>
      </c>
      <c r="C1184" t="s">
        <v>8597</v>
      </c>
      <c r="D1184" t="s">
        <v>54</v>
      </c>
      <c r="E1184" t="s">
        <v>8598</v>
      </c>
      <c r="F1184" t="s">
        <v>1073</v>
      </c>
      <c r="G1184" t="s">
        <v>8599</v>
      </c>
      <c r="H1184" t="s">
        <v>2943</v>
      </c>
      <c r="I1184" t="b">
        <v>1</v>
      </c>
      <c r="J1184">
        <v>268</v>
      </c>
      <c r="K1184">
        <v>2296</v>
      </c>
      <c r="L1184">
        <v>56</v>
      </c>
      <c r="M1184">
        <f>COUNTIF(H1184:$H$2581,H1184)</f>
        <v>7</v>
      </c>
    </row>
    <row r="1185" spans="1:13" x14ac:dyDescent="0.2">
      <c r="A1185">
        <v>2472</v>
      </c>
      <c r="B1185" t="s">
        <v>1411</v>
      </c>
      <c r="C1185" t="s">
        <v>8790</v>
      </c>
      <c r="D1185" t="s">
        <v>54</v>
      </c>
      <c r="E1185" t="s">
        <v>8791</v>
      </c>
      <c r="F1185" t="s">
        <v>1414</v>
      </c>
      <c r="G1185" t="s">
        <v>8792</v>
      </c>
      <c r="H1185" t="s">
        <v>2943</v>
      </c>
      <c r="I1185" t="b">
        <v>1</v>
      </c>
      <c r="J1185">
        <v>285</v>
      </c>
      <c r="K1185">
        <v>2473</v>
      </c>
      <c r="L1185">
        <v>31</v>
      </c>
      <c r="M1185">
        <f>COUNTIF(H1185:$H$2581,H1185)</f>
        <v>6</v>
      </c>
    </row>
    <row r="1186" spans="1:13" x14ac:dyDescent="0.2">
      <c r="A1186">
        <v>1325</v>
      </c>
      <c r="B1186" t="s">
        <v>1157</v>
      </c>
      <c r="C1186" t="s">
        <v>8821</v>
      </c>
      <c r="D1186" t="s">
        <v>13</v>
      </c>
      <c r="E1186" t="s">
        <v>8822</v>
      </c>
      <c r="F1186" t="s">
        <v>1160</v>
      </c>
      <c r="G1186" t="s">
        <v>8823</v>
      </c>
      <c r="H1186" t="s">
        <v>2943</v>
      </c>
      <c r="I1186" t="b">
        <v>0</v>
      </c>
      <c r="J1186">
        <v>162</v>
      </c>
      <c r="K1186">
        <v>1326</v>
      </c>
      <c r="L1186">
        <v>254</v>
      </c>
      <c r="M1186">
        <f>COUNTIF(H1186:$H$2581,H1186)</f>
        <v>5</v>
      </c>
    </row>
    <row r="1187" spans="1:13" x14ac:dyDescent="0.2">
      <c r="A1187">
        <v>114</v>
      </c>
      <c r="B1187" t="s">
        <v>47</v>
      </c>
      <c r="C1187" t="s">
        <v>48</v>
      </c>
      <c r="D1187" t="s">
        <v>33</v>
      </c>
      <c r="E1187" t="s">
        <v>49</v>
      </c>
      <c r="F1187" t="s">
        <v>50</v>
      </c>
      <c r="G1187" t="s">
        <v>51</v>
      </c>
      <c r="H1187" t="s">
        <v>2943</v>
      </c>
      <c r="I1187" t="s">
        <v>24</v>
      </c>
      <c r="J1187">
        <v>20</v>
      </c>
      <c r="K1187">
        <v>115</v>
      </c>
      <c r="L1187">
        <v>45</v>
      </c>
      <c r="M1187">
        <f>COUNTIF(H1187:$H$2581,H1187)</f>
        <v>4</v>
      </c>
    </row>
    <row r="1188" spans="1:13" x14ac:dyDescent="0.2">
      <c r="A1188">
        <v>942</v>
      </c>
      <c r="B1188" t="s">
        <v>203</v>
      </c>
      <c r="C1188" t="s">
        <v>204</v>
      </c>
      <c r="D1188" t="s">
        <v>54</v>
      </c>
      <c r="E1188" t="s">
        <v>205</v>
      </c>
      <c r="F1188" t="s">
        <v>206</v>
      </c>
      <c r="G1188" t="s">
        <v>207</v>
      </c>
      <c r="H1188" t="s">
        <v>2943</v>
      </c>
      <c r="I1188" t="b">
        <v>1</v>
      </c>
      <c r="J1188">
        <v>123</v>
      </c>
      <c r="K1188">
        <v>943</v>
      </c>
      <c r="L1188">
        <v>217</v>
      </c>
      <c r="M1188">
        <f>COUNTIF(H1188:$H$2581,H1188)</f>
        <v>3</v>
      </c>
    </row>
    <row r="1189" spans="1:13" x14ac:dyDescent="0.2">
      <c r="A1189">
        <v>2314</v>
      </c>
      <c r="B1189" t="s">
        <v>292</v>
      </c>
      <c r="C1189" t="s">
        <v>293</v>
      </c>
      <c r="D1189" t="s">
        <v>33</v>
      </c>
      <c r="E1189" t="s">
        <v>294</v>
      </c>
      <c r="F1189" t="s">
        <v>295</v>
      </c>
      <c r="G1189" t="s">
        <v>296</v>
      </c>
      <c r="H1189" t="s">
        <v>2943</v>
      </c>
      <c r="I1189" t="b">
        <v>0</v>
      </c>
      <c r="J1189">
        <v>272</v>
      </c>
      <c r="K1189">
        <v>2315</v>
      </c>
      <c r="L1189">
        <v>343</v>
      </c>
      <c r="M1189">
        <f>COUNTIF(H1189:$H$2581,H1189)</f>
        <v>2</v>
      </c>
    </row>
    <row r="1190" spans="1:13" x14ac:dyDescent="0.2">
      <c r="A1190">
        <v>103</v>
      </c>
      <c r="B1190" t="s">
        <v>316</v>
      </c>
      <c r="C1190" t="s">
        <v>317</v>
      </c>
      <c r="D1190" t="s">
        <v>54</v>
      </c>
      <c r="E1190" t="s">
        <v>318</v>
      </c>
      <c r="F1190" t="s">
        <v>319</v>
      </c>
      <c r="G1190" t="s">
        <v>320</v>
      </c>
      <c r="H1190" t="s">
        <v>2943</v>
      </c>
      <c r="I1190" t="s">
        <v>24</v>
      </c>
      <c r="J1190">
        <v>18</v>
      </c>
      <c r="K1190">
        <v>104</v>
      </c>
      <c r="L1190">
        <v>1</v>
      </c>
      <c r="M1190">
        <f>COUNTIF(H1190:$H$2581,H1190)</f>
        <v>1</v>
      </c>
    </row>
    <row r="1191" spans="1:13" x14ac:dyDescent="0.2">
      <c r="A1191">
        <v>1915</v>
      </c>
      <c r="B1191" t="s">
        <v>439</v>
      </c>
      <c r="C1191" t="s">
        <v>440</v>
      </c>
      <c r="D1191" t="s">
        <v>33</v>
      </c>
      <c r="E1191" t="s">
        <v>441</v>
      </c>
      <c r="F1191" t="s">
        <v>442</v>
      </c>
      <c r="G1191" t="s">
        <v>443</v>
      </c>
      <c r="H1191" t="s">
        <v>2988</v>
      </c>
      <c r="I1191" t="b">
        <v>0</v>
      </c>
      <c r="J1191">
        <v>224</v>
      </c>
      <c r="K1191">
        <v>1916</v>
      </c>
      <c r="L1191">
        <v>90</v>
      </c>
      <c r="M1191">
        <f>COUNTIF(H1191:$H$2581,H1191)</f>
        <v>1</v>
      </c>
    </row>
    <row r="1192" spans="1:13" x14ac:dyDescent="0.2">
      <c r="A1192">
        <v>2170</v>
      </c>
      <c r="B1192" t="s">
        <v>476</v>
      </c>
      <c r="C1192" t="s">
        <v>477</v>
      </c>
      <c r="D1192" t="s">
        <v>13</v>
      </c>
      <c r="E1192" t="s">
        <v>478</v>
      </c>
      <c r="F1192" t="s">
        <v>479</v>
      </c>
      <c r="G1192" t="s">
        <v>480</v>
      </c>
      <c r="H1192" t="s">
        <v>2995</v>
      </c>
      <c r="I1192" t="s">
        <v>24</v>
      </c>
      <c r="J1192">
        <v>254</v>
      </c>
      <c r="K1192">
        <v>2171</v>
      </c>
      <c r="L1192">
        <v>155</v>
      </c>
      <c r="M1192">
        <f>COUNTIF(H1192:$H$2581,H1192)</f>
        <v>1</v>
      </c>
    </row>
    <row r="1193" spans="1:13" x14ac:dyDescent="0.2">
      <c r="A1193">
        <v>132</v>
      </c>
      <c r="B1193" t="s">
        <v>58</v>
      </c>
      <c r="C1193" t="s">
        <v>543</v>
      </c>
      <c r="D1193" t="s">
        <v>54</v>
      </c>
      <c r="E1193" t="s">
        <v>544</v>
      </c>
      <c r="F1193" t="s">
        <v>61</v>
      </c>
      <c r="G1193" t="s">
        <v>545</v>
      </c>
      <c r="H1193" t="s">
        <v>3002</v>
      </c>
      <c r="I1193" t="b">
        <v>0</v>
      </c>
      <c r="J1193">
        <v>24</v>
      </c>
      <c r="K1193">
        <v>133</v>
      </c>
      <c r="L1193">
        <v>46</v>
      </c>
      <c r="M1193">
        <f>COUNTIF(H1193:$H$2581,H1193)</f>
        <v>3</v>
      </c>
    </row>
    <row r="1194" spans="1:13" x14ac:dyDescent="0.2">
      <c r="A1194">
        <v>1464</v>
      </c>
      <c r="B1194" t="s">
        <v>736</v>
      </c>
      <c r="C1194" t="s">
        <v>737</v>
      </c>
      <c r="D1194" t="s">
        <v>13</v>
      </c>
      <c r="E1194" t="s">
        <v>738</v>
      </c>
      <c r="F1194" t="s">
        <v>739</v>
      </c>
      <c r="G1194" t="s">
        <v>740</v>
      </c>
      <c r="H1194" t="s">
        <v>3002</v>
      </c>
      <c r="I1194" t="s">
        <v>24</v>
      </c>
      <c r="J1194">
        <v>178</v>
      </c>
      <c r="K1194">
        <v>1465</v>
      </c>
      <c r="L1194">
        <v>293</v>
      </c>
      <c r="M1194">
        <f>COUNTIF(H1194:$H$2581,H1194)</f>
        <v>2</v>
      </c>
    </row>
    <row r="1195" spans="1:13" x14ac:dyDescent="0.2">
      <c r="A1195">
        <v>1165</v>
      </c>
      <c r="B1195" t="s">
        <v>429</v>
      </c>
      <c r="C1195" t="s">
        <v>891</v>
      </c>
      <c r="D1195" t="s">
        <v>54</v>
      </c>
      <c r="E1195" t="s">
        <v>892</v>
      </c>
      <c r="F1195" t="s">
        <v>432</v>
      </c>
      <c r="G1195" t="s">
        <v>893</v>
      </c>
      <c r="H1195" t="s">
        <v>3002</v>
      </c>
      <c r="I1195" t="b">
        <v>0</v>
      </c>
      <c r="J1195">
        <v>143</v>
      </c>
      <c r="K1195">
        <v>1166</v>
      </c>
      <c r="L1195">
        <v>156</v>
      </c>
      <c r="M1195">
        <f>COUNTIF(H1195:$H$2581,H1195)</f>
        <v>1</v>
      </c>
    </row>
    <row r="1196" spans="1:13" x14ac:dyDescent="0.2">
      <c r="A1196">
        <v>1180</v>
      </c>
      <c r="B1196" t="s">
        <v>1054</v>
      </c>
      <c r="C1196" t="s">
        <v>1055</v>
      </c>
      <c r="D1196" t="s">
        <v>54</v>
      </c>
      <c r="E1196" t="s">
        <v>1056</v>
      </c>
      <c r="F1196" t="s">
        <v>1057</v>
      </c>
      <c r="G1196" t="s">
        <v>1058</v>
      </c>
      <c r="H1196" t="s">
        <v>3015</v>
      </c>
      <c r="I1196" t="s">
        <v>24</v>
      </c>
      <c r="J1196">
        <v>145</v>
      </c>
      <c r="K1196">
        <v>1181</v>
      </c>
      <c r="L1196">
        <v>203</v>
      </c>
      <c r="M1196">
        <f>COUNTIF(H1196:$H$2581,H1196)</f>
        <v>2</v>
      </c>
    </row>
    <row r="1197" spans="1:13" x14ac:dyDescent="0.2">
      <c r="A1197">
        <v>2244</v>
      </c>
      <c r="B1197" t="s">
        <v>411</v>
      </c>
      <c r="C1197" t="s">
        <v>1321</v>
      </c>
      <c r="D1197" t="s">
        <v>54</v>
      </c>
      <c r="E1197" t="s">
        <v>1322</v>
      </c>
      <c r="F1197" t="s">
        <v>414</v>
      </c>
      <c r="G1197" t="s">
        <v>1323</v>
      </c>
      <c r="H1197" t="s">
        <v>3015</v>
      </c>
      <c r="I1197" t="s">
        <v>24</v>
      </c>
      <c r="J1197">
        <v>262</v>
      </c>
      <c r="K1197">
        <v>2245</v>
      </c>
      <c r="L1197">
        <v>157</v>
      </c>
      <c r="M1197">
        <f>COUNTIF(H1197:$H$2581,H1197)</f>
        <v>1</v>
      </c>
    </row>
    <row r="1198" spans="1:13" x14ac:dyDescent="0.2">
      <c r="A1198">
        <v>1685</v>
      </c>
      <c r="B1198" t="s">
        <v>129</v>
      </c>
      <c r="C1198" t="s">
        <v>1382</v>
      </c>
      <c r="D1198" t="s">
        <v>13</v>
      </c>
      <c r="E1198" t="s">
        <v>1383</v>
      </c>
      <c r="F1198" t="s">
        <v>132</v>
      </c>
      <c r="G1198" t="s">
        <v>1384</v>
      </c>
      <c r="H1198" t="s">
        <v>3040</v>
      </c>
      <c r="I1198" t="b">
        <v>1</v>
      </c>
      <c r="J1198">
        <v>204</v>
      </c>
      <c r="K1198">
        <v>1686</v>
      </c>
      <c r="L1198">
        <v>37</v>
      </c>
      <c r="M1198">
        <f>COUNTIF(H1198:$H$2581,H1198)</f>
        <v>1</v>
      </c>
    </row>
    <row r="1199" spans="1:13" x14ac:dyDescent="0.2">
      <c r="A1199">
        <v>739</v>
      </c>
      <c r="B1199" t="s">
        <v>1450</v>
      </c>
      <c r="C1199" t="s">
        <v>1451</v>
      </c>
      <c r="D1199" t="s">
        <v>33</v>
      </c>
      <c r="E1199" t="s">
        <v>1452</v>
      </c>
      <c r="F1199" s="1" t="s">
        <v>1453</v>
      </c>
      <c r="G1199" t="s">
        <v>1454</v>
      </c>
      <c r="H1199" t="s">
        <v>3053</v>
      </c>
      <c r="I1199" t="b">
        <v>0</v>
      </c>
      <c r="J1199">
        <v>105</v>
      </c>
      <c r="K1199">
        <v>740</v>
      </c>
      <c r="L1199">
        <v>299</v>
      </c>
      <c r="M1199">
        <f>COUNTIF(H1199:$H$2581,H1199)</f>
        <v>1</v>
      </c>
    </row>
    <row r="1200" spans="1:13" x14ac:dyDescent="0.2">
      <c r="A1200">
        <v>1104</v>
      </c>
      <c r="B1200" t="s">
        <v>1103</v>
      </c>
      <c r="C1200" t="s">
        <v>1543</v>
      </c>
      <c r="D1200" t="s">
        <v>13</v>
      </c>
      <c r="E1200" t="s">
        <v>1547</v>
      </c>
      <c r="F1200" t="s">
        <v>1106</v>
      </c>
      <c r="G1200" t="s">
        <v>1545</v>
      </c>
      <c r="H1200" t="s">
        <v>3067</v>
      </c>
      <c r="I1200" t="s">
        <v>24</v>
      </c>
      <c r="J1200">
        <v>134</v>
      </c>
      <c r="K1200">
        <v>1105</v>
      </c>
      <c r="L1200">
        <v>377</v>
      </c>
      <c r="M1200">
        <f>COUNTIF(H1200:$H$2581,H1200)</f>
        <v>1</v>
      </c>
    </row>
    <row r="1201" spans="1:13" x14ac:dyDescent="0.2">
      <c r="A1201">
        <v>1521</v>
      </c>
      <c r="B1201" t="s">
        <v>1209</v>
      </c>
      <c r="C1201" t="s">
        <v>1615</v>
      </c>
      <c r="D1201" t="s">
        <v>54</v>
      </c>
      <c r="E1201" t="s">
        <v>1616</v>
      </c>
      <c r="F1201" t="s">
        <v>1212</v>
      </c>
      <c r="G1201" t="s">
        <v>1617</v>
      </c>
      <c r="H1201" t="s">
        <v>3088</v>
      </c>
      <c r="I1201" t="b">
        <v>0</v>
      </c>
      <c r="J1201">
        <v>185</v>
      </c>
      <c r="K1201">
        <v>1522</v>
      </c>
      <c r="L1201">
        <v>97</v>
      </c>
      <c r="M1201">
        <f>COUNTIF(H1201:$H$2581,H1201)</f>
        <v>3</v>
      </c>
    </row>
    <row r="1202" spans="1:13" x14ac:dyDescent="0.2">
      <c r="A1202">
        <v>2196</v>
      </c>
      <c r="B1202" t="s">
        <v>1803</v>
      </c>
      <c r="C1202" t="s">
        <v>1804</v>
      </c>
      <c r="D1202" t="s">
        <v>33</v>
      </c>
      <c r="E1202" t="s">
        <v>1805</v>
      </c>
      <c r="F1202" t="s">
        <v>1806</v>
      </c>
      <c r="G1202" t="s">
        <v>1807</v>
      </c>
      <c r="H1202" t="s">
        <v>3088</v>
      </c>
      <c r="I1202" t="b">
        <v>0</v>
      </c>
      <c r="J1202">
        <v>258</v>
      </c>
      <c r="K1202">
        <v>2197</v>
      </c>
      <c r="L1202">
        <v>84</v>
      </c>
      <c r="M1202">
        <f>COUNTIF(H1202:$H$2581,H1202)</f>
        <v>2</v>
      </c>
    </row>
    <row r="1203" spans="1:13" x14ac:dyDescent="0.2">
      <c r="A1203">
        <v>2418</v>
      </c>
      <c r="B1203" t="s">
        <v>1327</v>
      </c>
      <c r="C1203" t="s">
        <v>1992</v>
      </c>
      <c r="D1203" t="s">
        <v>13</v>
      </c>
      <c r="E1203" t="s">
        <v>1993</v>
      </c>
      <c r="F1203" t="s">
        <v>1330</v>
      </c>
      <c r="G1203" t="s">
        <v>1994</v>
      </c>
      <c r="H1203" t="s">
        <v>3088</v>
      </c>
      <c r="I1203" t="b">
        <v>0</v>
      </c>
      <c r="J1203">
        <v>283</v>
      </c>
      <c r="K1203">
        <v>2419</v>
      </c>
      <c r="L1203">
        <v>10</v>
      </c>
      <c r="M1203">
        <f>COUNTIF(H1203:$H$2581,H1203)</f>
        <v>1</v>
      </c>
    </row>
    <row r="1204" spans="1:13" x14ac:dyDescent="0.2">
      <c r="A1204">
        <v>220</v>
      </c>
      <c r="B1204" t="s">
        <v>1120</v>
      </c>
      <c r="C1204" t="s">
        <v>2009</v>
      </c>
      <c r="D1204" t="s">
        <v>13</v>
      </c>
      <c r="E1204" t="s">
        <v>2010</v>
      </c>
      <c r="F1204" s="1" t="s">
        <v>1123</v>
      </c>
      <c r="G1204" t="s">
        <v>2011</v>
      </c>
      <c r="H1204" t="s">
        <v>3118</v>
      </c>
      <c r="I1204" t="b">
        <v>0</v>
      </c>
      <c r="J1204">
        <v>40</v>
      </c>
      <c r="K1204">
        <v>221</v>
      </c>
      <c r="L1204">
        <v>98</v>
      </c>
      <c r="M1204">
        <f>COUNTIF(H1204:$H$2581,H1204)</f>
        <v>1</v>
      </c>
    </row>
    <row r="1205" spans="1:13" x14ac:dyDescent="0.2">
      <c r="A1205">
        <v>58</v>
      </c>
      <c r="B1205" t="s">
        <v>2115</v>
      </c>
      <c r="C1205" t="s">
        <v>2116</v>
      </c>
      <c r="D1205" t="s">
        <v>13</v>
      </c>
      <c r="E1205" t="s">
        <v>2117</v>
      </c>
      <c r="F1205" t="s">
        <v>2118</v>
      </c>
      <c r="G1205" t="s">
        <v>2119</v>
      </c>
      <c r="H1205" t="s">
        <v>3153</v>
      </c>
      <c r="I1205" t="b">
        <v>0</v>
      </c>
      <c r="J1205">
        <v>9</v>
      </c>
      <c r="K1205">
        <v>59</v>
      </c>
      <c r="L1205">
        <v>43</v>
      </c>
      <c r="M1205">
        <f>COUNTIF(H1205:$H$2581,H1205)</f>
        <v>1</v>
      </c>
    </row>
    <row r="1206" spans="1:13" x14ac:dyDescent="0.2">
      <c r="A1206">
        <v>1142</v>
      </c>
      <c r="B1206" t="s">
        <v>957</v>
      </c>
      <c r="C1206" t="s">
        <v>2184</v>
      </c>
      <c r="D1206" t="s">
        <v>13</v>
      </c>
      <c r="E1206" t="s">
        <v>2185</v>
      </c>
      <c r="F1206" t="s">
        <v>960</v>
      </c>
      <c r="G1206" t="s">
        <v>2186</v>
      </c>
      <c r="H1206" t="s">
        <v>3162</v>
      </c>
      <c r="I1206" t="s">
        <v>24</v>
      </c>
      <c r="J1206">
        <v>140</v>
      </c>
      <c r="K1206">
        <v>1143</v>
      </c>
      <c r="L1206">
        <v>204</v>
      </c>
      <c r="M1206">
        <f>COUNTIF(H1206:$H$2581,H1206)</f>
        <v>1</v>
      </c>
    </row>
    <row r="1207" spans="1:13" x14ac:dyDescent="0.2">
      <c r="A1207">
        <v>1707</v>
      </c>
      <c r="B1207" t="s">
        <v>725</v>
      </c>
      <c r="C1207" t="s">
        <v>2243</v>
      </c>
      <c r="D1207" t="s">
        <v>54</v>
      </c>
      <c r="E1207" t="s">
        <v>2244</v>
      </c>
      <c r="F1207" t="s">
        <v>728</v>
      </c>
      <c r="G1207" t="s">
        <v>2245</v>
      </c>
      <c r="H1207" t="s">
        <v>3169</v>
      </c>
      <c r="I1207" t="b">
        <v>1</v>
      </c>
      <c r="J1207">
        <v>205</v>
      </c>
      <c r="K1207">
        <v>1708</v>
      </c>
      <c r="L1207">
        <v>289</v>
      </c>
      <c r="M1207">
        <f>COUNTIF(H1207:$H$2581,H1207)</f>
        <v>4</v>
      </c>
    </row>
    <row r="1208" spans="1:13" x14ac:dyDescent="0.2">
      <c r="A1208">
        <v>2009</v>
      </c>
      <c r="B1208" t="s">
        <v>444</v>
      </c>
      <c r="C1208" t="s">
        <v>2310</v>
      </c>
      <c r="D1208" t="s">
        <v>54</v>
      </c>
      <c r="E1208" t="s">
        <v>2311</v>
      </c>
      <c r="F1208" t="s">
        <v>447</v>
      </c>
      <c r="G1208" t="s">
        <v>2312</v>
      </c>
      <c r="H1208" t="s">
        <v>3169</v>
      </c>
      <c r="I1208" t="s">
        <v>24</v>
      </c>
      <c r="J1208">
        <v>233</v>
      </c>
      <c r="K1208">
        <v>2010</v>
      </c>
      <c r="L1208">
        <v>120</v>
      </c>
      <c r="M1208">
        <f>COUNTIF(H1208:$H$2581,H1208)</f>
        <v>3</v>
      </c>
    </row>
    <row r="1209" spans="1:13" x14ac:dyDescent="0.2">
      <c r="A1209">
        <v>2059</v>
      </c>
      <c r="B1209" t="s">
        <v>1965</v>
      </c>
      <c r="C1209" t="s">
        <v>2402</v>
      </c>
      <c r="D1209" t="s">
        <v>13</v>
      </c>
      <c r="E1209" t="s">
        <v>2403</v>
      </c>
      <c r="F1209" t="s">
        <v>1968</v>
      </c>
      <c r="G1209" t="s">
        <v>2404</v>
      </c>
      <c r="H1209" t="s">
        <v>3169</v>
      </c>
      <c r="I1209" t="b">
        <v>1</v>
      </c>
      <c r="J1209">
        <v>240</v>
      </c>
      <c r="K1209">
        <v>2060</v>
      </c>
      <c r="L1209">
        <v>121</v>
      </c>
      <c r="M1209">
        <f>COUNTIF(H1209:$H$2581,H1209)</f>
        <v>2</v>
      </c>
    </row>
    <row r="1210" spans="1:13" x14ac:dyDescent="0.2">
      <c r="A1210">
        <v>874</v>
      </c>
      <c r="B1210" t="s">
        <v>1192</v>
      </c>
      <c r="C1210" t="s">
        <v>2463</v>
      </c>
      <c r="D1210" t="s">
        <v>54</v>
      </c>
      <c r="E1210" t="s">
        <v>2464</v>
      </c>
      <c r="F1210" t="s">
        <v>1195</v>
      </c>
      <c r="G1210" t="s">
        <v>2465</v>
      </c>
      <c r="H1210" t="s">
        <v>3169</v>
      </c>
      <c r="I1210" t="s">
        <v>24</v>
      </c>
      <c r="J1210">
        <v>119</v>
      </c>
      <c r="K1210">
        <v>875</v>
      </c>
      <c r="L1210">
        <v>16</v>
      </c>
      <c r="M1210">
        <f>COUNTIF(H1210:$H$2581,H1210)</f>
        <v>1</v>
      </c>
    </row>
    <row r="1211" spans="1:13" x14ac:dyDescent="0.2">
      <c r="A1211">
        <v>403</v>
      </c>
      <c r="B1211" t="s">
        <v>1244</v>
      </c>
      <c r="C1211" t="s">
        <v>1244</v>
      </c>
      <c r="D1211" t="s">
        <v>13</v>
      </c>
      <c r="E1211" s="1" t="s">
        <v>2482</v>
      </c>
      <c r="F1211" t="s">
        <v>1247</v>
      </c>
      <c r="G1211" t="s">
        <v>2483</v>
      </c>
      <c r="H1211" t="s">
        <v>3207</v>
      </c>
      <c r="I1211" t="b">
        <v>0</v>
      </c>
      <c r="J1211">
        <v>57</v>
      </c>
      <c r="K1211">
        <v>404</v>
      </c>
      <c r="L1211">
        <v>182</v>
      </c>
      <c r="M1211">
        <f>COUNTIF(H1211:$H$2581,H1211)</f>
        <v>3</v>
      </c>
    </row>
    <row r="1212" spans="1:13" x14ac:dyDescent="0.2">
      <c r="A1212">
        <v>221</v>
      </c>
      <c r="B1212" t="s">
        <v>1120</v>
      </c>
      <c r="C1212" t="s">
        <v>2509</v>
      </c>
      <c r="D1212" t="s">
        <v>54</v>
      </c>
      <c r="E1212" t="s">
        <v>2510</v>
      </c>
      <c r="F1212" s="1" t="s">
        <v>1123</v>
      </c>
      <c r="G1212" t="s">
        <v>2511</v>
      </c>
      <c r="H1212" t="s">
        <v>3207</v>
      </c>
      <c r="I1212" t="b">
        <v>0</v>
      </c>
      <c r="J1212">
        <v>40</v>
      </c>
      <c r="K1212">
        <v>222</v>
      </c>
      <c r="L1212">
        <v>99</v>
      </c>
      <c r="M1212">
        <f>COUNTIF(H1212:$H$2581,H1212)</f>
        <v>2</v>
      </c>
    </row>
    <row r="1213" spans="1:13" x14ac:dyDescent="0.2">
      <c r="A1213">
        <v>1620</v>
      </c>
      <c r="B1213" t="s">
        <v>720</v>
      </c>
      <c r="C1213" t="s">
        <v>2575</v>
      </c>
      <c r="D1213" t="s">
        <v>13</v>
      </c>
      <c r="E1213" s="1" t="s">
        <v>2576</v>
      </c>
      <c r="F1213" t="s">
        <v>723</v>
      </c>
      <c r="G1213" t="s">
        <v>2577</v>
      </c>
      <c r="H1213" t="s">
        <v>3207</v>
      </c>
      <c r="I1213" t="b">
        <v>1</v>
      </c>
      <c r="J1213">
        <v>197</v>
      </c>
      <c r="K1213">
        <v>1621</v>
      </c>
      <c r="L1213">
        <v>546</v>
      </c>
      <c r="M1213">
        <f>COUNTIF(H1213:$H$2581,H1213)</f>
        <v>1</v>
      </c>
    </row>
    <row r="1214" spans="1:13" x14ac:dyDescent="0.2">
      <c r="A1214">
        <v>952</v>
      </c>
      <c r="B1214" t="s">
        <v>203</v>
      </c>
      <c r="C1214" t="s">
        <v>2616</v>
      </c>
      <c r="D1214" t="s">
        <v>54</v>
      </c>
      <c r="E1214" t="s">
        <v>2617</v>
      </c>
      <c r="F1214" t="s">
        <v>206</v>
      </c>
      <c r="G1214" t="s">
        <v>2618</v>
      </c>
      <c r="H1214" t="s">
        <v>3254</v>
      </c>
      <c r="I1214" t="b">
        <v>1</v>
      </c>
      <c r="J1214">
        <v>123</v>
      </c>
      <c r="K1214">
        <v>953</v>
      </c>
      <c r="L1214">
        <v>262</v>
      </c>
      <c r="M1214">
        <f>COUNTIF(H1214:$H$2581,H1214)</f>
        <v>21</v>
      </c>
    </row>
    <row r="1215" spans="1:13" x14ac:dyDescent="0.2">
      <c r="A1215">
        <v>52</v>
      </c>
      <c r="B1215" t="s">
        <v>1357</v>
      </c>
      <c r="C1215" t="s">
        <v>2787</v>
      </c>
      <c r="D1215" t="s">
        <v>13</v>
      </c>
      <c r="E1215" t="s">
        <v>2788</v>
      </c>
      <c r="F1215" t="s">
        <v>1360</v>
      </c>
      <c r="G1215" t="s">
        <v>2789</v>
      </c>
      <c r="H1215" t="s">
        <v>3254</v>
      </c>
      <c r="I1215" t="b">
        <v>0</v>
      </c>
      <c r="J1215">
        <v>8</v>
      </c>
      <c r="K1215">
        <v>53</v>
      </c>
      <c r="L1215">
        <v>38</v>
      </c>
      <c r="M1215">
        <f>COUNTIF(H1215:$H$2581,H1215)</f>
        <v>20</v>
      </c>
    </row>
    <row r="1216" spans="1:13" x14ac:dyDescent="0.2">
      <c r="A1216">
        <v>1971</v>
      </c>
      <c r="B1216" t="s">
        <v>608</v>
      </c>
      <c r="C1216" t="s">
        <v>2842</v>
      </c>
      <c r="D1216" t="s">
        <v>13</v>
      </c>
      <c r="E1216" t="s">
        <v>2843</v>
      </c>
      <c r="F1216" t="s">
        <v>611</v>
      </c>
      <c r="G1216" t="s">
        <v>2844</v>
      </c>
      <c r="H1216" t="s">
        <v>3254</v>
      </c>
      <c r="I1216" t="b">
        <v>1</v>
      </c>
      <c r="J1216">
        <v>227</v>
      </c>
      <c r="K1216">
        <v>1972</v>
      </c>
      <c r="L1216">
        <v>17</v>
      </c>
      <c r="M1216">
        <f>COUNTIF(H1216:$H$2581,H1216)</f>
        <v>19</v>
      </c>
    </row>
    <row r="1217" spans="1:13" x14ac:dyDescent="0.2">
      <c r="A1217">
        <v>21</v>
      </c>
      <c r="B1217" t="s">
        <v>2448</v>
      </c>
      <c r="C1217" t="s">
        <v>2857</v>
      </c>
      <c r="D1217" t="s">
        <v>13</v>
      </c>
      <c r="E1217" t="s">
        <v>2858</v>
      </c>
      <c r="F1217" t="s">
        <v>2451</v>
      </c>
      <c r="G1217" t="s">
        <v>2859</v>
      </c>
      <c r="H1217" t="s">
        <v>3254</v>
      </c>
      <c r="I1217" t="s">
        <v>24</v>
      </c>
      <c r="J1217">
        <v>6</v>
      </c>
      <c r="K1217">
        <v>22</v>
      </c>
      <c r="L1217">
        <v>18</v>
      </c>
      <c r="M1217">
        <f>COUNTIF(H1217:$H$2581,H1217)</f>
        <v>18</v>
      </c>
    </row>
    <row r="1218" spans="1:13" x14ac:dyDescent="0.2">
      <c r="A1218">
        <v>955</v>
      </c>
      <c r="B1218" t="s">
        <v>203</v>
      </c>
      <c r="C1218" t="s">
        <v>2908</v>
      </c>
      <c r="D1218" t="s">
        <v>13</v>
      </c>
      <c r="E1218" t="s">
        <v>2909</v>
      </c>
      <c r="F1218" t="s">
        <v>206</v>
      </c>
      <c r="G1218" t="s">
        <v>2910</v>
      </c>
      <c r="H1218" t="s">
        <v>3254</v>
      </c>
      <c r="I1218" t="b">
        <v>1</v>
      </c>
      <c r="J1218">
        <v>123</v>
      </c>
      <c r="K1218">
        <v>956</v>
      </c>
      <c r="L1218">
        <v>357</v>
      </c>
      <c r="M1218">
        <f>COUNTIF(H1218:$H$2581,H1218)</f>
        <v>17</v>
      </c>
    </row>
    <row r="1219" spans="1:13" x14ac:dyDescent="0.2">
      <c r="A1219">
        <v>1864</v>
      </c>
      <c r="B1219" t="s">
        <v>18</v>
      </c>
      <c r="C1219" t="s">
        <v>2962</v>
      </c>
      <c r="D1219" t="s">
        <v>54</v>
      </c>
      <c r="E1219" t="s">
        <v>2963</v>
      </c>
      <c r="F1219" t="s">
        <v>21</v>
      </c>
      <c r="G1219" t="s">
        <v>2964</v>
      </c>
      <c r="H1219" t="s">
        <v>3254</v>
      </c>
      <c r="I1219" t="s">
        <v>24</v>
      </c>
      <c r="J1219">
        <v>217</v>
      </c>
      <c r="K1219">
        <v>1865</v>
      </c>
      <c r="L1219">
        <v>100</v>
      </c>
      <c r="M1219">
        <f>COUNTIF(H1219:$H$2581,H1219)</f>
        <v>16</v>
      </c>
    </row>
    <row r="1220" spans="1:13" x14ac:dyDescent="0.2">
      <c r="A1220">
        <v>22</v>
      </c>
      <c r="B1220" t="s">
        <v>2448</v>
      </c>
      <c r="C1220" t="s">
        <v>3166</v>
      </c>
      <c r="D1220" t="s">
        <v>13</v>
      </c>
      <c r="E1220" t="s">
        <v>3167</v>
      </c>
      <c r="F1220" t="s">
        <v>2451</v>
      </c>
      <c r="G1220" t="s">
        <v>3168</v>
      </c>
      <c r="H1220" t="s">
        <v>3254</v>
      </c>
      <c r="I1220" t="s">
        <v>24</v>
      </c>
      <c r="J1220">
        <v>6</v>
      </c>
      <c r="K1220">
        <v>23</v>
      </c>
      <c r="L1220">
        <v>19</v>
      </c>
      <c r="M1220">
        <f>COUNTIF(H1220:$H$2581,H1220)</f>
        <v>15</v>
      </c>
    </row>
    <row r="1221" spans="1:13" x14ac:dyDescent="0.2">
      <c r="A1221">
        <v>2299</v>
      </c>
      <c r="B1221" t="s">
        <v>1808</v>
      </c>
      <c r="C1221" t="s">
        <v>3305</v>
      </c>
      <c r="D1221" t="s">
        <v>13</v>
      </c>
      <c r="E1221" t="s">
        <v>3306</v>
      </c>
      <c r="F1221" t="s">
        <v>1811</v>
      </c>
      <c r="G1221" t="s">
        <v>3307</v>
      </c>
      <c r="H1221" t="s">
        <v>3254</v>
      </c>
      <c r="I1221" t="b">
        <v>1</v>
      </c>
      <c r="J1221">
        <v>270</v>
      </c>
      <c r="K1221">
        <v>2300</v>
      </c>
      <c r="L1221">
        <v>21</v>
      </c>
      <c r="M1221">
        <f>COUNTIF(H1221:$H$2581,H1221)</f>
        <v>14</v>
      </c>
    </row>
    <row r="1222" spans="1:13" x14ac:dyDescent="0.2">
      <c r="A1222">
        <v>91</v>
      </c>
      <c r="B1222" t="s">
        <v>311</v>
      </c>
      <c r="C1222" t="s">
        <v>3355</v>
      </c>
      <c r="D1222" t="s">
        <v>54</v>
      </c>
      <c r="E1222" t="s">
        <v>3356</v>
      </c>
      <c r="F1222" s="1" t="s">
        <v>314</v>
      </c>
      <c r="G1222" t="s">
        <v>3357</v>
      </c>
      <c r="H1222" t="s">
        <v>3254</v>
      </c>
      <c r="I1222" t="s">
        <v>24</v>
      </c>
      <c r="J1222">
        <v>14</v>
      </c>
      <c r="K1222">
        <v>92</v>
      </c>
      <c r="L1222">
        <v>62</v>
      </c>
      <c r="M1222">
        <f>COUNTIF(H1222:$H$2581,H1222)</f>
        <v>13</v>
      </c>
    </row>
    <row r="1223" spans="1:13" x14ac:dyDescent="0.2">
      <c r="A1223">
        <v>1882</v>
      </c>
      <c r="B1223" t="s">
        <v>619</v>
      </c>
      <c r="C1223" t="s">
        <v>3385</v>
      </c>
      <c r="D1223" t="s">
        <v>54</v>
      </c>
      <c r="E1223" t="s">
        <v>3386</v>
      </c>
      <c r="F1223" t="s">
        <v>622</v>
      </c>
      <c r="G1223" t="s">
        <v>3387</v>
      </c>
      <c r="H1223" t="s">
        <v>3254</v>
      </c>
      <c r="I1223" t="b">
        <v>1</v>
      </c>
      <c r="J1223">
        <v>219</v>
      </c>
      <c r="K1223">
        <v>1883</v>
      </c>
      <c r="L1223">
        <v>280</v>
      </c>
      <c r="M1223">
        <f>COUNTIF(H1223:$H$2581,H1223)</f>
        <v>12</v>
      </c>
    </row>
    <row r="1224" spans="1:13" x14ac:dyDescent="0.2">
      <c r="A1224">
        <v>2091</v>
      </c>
      <c r="B1224" t="s">
        <v>255</v>
      </c>
      <c r="C1224" t="s">
        <v>3451</v>
      </c>
      <c r="D1224" t="s">
        <v>54</v>
      </c>
      <c r="E1224" t="s">
        <v>3452</v>
      </c>
      <c r="F1224" t="s">
        <v>258</v>
      </c>
      <c r="G1224" t="s">
        <v>3453</v>
      </c>
      <c r="H1224" t="s">
        <v>3254</v>
      </c>
      <c r="I1224" t="s">
        <v>24</v>
      </c>
      <c r="J1224">
        <v>242</v>
      </c>
      <c r="K1224">
        <v>2092</v>
      </c>
      <c r="L1224">
        <v>240</v>
      </c>
      <c r="M1224">
        <f>COUNTIF(H1224:$H$2581,H1224)</f>
        <v>11</v>
      </c>
    </row>
    <row r="1225" spans="1:13" x14ac:dyDescent="0.2">
      <c r="A1225">
        <v>2226</v>
      </c>
      <c r="B1225" t="s">
        <v>165</v>
      </c>
      <c r="C1225" t="s">
        <v>3628</v>
      </c>
      <c r="D1225" t="s">
        <v>13</v>
      </c>
      <c r="E1225" t="s">
        <v>3629</v>
      </c>
      <c r="F1225" t="s">
        <v>168</v>
      </c>
      <c r="G1225" t="s">
        <v>3630</v>
      </c>
      <c r="H1225" t="s">
        <v>3254</v>
      </c>
      <c r="I1225" t="s">
        <v>24</v>
      </c>
      <c r="J1225">
        <v>261</v>
      </c>
      <c r="K1225">
        <v>2227</v>
      </c>
      <c r="L1225">
        <v>39</v>
      </c>
      <c r="M1225">
        <f>COUNTIF(H1225:$H$2581,H1225)</f>
        <v>10</v>
      </c>
    </row>
    <row r="1226" spans="1:13" x14ac:dyDescent="0.2">
      <c r="A1226">
        <v>2300</v>
      </c>
      <c r="B1226" t="s">
        <v>1808</v>
      </c>
      <c r="C1226" t="s">
        <v>3770</v>
      </c>
      <c r="D1226" t="s">
        <v>13</v>
      </c>
      <c r="E1226" t="s">
        <v>3771</v>
      </c>
      <c r="F1226" t="s">
        <v>1811</v>
      </c>
      <c r="G1226" t="s">
        <v>3772</v>
      </c>
      <c r="H1226" t="s">
        <v>3254</v>
      </c>
      <c r="I1226" t="b">
        <v>1</v>
      </c>
      <c r="J1226">
        <v>270</v>
      </c>
      <c r="K1226">
        <v>2301</v>
      </c>
      <c r="L1226">
        <v>22</v>
      </c>
      <c r="M1226">
        <f>COUNTIF(H1226:$H$2581,H1226)</f>
        <v>9</v>
      </c>
    </row>
    <row r="1227" spans="1:13" x14ac:dyDescent="0.2">
      <c r="A1227">
        <v>2074</v>
      </c>
      <c r="B1227" t="s">
        <v>1970</v>
      </c>
      <c r="C1227" t="s">
        <v>3848</v>
      </c>
      <c r="D1227" t="s">
        <v>54</v>
      </c>
      <c r="E1227" t="s">
        <v>3849</v>
      </c>
      <c r="F1227" t="s">
        <v>1973</v>
      </c>
      <c r="G1227" t="s">
        <v>3850</v>
      </c>
      <c r="H1227" t="s">
        <v>3254</v>
      </c>
      <c r="I1227" t="s">
        <v>24</v>
      </c>
      <c r="J1227">
        <v>241</v>
      </c>
      <c r="K1227">
        <v>2075</v>
      </c>
      <c r="L1227">
        <v>270</v>
      </c>
      <c r="M1227">
        <f>COUNTIF(H1227:$H$2581,H1227)</f>
        <v>8</v>
      </c>
    </row>
    <row r="1228" spans="1:13" x14ac:dyDescent="0.2">
      <c r="A1228">
        <v>1410</v>
      </c>
      <c r="B1228" t="s">
        <v>1397</v>
      </c>
      <c r="C1228" t="s">
        <v>3886</v>
      </c>
      <c r="D1228" t="s">
        <v>54</v>
      </c>
      <c r="E1228" t="s">
        <v>3887</v>
      </c>
      <c r="F1228" t="s">
        <v>1400</v>
      </c>
      <c r="G1228" t="s">
        <v>3888</v>
      </c>
      <c r="H1228" t="s">
        <v>3254</v>
      </c>
      <c r="I1228" t="b">
        <v>1</v>
      </c>
      <c r="J1228">
        <v>169</v>
      </c>
      <c r="K1228">
        <v>1411</v>
      </c>
      <c r="L1228">
        <v>101</v>
      </c>
      <c r="M1228">
        <f>COUNTIF(H1228:$H$2581,H1228)</f>
        <v>7</v>
      </c>
    </row>
    <row r="1229" spans="1:13" x14ac:dyDescent="0.2">
      <c r="A1229">
        <v>458</v>
      </c>
      <c r="B1229" t="s">
        <v>1039</v>
      </c>
      <c r="C1229" t="s">
        <v>3924</v>
      </c>
      <c r="D1229" t="s">
        <v>54</v>
      </c>
      <c r="E1229" t="s">
        <v>3925</v>
      </c>
      <c r="F1229" t="s">
        <v>1042</v>
      </c>
      <c r="G1229" t="s">
        <v>3926</v>
      </c>
      <c r="H1229" t="s">
        <v>3254</v>
      </c>
      <c r="I1229" t="s">
        <v>24</v>
      </c>
      <c r="J1229">
        <v>65</v>
      </c>
      <c r="K1229">
        <v>459</v>
      </c>
      <c r="L1229">
        <v>206</v>
      </c>
      <c r="M1229">
        <f>COUNTIF(H1229:$H$2581,H1229)</f>
        <v>6</v>
      </c>
    </row>
    <row r="1230" spans="1:13" x14ac:dyDescent="0.2">
      <c r="A1230">
        <v>1440</v>
      </c>
      <c r="B1230" t="s">
        <v>763</v>
      </c>
      <c r="C1230" t="s">
        <v>3973</v>
      </c>
      <c r="D1230" t="s">
        <v>13</v>
      </c>
      <c r="E1230" t="s">
        <v>3974</v>
      </c>
      <c r="F1230" t="s">
        <v>766</v>
      </c>
      <c r="G1230" t="s">
        <v>3975</v>
      </c>
      <c r="H1230" t="s">
        <v>3254</v>
      </c>
      <c r="I1230" t="b">
        <v>1</v>
      </c>
      <c r="J1230">
        <v>174</v>
      </c>
      <c r="K1230">
        <v>1441</v>
      </c>
      <c r="L1230">
        <v>40</v>
      </c>
      <c r="M1230">
        <f>COUNTIF(H1230:$H$2581,H1230)</f>
        <v>5</v>
      </c>
    </row>
    <row r="1231" spans="1:13" x14ac:dyDescent="0.2">
      <c r="A1231">
        <v>654</v>
      </c>
      <c r="B1231" t="s">
        <v>3995</v>
      </c>
      <c r="C1231" t="s">
        <v>3996</v>
      </c>
      <c r="D1231" t="s">
        <v>54</v>
      </c>
      <c r="E1231" t="s">
        <v>3997</v>
      </c>
      <c r="F1231" t="s">
        <v>3998</v>
      </c>
      <c r="G1231" t="s">
        <v>3999</v>
      </c>
      <c r="H1231" t="s">
        <v>3254</v>
      </c>
      <c r="I1231" t="b">
        <v>0</v>
      </c>
      <c r="J1231">
        <v>96</v>
      </c>
      <c r="K1231">
        <v>655</v>
      </c>
      <c r="L1231">
        <v>71</v>
      </c>
      <c r="M1231">
        <f>COUNTIF(H1231:$H$2581,H1231)</f>
        <v>4</v>
      </c>
    </row>
    <row r="1232" spans="1:13" x14ac:dyDescent="0.2">
      <c r="A1232">
        <v>2228</v>
      </c>
      <c r="B1232" t="s">
        <v>165</v>
      </c>
      <c r="C1232" t="s">
        <v>4058</v>
      </c>
      <c r="D1232" t="s">
        <v>33</v>
      </c>
      <c r="E1232" t="s">
        <v>4059</v>
      </c>
      <c r="F1232" t="s">
        <v>168</v>
      </c>
      <c r="G1232" t="s">
        <v>4060</v>
      </c>
      <c r="H1232" t="s">
        <v>3254</v>
      </c>
      <c r="I1232" t="s">
        <v>24</v>
      </c>
      <c r="J1232">
        <v>261</v>
      </c>
      <c r="K1232">
        <v>2229</v>
      </c>
      <c r="L1232">
        <v>23</v>
      </c>
      <c r="M1232">
        <f>COUNTIF(H1232:$H$2581,H1232)</f>
        <v>3</v>
      </c>
    </row>
    <row r="1233" spans="1:13" x14ac:dyDescent="0.2">
      <c r="A1233">
        <v>1223</v>
      </c>
      <c r="B1233" t="s">
        <v>4204</v>
      </c>
      <c r="C1233" t="s">
        <v>4205</v>
      </c>
      <c r="D1233" t="s">
        <v>13</v>
      </c>
      <c r="E1233" t="s">
        <v>4206</v>
      </c>
      <c r="F1233" t="s">
        <v>4207</v>
      </c>
      <c r="G1233" t="s">
        <v>4208</v>
      </c>
      <c r="H1233" t="s">
        <v>3254</v>
      </c>
      <c r="I1233" t="s">
        <v>24</v>
      </c>
      <c r="J1233">
        <v>150</v>
      </c>
      <c r="K1233">
        <v>1224</v>
      </c>
      <c r="L1233">
        <v>64</v>
      </c>
      <c r="M1233">
        <f>COUNTIF(H1233:$H$2581,H1233)</f>
        <v>2</v>
      </c>
    </row>
    <row r="1234" spans="1:13" x14ac:dyDescent="0.2">
      <c r="A1234">
        <v>2462</v>
      </c>
      <c r="B1234" t="s">
        <v>1411</v>
      </c>
      <c r="C1234" t="s">
        <v>4619</v>
      </c>
      <c r="D1234" t="s">
        <v>54</v>
      </c>
      <c r="E1234" t="s">
        <v>4620</v>
      </c>
      <c r="F1234" t="s">
        <v>1414</v>
      </c>
      <c r="G1234" t="s">
        <v>4621</v>
      </c>
      <c r="H1234" t="s">
        <v>3254</v>
      </c>
      <c r="I1234" t="b">
        <v>1</v>
      </c>
      <c r="J1234">
        <v>285</v>
      </c>
      <c r="K1234">
        <v>2463</v>
      </c>
      <c r="L1234">
        <v>4</v>
      </c>
      <c r="M1234">
        <f>COUNTIF(H1234:$H$2581,H1234)</f>
        <v>1</v>
      </c>
    </row>
    <row r="1235" spans="1:13" x14ac:dyDescent="0.2">
      <c r="A1235">
        <v>1293</v>
      </c>
      <c r="B1235" t="s">
        <v>1679</v>
      </c>
      <c r="C1235" t="s">
        <v>4681</v>
      </c>
      <c r="D1235" t="s">
        <v>13</v>
      </c>
      <c r="E1235" t="s">
        <v>4682</v>
      </c>
      <c r="F1235" t="s">
        <v>1682</v>
      </c>
      <c r="G1235" t="s">
        <v>4683</v>
      </c>
      <c r="H1235" t="s">
        <v>3327</v>
      </c>
      <c r="I1235" t="b">
        <v>1</v>
      </c>
      <c r="J1235">
        <v>159</v>
      </c>
      <c r="K1235">
        <v>1294</v>
      </c>
      <c r="L1235">
        <v>33</v>
      </c>
      <c r="M1235">
        <f>COUNTIF(H1235:$H$2581,H1235)</f>
        <v>1</v>
      </c>
    </row>
    <row r="1236" spans="1:13" x14ac:dyDescent="0.2">
      <c r="A1236">
        <v>211</v>
      </c>
      <c r="B1236" t="s">
        <v>88</v>
      </c>
      <c r="C1236" t="s">
        <v>4828</v>
      </c>
      <c r="D1236" t="s">
        <v>54</v>
      </c>
      <c r="E1236" t="s">
        <v>4829</v>
      </c>
      <c r="F1236" t="s">
        <v>91</v>
      </c>
      <c r="G1236" t="s">
        <v>4830</v>
      </c>
      <c r="H1236" t="s">
        <v>3338</v>
      </c>
      <c r="I1236" t="s">
        <v>24</v>
      </c>
      <c r="J1236">
        <v>37</v>
      </c>
      <c r="K1236">
        <v>212</v>
      </c>
      <c r="L1236">
        <v>41</v>
      </c>
      <c r="M1236">
        <f>COUNTIF(H1236:$H$2581,H1236)</f>
        <v>2</v>
      </c>
    </row>
    <row r="1237" spans="1:13" x14ac:dyDescent="0.2">
      <c r="A1237">
        <v>601</v>
      </c>
      <c r="B1237" t="s">
        <v>1097</v>
      </c>
      <c r="C1237" t="s">
        <v>4859</v>
      </c>
      <c r="D1237" t="s">
        <v>13</v>
      </c>
      <c r="E1237" t="s">
        <v>4860</v>
      </c>
      <c r="F1237" t="s">
        <v>1100</v>
      </c>
      <c r="G1237" t="s">
        <v>4861</v>
      </c>
      <c r="H1237" t="s">
        <v>3338</v>
      </c>
      <c r="I1237" t="b">
        <v>0</v>
      </c>
      <c r="J1237">
        <v>90</v>
      </c>
      <c r="K1237">
        <v>602</v>
      </c>
      <c r="L1237">
        <v>5</v>
      </c>
      <c r="M1237">
        <f>COUNTIF(H1237:$H$2581,H1237)</f>
        <v>1</v>
      </c>
    </row>
    <row r="1238" spans="1:13" x14ac:dyDescent="0.2">
      <c r="A1238">
        <v>1430</v>
      </c>
      <c r="B1238" t="s">
        <v>3029</v>
      </c>
      <c r="C1238" t="s">
        <v>4911</v>
      </c>
      <c r="D1238" t="s">
        <v>13</v>
      </c>
      <c r="E1238" t="s">
        <v>4912</v>
      </c>
      <c r="F1238" t="s">
        <v>3032</v>
      </c>
      <c r="G1238" t="s">
        <v>4913</v>
      </c>
      <c r="H1238" t="s">
        <v>3354</v>
      </c>
      <c r="I1238" t="s">
        <v>24</v>
      </c>
      <c r="J1238">
        <v>172</v>
      </c>
      <c r="K1238">
        <v>1431</v>
      </c>
      <c r="L1238">
        <v>34</v>
      </c>
      <c r="M1238">
        <f>COUNTIF(H1238:$H$2581,H1238)</f>
        <v>5</v>
      </c>
    </row>
    <row r="1239" spans="1:13" x14ac:dyDescent="0.2">
      <c r="A1239">
        <v>2044</v>
      </c>
      <c r="B1239" t="s">
        <v>1313</v>
      </c>
      <c r="C1239" t="s">
        <v>5022</v>
      </c>
      <c r="D1239" t="s">
        <v>13</v>
      </c>
      <c r="E1239" t="s">
        <v>5023</v>
      </c>
      <c r="F1239" t="s">
        <v>1316</v>
      </c>
      <c r="G1239" t="s">
        <v>5024</v>
      </c>
      <c r="H1239" t="s">
        <v>3354</v>
      </c>
      <c r="I1239" t="s">
        <v>24</v>
      </c>
      <c r="J1239">
        <v>238</v>
      </c>
      <c r="K1239">
        <v>2045</v>
      </c>
      <c r="L1239">
        <v>123</v>
      </c>
      <c r="M1239">
        <f>COUNTIF(H1239:$H$2581,H1239)</f>
        <v>4</v>
      </c>
    </row>
    <row r="1240" spans="1:13" x14ac:dyDescent="0.2">
      <c r="A1240">
        <v>1226</v>
      </c>
      <c r="B1240" t="s">
        <v>4996</v>
      </c>
      <c r="C1240" t="s">
        <v>5117</v>
      </c>
      <c r="D1240" t="s">
        <v>33</v>
      </c>
      <c r="E1240" t="s">
        <v>5118</v>
      </c>
      <c r="F1240" t="s">
        <v>4999</v>
      </c>
      <c r="G1240" t="s">
        <v>5119</v>
      </c>
      <c r="H1240" t="s">
        <v>3354</v>
      </c>
      <c r="I1240" t="b">
        <v>0</v>
      </c>
      <c r="J1240">
        <v>151</v>
      </c>
      <c r="K1240">
        <v>1227</v>
      </c>
      <c r="L1240">
        <v>421</v>
      </c>
      <c r="M1240">
        <f>COUNTIF(H1240:$H$2581,H1240)</f>
        <v>3</v>
      </c>
    </row>
    <row r="1241" spans="1:13" x14ac:dyDescent="0.2">
      <c r="A1241">
        <v>282</v>
      </c>
      <c r="B1241" t="s">
        <v>2105</v>
      </c>
      <c r="C1241" t="s">
        <v>5152</v>
      </c>
      <c r="D1241" t="s">
        <v>54</v>
      </c>
      <c r="E1241" t="s">
        <v>5153</v>
      </c>
      <c r="F1241" t="s">
        <v>2108</v>
      </c>
      <c r="G1241" t="s">
        <v>5154</v>
      </c>
      <c r="H1241" t="s">
        <v>3354</v>
      </c>
      <c r="I1241" t="s">
        <v>24</v>
      </c>
      <c r="J1241">
        <v>44</v>
      </c>
      <c r="K1241">
        <v>283</v>
      </c>
      <c r="L1241">
        <v>103</v>
      </c>
      <c r="M1241">
        <f>COUNTIF(H1241:$H$2581,H1241)</f>
        <v>2</v>
      </c>
    </row>
    <row r="1242" spans="1:13" x14ac:dyDescent="0.2">
      <c r="A1242">
        <v>1629</v>
      </c>
      <c r="B1242" t="s">
        <v>720</v>
      </c>
      <c r="C1242" t="s">
        <v>5208</v>
      </c>
      <c r="D1242" t="s">
        <v>54</v>
      </c>
      <c r="E1242" t="s">
        <v>5209</v>
      </c>
      <c r="F1242" t="s">
        <v>723</v>
      </c>
      <c r="G1242" t="s">
        <v>5210</v>
      </c>
      <c r="H1242" t="s">
        <v>3354</v>
      </c>
      <c r="I1242" t="b">
        <v>1</v>
      </c>
      <c r="J1242">
        <v>197</v>
      </c>
      <c r="K1242">
        <v>1630</v>
      </c>
      <c r="L1242">
        <v>425</v>
      </c>
      <c r="M1242">
        <f>COUNTIF(H1242:$H$2581,H1242)</f>
        <v>1</v>
      </c>
    </row>
    <row r="1243" spans="1:13" x14ac:dyDescent="0.2">
      <c r="A1243">
        <v>271</v>
      </c>
      <c r="B1243" t="s">
        <v>1126</v>
      </c>
      <c r="C1243" t="s">
        <v>5223</v>
      </c>
      <c r="D1243" t="s">
        <v>33</v>
      </c>
      <c r="E1243" t="s">
        <v>5224</v>
      </c>
      <c r="F1243" t="s">
        <v>1129</v>
      </c>
      <c r="G1243" t="s">
        <v>5225</v>
      </c>
      <c r="H1243" t="s">
        <v>3381</v>
      </c>
      <c r="I1243" t="b">
        <v>0</v>
      </c>
      <c r="J1243">
        <v>43</v>
      </c>
      <c r="K1243">
        <v>272</v>
      </c>
      <c r="L1243">
        <v>117</v>
      </c>
      <c r="M1243">
        <f>COUNTIF(H1243:$H$2581,H1243)</f>
        <v>6</v>
      </c>
    </row>
    <row r="1244" spans="1:13" x14ac:dyDescent="0.2">
      <c r="A1244">
        <v>1991</v>
      </c>
      <c r="B1244" t="s">
        <v>1793</v>
      </c>
      <c r="C1244" t="s">
        <v>5285</v>
      </c>
      <c r="D1244" t="s">
        <v>13</v>
      </c>
      <c r="E1244" t="s">
        <v>5286</v>
      </c>
      <c r="F1244" t="s">
        <v>1796</v>
      </c>
      <c r="G1244" t="s">
        <v>5287</v>
      </c>
      <c r="H1244" t="s">
        <v>3381</v>
      </c>
      <c r="I1244" t="b">
        <v>1</v>
      </c>
      <c r="J1244">
        <v>230</v>
      </c>
      <c r="K1244">
        <v>1992</v>
      </c>
      <c r="L1244">
        <v>35</v>
      </c>
      <c r="M1244">
        <f>COUNTIF(H1244:$H$2581,H1244)</f>
        <v>5</v>
      </c>
    </row>
    <row r="1245" spans="1:13" x14ac:dyDescent="0.2">
      <c r="A1245">
        <v>2405</v>
      </c>
      <c r="B1245" t="s">
        <v>1987</v>
      </c>
      <c r="C1245" t="s">
        <v>5409</v>
      </c>
      <c r="D1245" t="s">
        <v>13</v>
      </c>
      <c r="E1245" t="s">
        <v>5410</v>
      </c>
      <c r="F1245" t="s">
        <v>1990</v>
      </c>
      <c r="G1245" t="s">
        <v>5411</v>
      </c>
      <c r="H1245" t="s">
        <v>3381</v>
      </c>
      <c r="I1245" t="b">
        <v>1</v>
      </c>
      <c r="J1245">
        <v>281</v>
      </c>
      <c r="K1245">
        <v>2406</v>
      </c>
      <c r="L1245">
        <v>24</v>
      </c>
      <c r="M1245">
        <f>COUNTIF(H1245:$H$2581,H1245)</f>
        <v>4</v>
      </c>
    </row>
    <row r="1246" spans="1:13" x14ac:dyDescent="0.2">
      <c r="A1246">
        <v>1824</v>
      </c>
      <c r="B1246" t="s">
        <v>434</v>
      </c>
      <c r="C1246" t="s">
        <v>5457</v>
      </c>
      <c r="D1246" t="s">
        <v>54</v>
      </c>
      <c r="E1246" t="s">
        <v>5458</v>
      </c>
      <c r="F1246" t="s">
        <v>437</v>
      </c>
      <c r="G1246" t="s">
        <v>5459</v>
      </c>
      <c r="H1246" t="s">
        <v>3381</v>
      </c>
      <c r="I1246" t="b">
        <v>0</v>
      </c>
      <c r="J1246">
        <v>212</v>
      </c>
      <c r="K1246">
        <v>1825</v>
      </c>
      <c r="L1246">
        <v>12</v>
      </c>
      <c r="M1246">
        <f>COUNTIF(H1246:$H$2581,H1246)</f>
        <v>3</v>
      </c>
    </row>
    <row r="1247" spans="1:13" x14ac:dyDescent="0.2">
      <c r="A1247">
        <v>2191</v>
      </c>
      <c r="B1247" t="s">
        <v>2870</v>
      </c>
      <c r="C1247" t="s">
        <v>5545</v>
      </c>
      <c r="D1247" t="s">
        <v>13</v>
      </c>
      <c r="E1247" t="s">
        <v>5546</v>
      </c>
      <c r="F1247" t="s">
        <v>2873</v>
      </c>
      <c r="G1247" t="s">
        <v>5547</v>
      </c>
      <c r="H1247" t="s">
        <v>3381</v>
      </c>
      <c r="I1247" t="s">
        <v>24</v>
      </c>
      <c r="J1247">
        <v>257</v>
      </c>
      <c r="K1247">
        <v>2192</v>
      </c>
      <c r="L1247">
        <v>13</v>
      </c>
      <c r="M1247">
        <f>COUNTIF(H1247:$H$2581,H1247)</f>
        <v>2</v>
      </c>
    </row>
    <row r="1248" spans="1:13" x14ac:dyDescent="0.2">
      <c r="A1248">
        <v>2368</v>
      </c>
      <c r="B1248" t="s">
        <v>1816</v>
      </c>
      <c r="C1248" t="s">
        <v>5630</v>
      </c>
      <c r="D1248" t="s">
        <v>54</v>
      </c>
      <c r="E1248" t="s">
        <v>5631</v>
      </c>
      <c r="F1248" t="s">
        <v>1819</v>
      </c>
      <c r="G1248" t="s">
        <v>5632</v>
      </c>
      <c r="H1248" t="s">
        <v>3381</v>
      </c>
      <c r="I1248" t="s">
        <v>24</v>
      </c>
      <c r="J1248">
        <v>276</v>
      </c>
      <c r="K1248">
        <v>2369</v>
      </c>
      <c r="L1248">
        <v>50</v>
      </c>
      <c r="M1248">
        <f>COUNTIF(H1248:$H$2581,H1248)</f>
        <v>1</v>
      </c>
    </row>
    <row r="1249" spans="1:13" x14ac:dyDescent="0.2">
      <c r="A1249">
        <v>2320</v>
      </c>
      <c r="B1249" t="s">
        <v>1029</v>
      </c>
      <c r="C1249" t="s">
        <v>5814</v>
      </c>
      <c r="D1249" t="s">
        <v>54</v>
      </c>
      <c r="E1249" t="s">
        <v>5815</v>
      </c>
      <c r="F1249" t="s">
        <v>1032</v>
      </c>
      <c r="G1249" t="s">
        <v>5816</v>
      </c>
      <c r="H1249" t="s">
        <v>3423</v>
      </c>
      <c r="I1249" t="s">
        <v>24</v>
      </c>
      <c r="J1249">
        <v>273</v>
      </c>
      <c r="K1249">
        <v>2321</v>
      </c>
      <c r="L1249">
        <v>25</v>
      </c>
      <c r="M1249">
        <f>COUNTIF(H1249:$H$2581,H1249)</f>
        <v>14</v>
      </c>
    </row>
    <row r="1250" spans="1:13" x14ac:dyDescent="0.2">
      <c r="A1250">
        <v>2176</v>
      </c>
      <c r="B1250" t="s">
        <v>1024</v>
      </c>
      <c r="C1250" t="s">
        <v>5973</v>
      </c>
      <c r="D1250" t="s">
        <v>33</v>
      </c>
      <c r="E1250" t="s">
        <v>5974</v>
      </c>
      <c r="F1250" t="s">
        <v>1027</v>
      </c>
      <c r="G1250" t="s">
        <v>5975</v>
      </c>
      <c r="H1250" t="s">
        <v>3423</v>
      </c>
      <c r="I1250" t="b">
        <v>0</v>
      </c>
      <c r="J1250">
        <v>255</v>
      </c>
      <c r="K1250">
        <v>2177</v>
      </c>
      <c r="L1250">
        <v>124</v>
      </c>
      <c r="M1250">
        <f>COUNTIF(H1250:$H$2581,H1250)</f>
        <v>13</v>
      </c>
    </row>
    <row r="1251" spans="1:13" x14ac:dyDescent="0.2">
      <c r="A1251">
        <v>446</v>
      </c>
      <c r="B1251" t="s">
        <v>778</v>
      </c>
      <c r="C1251" t="s">
        <v>6036</v>
      </c>
      <c r="D1251" t="s">
        <v>54</v>
      </c>
      <c r="E1251" t="s">
        <v>6037</v>
      </c>
      <c r="F1251" t="s">
        <v>781</v>
      </c>
      <c r="G1251" t="s">
        <v>6038</v>
      </c>
      <c r="H1251" t="s">
        <v>3423</v>
      </c>
      <c r="I1251" t="b">
        <v>0</v>
      </c>
      <c r="J1251">
        <v>64</v>
      </c>
      <c r="K1251">
        <v>447</v>
      </c>
      <c r="L1251">
        <v>199</v>
      </c>
      <c r="M1251">
        <f>COUNTIF(H1251:$H$2581,H1251)</f>
        <v>12</v>
      </c>
    </row>
    <row r="1252" spans="1:13" x14ac:dyDescent="0.2">
      <c r="A1252">
        <v>1679</v>
      </c>
      <c r="B1252" t="s">
        <v>1112</v>
      </c>
      <c r="C1252" t="s">
        <v>6179</v>
      </c>
      <c r="D1252" t="s">
        <v>13</v>
      </c>
      <c r="E1252" t="s">
        <v>6180</v>
      </c>
      <c r="F1252" t="s">
        <v>1115</v>
      </c>
      <c r="G1252" t="s">
        <v>6181</v>
      </c>
      <c r="H1252" t="s">
        <v>3423</v>
      </c>
      <c r="I1252" t="b">
        <v>1</v>
      </c>
      <c r="J1252">
        <v>202</v>
      </c>
      <c r="K1252">
        <v>1680</v>
      </c>
      <c r="L1252">
        <v>167</v>
      </c>
      <c r="M1252">
        <f>COUNTIF(H1252:$H$2581,H1252)</f>
        <v>11</v>
      </c>
    </row>
    <row r="1253" spans="1:13" x14ac:dyDescent="0.2">
      <c r="A1253">
        <v>2155</v>
      </c>
      <c r="B1253" t="s">
        <v>160</v>
      </c>
      <c r="C1253" t="s">
        <v>6319</v>
      </c>
      <c r="D1253" t="s">
        <v>13</v>
      </c>
      <c r="E1253" t="s">
        <v>6320</v>
      </c>
      <c r="F1253" t="s">
        <v>163</v>
      </c>
      <c r="G1253" t="s">
        <v>6321</v>
      </c>
      <c r="H1253" t="s">
        <v>3423</v>
      </c>
      <c r="I1253" t="b">
        <v>0</v>
      </c>
      <c r="J1253">
        <v>251</v>
      </c>
      <c r="K1253">
        <v>2156</v>
      </c>
      <c r="L1253">
        <v>9</v>
      </c>
      <c r="M1253">
        <f>COUNTIF(H1253:$H$2581,H1253)</f>
        <v>10</v>
      </c>
    </row>
    <row r="1254" spans="1:13" x14ac:dyDescent="0.2">
      <c r="A1254">
        <v>2177</v>
      </c>
      <c r="B1254" t="s">
        <v>1024</v>
      </c>
      <c r="C1254" t="s">
        <v>6426</v>
      </c>
      <c r="D1254" t="s">
        <v>33</v>
      </c>
      <c r="E1254" t="s">
        <v>6427</v>
      </c>
      <c r="F1254" t="s">
        <v>1027</v>
      </c>
      <c r="G1254" t="s">
        <v>6428</v>
      </c>
      <c r="H1254" t="s">
        <v>3423</v>
      </c>
      <c r="I1254" t="b">
        <v>0</v>
      </c>
      <c r="J1254">
        <v>255</v>
      </c>
      <c r="K1254">
        <v>2178</v>
      </c>
      <c r="L1254">
        <v>161</v>
      </c>
      <c r="M1254">
        <f>COUNTIF(H1254:$H$2581,H1254)</f>
        <v>9</v>
      </c>
    </row>
    <row r="1255" spans="1:13" x14ac:dyDescent="0.2">
      <c r="A1255">
        <v>2203</v>
      </c>
      <c r="B1255" t="s">
        <v>1803</v>
      </c>
      <c r="C1255" t="s">
        <v>6654</v>
      </c>
      <c r="D1255" t="s">
        <v>13</v>
      </c>
      <c r="E1255" t="s">
        <v>6655</v>
      </c>
      <c r="F1255" t="s">
        <v>1806</v>
      </c>
      <c r="G1255" t="s">
        <v>6656</v>
      </c>
      <c r="H1255" t="s">
        <v>3423</v>
      </c>
      <c r="I1255" t="b">
        <v>0</v>
      </c>
      <c r="J1255">
        <v>258</v>
      </c>
      <c r="K1255">
        <v>2204</v>
      </c>
      <c r="L1255">
        <v>7</v>
      </c>
      <c r="M1255">
        <f>COUNTIF(H1255:$H$2581,H1255)</f>
        <v>8</v>
      </c>
    </row>
    <row r="1256" spans="1:13" x14ac:dyDescent="0.2">
      <c r="A1256">
        <v>696</v>
      </c>
      <c r="B1256" t="s">
        <v>1131</v>
      </c>
      <c r="C1256" t="s">
        <v>6709</v>
      </c>
      <c r="D1256" t="s">
        <v>54</v>
      </c>
      <c r="E1256" t="s">
        <v>6710</v>
      </c>
      <c r="F1256" s="1" t="s">
        <v>1134</v>
      </c>
      <c r="G1256" t="s">
        <v>6711</v>
      </c>
      <c r="H1256" t="s">
        <v>3423</v>
      </c>
      <c r="I1256" t="b">
        <v>0</v>
      </c>
      <c r="J1256">
        <v>102</v>
      </c>
      <c r="K1256">
        <v>697</v>
      </c>
      <c r="L1256">
        <v>162</v>
      </c>
      <c r="M1256">
        <f>COUNTIF(H1256:$H$2581,H1256)</f>
        <v>7</v>
      </c>
    </row>
    <row r="1257" spans="1:13" x14ac:dyDescent="0.2">
      <c r="A1257">
        <v>1841</v>
      </c>
      <c r="B1257" t="s">
        <v>1198</v>
      </c>
      <c r="C1257" t="s">
        <v>6798</v>
      </c>
      <c r="D1257" t="s">
        <v>13</v>
      </c>
      <c r="E1257" t="s">
        <v>6799</v>
      </c>
      <c r="F1257" t="s">
        <v>1201</v>
      </c>
      <c r="G1257" t="s">
        <v>6800</v>
      </c>
      <c r="H1257" t="s">
        <v>3423</v>
      </c>
      <c r="I1257" t="s">
        <v>24</v>
      </c>
      <c r="J1257">
        <v>214</v>
      </c>
      <c r="K1257">
        <v>1842</v>
      </c>
      <c r="L1257">
        <v>106</v>
      </c>
      <c r="M1257">
        <f>COUNTIF(H1257:$H$2581,H1257)</f>
        <v>6</v>
      </c>
    </row>
    <row r="1258" spans="1:13" x14ac:dyDescent="0.2">
      <c r="A1258">
        <v>2096</v>
      </c>
      <c r="B1258" t="s">
        <v>255</v>
      </c>
      <c r="C1258" t="s">
        <v>6901</v>
      </c>
      <c r="D1258" t="s">
        <v>13</v>
      </c>
      <c r="E1258" t="s">
        <v>6902</v>
      </c>
      <c r="F1258" t="s">
        <v>258</v>
      </c>
      <c r="G1258" t="s">
        <v>6903</v>
      </c>
      <c r="H1258" t="s">
        <v>3423</v>
      </c>
      <c r="I1258" t="s">
        <v>24</v>
      </c>
      <c r="J1258">
        <v>242</v>
      </c>
      <c r="K1258">
        <v>2097</v>
      </c>
      <c r="L1258">
        <v>125</v>
      </c>
      <c r="M1258">
        <f>COUNTIF(H1258:$H$2581,H1258)</f>
        <v>5</v>
      </c>
    </row>
    <row r="1259" spans="1:13" x14ac:dyDescent="0.2">
      <c r="A1259">
        <v>286</v>
      </c>
      <c r="B1259" t="s">
        <v>2105</v>
      </c>
      <c r="C1259" t="s">
        <v>6938</v>
      </c>
      <c r="D1259" t="s">
        <v>54</v>
      </c>
      <c r="E1259" t="s">
        <v>6939</v>
      </c>
      <c r="F1259" t="s">
        <v>2108</v>
      </c>
      <c r="G1259" t="s">
        <v>6940</v>
      </c>
      <c r="H1259" t="s">
        <v>3423</v>
      </c>
      <c r="I1259" t="s">
        <v>24</v>
      </c>
      <c r="J1259">
        <v>44</v>
      </c>
      <c r="K1259">
        <v>287</v>
      </c>
      <c r="L1259">
        <v>126</v>
      </c>
      <c r="M1259">
        <f>COUNTIF(H1259:$H$2581,H1259)</f>
        <v>4</v>
      </c>
    </row>
    <row r="1260" spans="1:13" x14ac:dyDescent="0.2">
      <c r="A1260">
        <v>1370</v>
      </c>
      <c r="B1260" t="s">
        <v>603</v>
      </c>
      <c r="C1260" t="s">
        <v>6995</v>
      </c>
      <c r="D1260" t="s">
        <v>13</v>
      </c>
      <c r="E1260" t="s">
        <v>6996</v>
      </c>
      <c r="F1260" t="s">
        <v>606</v>
      </c>
      <c r="G1260" t="s">
        <v>6997</v>
      </c>
      <c r="H1260" t="s">
        <v>3423</v>
      </c>
      <c r="I1260" t="s">
        <v>24</v>
      </c>
      <c r="J1260">
        <v>166</v>
      </c>
      <c r="K1260">
        <v>1371</v>
      </c>
      <c r="L1260">
        <v>107</v>
      </c>
      <c r="M1260">
        <f>COUNTIF(H1260:$H$2581,H1260)</f>
        <v>3</v>
      </c>
    </row>
    <row r="1261" spans="1:13" x14ac:dyDescent="0.2">
      <c r="A1261">
        <v>2390</v>
      </c>
      <c r="B1261" t="s">
        <v>221</v>
      </c>
      <c r="C1261" t="s">
        <v>7112</v>
      </c>
      <c r="D1261" t="s">
        <v>13</v>
      </c>
      <c r="E1261" t="s">
        <v>7113</v>
      </c>
      <c r="F1261" t="s">
        <v>224</v>
      </c>
      <c r="G1261" t="s">
        <v>7114</v>
      </c>
      <c r="H1261" t="s">
        <v>3423</v>
      </c>
      <c r="I1261" t="b">
        <v>1</v>
      </c>
      <c r="J1261">
        <v>278</v>
      </c>
      <c r="K1261">
        <v>2391</v>
      </c>
      <c r="L1261">
        <v>14</v>
      </c>
      <c r="M1261">
        <f>COUNTIF(H1261:$H$2581,H1261)</f>
        <v>2</v>
      </c>
    </row>
    <row r="1262" spans="1:13" x14ac:dyDescent="0.2">
      <c r="A1262">
        <v>1372</v>
      </c>
      <c r="B1262" t="s">
        <v>603</v>
      </c>
      <c r="C1262" t="s">
        <v>7159</v>
      </c>
      <c r="D1262" t="s">
        <v>13</v>
      </c>
      <c r="E1262" t="s">
        <v>7160</v>
      </c>
      <c r="F1262" t="s">
        <v>606</v>
      </c>
      <c r="G1262" t="s">
        <v>7161</v>
      </c>
      <c r="H1262" t="s">
        <v>3423</v>
      </c>
      <c r="I1262" t="s">
        <v>24</v>
      </c>
      <c r="J1262">
        <v>166</v>
      </c>
      <c r="K1262">
        <v>1373</v>
      </c>
      <c r="L1262">
        <v>281</v>
      </c>
      <c r="M1262">
        <f>COUNTIF(H1262:$H$2581,H1262)</f>
        <v>1</v>
      </c>
    </row>
    <row r="1263" spans="1:13" x14ac:dyDescent="0.2">
      <c r="A1263">
        <v>2169</v>
      </c>
      <c r="B1263" t="s">
        <v>471</v>
      </c>
      <c r="C1263" t="s">
        <v>7206</v>
      </c>
      <c r="D1263" t="s">
        <v>13</v>
      </c>
      <c r="E1263" t="s">
        <v>7207</v>
      </c>
      <c r="F1263" t="s">
        <v>474</v>
      </c>
      <c r="G1263" t="s">
        <v>7208</v>
      </c>
      <c r="H1263" t="s">
        <v>3469</v>
      </c>
      <c r="I1263" t="s">
        <v>24</v>
      </c>
      <c r="J1263">
        <v>253</v>
      </c>
      <c r="K1263">
        <v>2170</v>
      </c>
      <c r="L1263">
        <v>362</v>
      </c>
      <c r="M1263">
        <f>COUNTIF(H1263:$H$2581,H1263)</f>
        <v>1</v>
      </c>
    </row>
    <row r="1264" spans="1:13" x14ac:dyDescent="0.2">
      <c r="A1264">
        <v>238</v>
      </c>
      <c r="B1264" t="s">
        <v>1120</v>
      </c>
      <c r="C1264" t="s">
        <v>7249</v>
      </c>
      <c r="D1264" t="s">
        <v>13</v>
      </c>
      <c r="E1264" t="s">
        <v>7250</v>
      </c>
      <c r="F1264" s="1" t="s">
        <v>1123</v>
      </c>
      <c r="G1264" t="s">
        <v>7251</v>
      </c>
      <c r="H1264" t="s">
        <v>3484</v>
      </c>
      <c r="I1264" t="b">
        <v>0</v>
      </c>
      <c r="J1264">
        <v>40</v>
      </c>
      <c r="K1264">
        <v>239</v>
      </c>
      <c r="L1264">
        <v>108</v>
      </c>
      <c r="M1264">
        <f>COUNTIF(H1264:$H$2581,H1264)</f>
        <v>51</v>
      </c>
    </row>
    <row r="1265" spans="1:13" x14ac:dyDescent="0.2">
      <c r="A1265">
        <v>907</v>
      </c>
      <c r="B1265" t="s">
        <v>198</v>
      </c>
      <c r="C1265" t="s">
        <v>7295</v>
      </c>
      <c r="D1265" t="s">
        <v>33</v>
      </c>
      <c r="E1265" t="s">
        <v>7296</v>
      </c>
      <c r="F1265" t="s">
        <v>201</v>
      </c>
      <c r="G1265" t="s">
        <v>7297</v>
      </c>
      <c r="H1265" t="s">
        <v>3484</v>
      </c>
      <c r="I1265" t="b">
        <v>0</v>
      </c>
      <c r="J1265">
        <v>120</v>
      </c>
      <c r="K1265">
        <v>908</v>
      </c>
      <c r="L1265">
        <v>341</v>
      </c>
      <c r="M1265">
        <f>COUNTIF(H1265:$H$2581,H1265)</f>
        <v>50</v>
      </c>
    </row>
    <row r="1266" spans="1:13" x14ac:dyDescent="0.2">
      <c r="A1266">
        <v>1784</v>
      </c>
      <c r="B1266" t="s">
        <v>216</v>
      </c>
      <c r="C1266" t="s">
        <v>7389</v>
      </c>
      <c r="D1266" t="s">
        <v>54</v>
      </c>
      <c r="E1266" t="s">
        <v>7390</v>
      </c>
      <c r="F1266" t="s">
        <v>219</v>
      </c>
      <c r="G1266" t="s">
        <v>7391</v>
      </c>
      <c r="H1266" t="s">
        <v>3484</v>
      </c>
      <c r="I1266" t="b">
        <v>1</v>
      </c>
      <c r="J1266">
        <v>209</v>
      </c>
      <c r="K1266">
        <v>1785</v>
      </c>
      <c r="L1266">
        <v>250</v>
      </c>
      <c r="M1266">
        <f>COUNTIF(H1266:$H$2581,H1266)</f>
        <v>49</v>
      </c>
    </row>
    <row r="1267" spans="1:13" x14ac:dyDescent="0.2">
      <c r="A1267">
        <v>188</v>
      </c>
      <c r="B1267" t="s">
        <v>557</v>
      </c>
      <c r="C1267" t="s">
        <v>7460</v>
      </c>
      <c r="D1267" t="s">
        <v>13</v>
      </c>
      <c r="E1267" t="s">
        <v>7461</v>
      </c>
      <c r="F1267" t="s">
        <v>560</v>
      </c>
      <c r="G1267" t="s">
        <v>7462</v>
      </c>
      <c r="H1267" t="s">
        <v>3484</v>
      </c>
      <c r="I1267" t="s">
        <v>24</v>
      </c>
      <c r="J1267">
        <v>34</v>
      </c>
      <c r="K1267">
        <v>189</v>
      </c>
      <c r="L1267">
        <v>53</v>
      </c>
      <c r="M1267">
        <f>COUNTIF(H1267:$H$2581,H1267)</f>
        <v>48</v>
      </c>
    </row>
    <row r="1268" spans="1:13" x14ac:dyDescent="0.2">
      <c r="A1268">
        <v>1564</v>
      </c>
      <c r="B1268" t="s">
        <v>519</v>
      </c>
      <c r="C1268" t="s">
        <v>7491</v>
      </c>
      <c r="D1268" t="s">
        <v>33</v>
      </c>
      <c r="E1268" t="s">
        <v>7492</v>
      </c>
      <c r="F1268" t="s">
        <v>522</v>
      </c>
      <c r="G1268" t="s">
        <v>7493</v>
      </c>
      <c r="H1268" t="s">
        <v>3484</v>
      </c>
      <c r="I1268" t="b">
        <v>0</v>
      </c>
      <c r="J1268">
        <v>191</v>
      </c>
      <c r="K1268">
        <v>1565</v>
      </c>
      <c r="L1268">
        <v>251</v>
      </c>
      <c r="M1268">
        <f>COUNTIF(H1268:$H$2581,H1268)</f>
        <v>47</v>
      </c>
    </row>
    <row r="1269" spans="1:13" x14ac:dyDescent="0.2">
      <c r="A1269">
        <v>1640</v>
      </c>
      <c r="B1269" t="s">
        <v>720</v>
      </c>
      <c r="C1269" t="s">
        <v>7528</v>
      </c>
      <c r="D1269" t="s">
        <v>54</v>
      </c>
      <c r="E1269" t="s">
        <v>7529</v>
      </c>
      <c r="F1269" t="s">
        <v>723</v>
      </c>
      <c r="G1269" t="s">
        <v>7530</v>
      </c>
      <c r="H1269" t="s">
        <v>3484</v>
      </c>
      <c r="I1269" t="b">
        <v>1</v>
      </c>
      <c r="J1269">
        <v>197</v>
      </c>
      <c r="K1269">
        <v>1641</v>
      </c>
      <c r="L1269">
        <v>26</v>
      </c>
      <c r="M1269">
        <f>COUNTIF(H1269:$H$2581,H1269)</f>
        <v>46</v>
      </c>
    </row>
    <row r="1270" spans="1:13" x14ac:dyDescent="0.2">
      <c r="A1270">
        <v>1245</v>
      </c>
      <c r="B1270" t="s">
        <v>1461</v>
      </c>
      <c r="C1270" t="s">
        <v>7570</v>
      </c>
      <c r="D1270" t="s">
        <v>54</v>
      </c>
      <c r="E1270" t="s">
        <v>7571</v>
      </c>
      <c r="F1270" t="s">
        <v>1464</v>
      </c>
      <c r="G1270" t="s">
        <v>7572</v>
      </c>
      <c r="H1270" t="s">
        <v>3484</v>
      </c>
      <c r="I1270" t="b">
        <v>0</v>
      </c>
      <c r="J1270">
        <v>152</v>
      </c>
      <c r="K1270">
        <v>1246</v>
      </c>
      <c r="L1270">
        <v>118</v>
      </c>
      <c r="M1270">
        <f>COUNTIF(H1270:$H$2581,H1270)</f>
        <v>45</v>
      </c>
    </row>
    <row r="1271" spans="1:13" x14ac:dyDescent="0.2">
      <c r="A1271">
        <v>656</v>
      </c>
      <c r="B1271" t="s">
        <v>3995</v>
      </c>
      <c r="C1271" t="s">
        <v>7703</v>
      </c>
      <c r="D1271" t="s">
        <v>54</v>
      </c>
      <c r="E1271" t="s">
        <v>7704</v>
      </c>
      <c r="F1271" t="s">
        <v>3998</v>
      </c>
      <c r="G1271" t="s">
        <v>7705</v>
      </c>
      <c r="H1271" t="s">
        <v>3484</v>
      </c>
      <c r="I1271" t="b">
        <v>0</v>
      </c>
      <c r="J1271">
        <v>96</v>
      </c>
      <c r="K1271">
        <v>657</v>
      </c>
      <c r="L1271">
        <v>54</v>
      </c>
      <c r="M1271">
        <f>COUNTIF(H1271:$H$2581,H1271)</f>
        <v>44</v>
      </c>
    </row>
    <row r="1272" spans="1:13" x14ac:dyDescent="0.2">
      <c r="A1272">
        <v>2294</v>
      </c>
      <c r="B1272" t="s">
        <v>1070</v>
      </c>
      <c r="C1272" t="s">
        <v>7846</v>
      </c>
      <c r="D1272" t="s">
        <v>13</v>
      </c>
      <c r="E1272" t="s">
        <v>7847</v>
      </c>
      <c r="F1272" t="s">
        <v>1073</v>
      </c>
      <c r="G1272" t="s">
        <v>7848</v>
      </c>
      <c r="H1272" t="s">
        <v>3484</v>
      </c>
      <c r="I1272" t="b">
        <v>1</v>
      </c>
      <c r="J1272">
        <v>268</v>
      </c>
      <c r="K1272">
        <v>2295</v>
      </c>
      <c r="L1272">
        <v>27</v>
      </c>
      <c r="M1272">
        <f>COUNTIF(H1272:$H$2581,H1272)</f>
        <v>43</v>
      </c>
    </row>
    <row r="1273" spans="1:13" x14ac:dyDescent="0.2">
      <c r="A1273">
        <v>422</v>
      </c>
      <c r="B1273" t="s">
        <v>3258</v>
      </c>
      <c r="C1273" t="s">
        <v>7881</v>
      </c>
      <c r="D1273" t="s">
        <v>13</v>
      </c>
      <c r="E1273" t="s">
        <v>7882</v>
      </c>
      <c r="F1273" t="s">
        <v>3261</v>
      </c>
      <c r="G1273" t="s">
        <v>7883</v>
      </c>
      <c r="H1273" t="s">
        <v>3484</v>
      </c>
      <c r="I1273" t="b">
        <v>0</v>
      </c>
      <c r="J1273">
        <v>61</v>
      </c>
      <c r="K1273">
        <v>423</v>
      </c>
      <c r="L1273">
        <v>28</v>
      </c>
      <c r="M1273">
        <f>COUNTIF(H1273:$H$2581,H1273)</f>
        <v>42</v>
      </c>
    </row>
    <row r="1274" spans="1:13" x14ac:dyDescent="0.2">
      <c r="A1274">
        <v>1844</v>
      </c>
      <c r="B1274" t="s">
        <v>1198</v>
      </c>
      <c r="C1274" t="s">
        <v>7931</v>
      </c>
      <c r="D1274" t="s">
        <v>54</v>
      </c>
      <c r="E1274" t="s">
        <v>7932</v>
      </c>
      <c r="F1274" t="s">
        <v>1201</v>
      </c>
      <c r="G1274" t="s">
        <v>7933</v>
      </c>
      <c r="H1274" t="s">
        <v>3484</v>
      </c>
      <c r="I1274" t="s">
        <v>24</v>
      </c>
      <c r="J1274">
        <v>214</v>
      </c>
      <c r="K1274">
        <v>1845</v>
      </c>
      <c r="L1274">
        <v>183</v>
      </c>
      <c r="M1274">
        <f>COUNTIF(H1274:$H$2581,H1274)</f>
        <v>41</v>
      </c>
    </row>
    <row r="1275" spans="1:13" x14ac:dyDescent="0.2">
      <c r="A1275">
        <v>1417</v>
      </c>
      <c r="B1275" t="s">
        <v>1397</v>
      </c>
      <c r="C1275" t="s">
        <v>7983</v>
      </c>
      <c r="D1275" t="s">
        <v>13</v>
      </c>
      <c r="E1275" t="s">
        <v>7984</v>
      </c>
      <c r="F1275" t="s">
        <v>1400</v>
      </c>
      <c r="G1275" t="s">
        <v>7985</v>
      </c>
      <c r="H1275" t="s">
        <v>3484</v>
      </c>
      <c r="I1275" t="b">
        <v>1</v>
      </c>
      <c r="J1275">
        <v>169</v>
      </c>
      <c r="K1275">
        <v>1418</v>
      </c>
      <c r="L1275">
        <v>284</v>
      </c>
      <c r="M1275">
        <f>COUNTIF(H1275:$H$2581,H1275)</f>
        <v>40</v>
      </c>
    </row>
    <row r="1276" spans="1:13" x14ac:dyDescent="0.2">
      <c r="A1276">
        <v>2178</v>
      </c>
      <c r="B1276" t="s">
        <v>1024</v>
      </c>
      <c r="C1276" t="s">
        <v>8054</v>
      </c>
      <c r="D1276" t="s">
        <v>33</v>
      </c>
      <c r="E1276" t="s">
        <v>8055</v>
      </c>
      <c r="F1276" t="s">
        <v>1027</v>
      </c>
      <c r="G1276" t="s">
        <v>8056</v>
      </c>
      <c r="H1276" t="s">
        <v>3484</v>
      </c>
      <c r="I1276" t="b">
        <v>0</v>
      </c>
      <c r="J1276">
        <v>255</v>
      </c>
      <c r="K1276">
        <v>2179</v>
      </c>
      <c r="L1276">
        <v>128</v>
      </c>
      <c r="M1276">
        <f>COUNTIF(H1276:$H$2581,H1276)</f>
        <v>39</v>
      </c>
    </row>
    <row r="1277" spans="1:13" x14ac:dyDescent="0.2">
      <c r="A1277">
        <v>910</v>
      </c>
      <c r="B1277" t="s">
        <v>198</v>
      </c>
      <c r="C1277" t="s">
        <v>8081</v>
      </c>
      <c r="D1277" t="s">
        <v>54</v>
      </c>
      <c r="E1277" t="s">
        <v>8082</v>
      </c>
      <c r="F1277" t="s">
        <v>201</v>
      </c>
      <c r="G1277" t="s">
        <v>8083</v>
      </c>
      <c r="H1277" t="s">
        <v>3484</v>
      </c>
      <c r="I1277" t="b">
        <v>0</v>
      </c>
      <c r="J1277">
        <v>120</v>
      </c>
      <c r="K1277">
        <v>911</v>
      </c>
      <c r="L1277">
        <v>129</v>
      </c>
      <c r="M1277">
        <f>COUNTIF(H1277:$H$2581,H1277)</f>
        <v>38</v>
      </c>
    </row>
    <row r="1278" spans="1:13" x14ac:dyDescent="0.2">
      <c r="A1278">
        <v>1344</v>
      </c>
      <c r="B1278" t="s">
        <v>2235</v>
      </c>
      <c r="C1278" t="s">
        <v>8118</v>
      </c>
      <c r="D1278" t="s">
        <v>54</v>
      </c>
      <c r="E1278" t="s">
        <v>8119</v>
      </c>
      <c r="F1278" t="s">
        <v>2238</v>
      </c>
      <c r="G1278" t="s">
        <v>8120</v>
      </c>
      <c r="H1278" t="s">
        <v>3484</v>
      </c>
      <c r="I1278" t="b">
        <v>0</v>
      </c>
      <c r="J1278">
        <v>163</v>
      </c>
      <c r="K1278">
        <v>1345</v>
      </c>
      <c r="L1278">
        <v>29</v>
      </c>
      <c r="M1278">
        <f>COUNTIF(H1278:$H$2581,H1278)</f>
        <v>37</v>
      </c>
    </row>
    <row r="1279" spans="1:13" x14ac:dyDescent="0.2">
      <c r="A1279">
        <v>2312</v>
      </c>
      <c r="B1279" t="s">
        <v>703</v>
      </c>
      <c r="C1279" t="s">
        <v>8228</v>
      </c>
      <c r="D1279" t="s">
        <v>33</v>
      </c>
      <c r="E1279" t="s">
        <v>8229</v>
      </c>
      <c r="F1279" t="s">
        <v>706</v>
      </c>
      <c r="G1279" t="s">
        <v>8230</v>
      </c>
      <c r="H1279" t="s">
        <v>3484</v>
      </c>
      <c r="I1279" t="s">
        <v>24</v>
      </c>
      <c r="J1279">
        <v>271</v>
      </c>
      <c r="K1279">
        <v>2313</v>
      </c>
      <c r="L1279">
        <v>30</v>
      </c>
      <c r="M1279">
        <f>COUNTIF(H1279:$H$2581,H1279)</f>
        <v>36</v>
      </c>
    </row>
    <row r="1280" spans="1:13" x14ac:dyDescent="0.2">
      <c r="A1280">
        <v>773</v>
      </c>
      <c r="B1280" t="s">
        <v>368</v>
      </c>
      <c r="C1280" t="s">
        <v>8332</v>
      </c>
      <c r="D1280" t="s">
        <v>54</v>
      </c>
      <c r="E1280" t="s">
        <v>8333</v>
      </c>
      <c r="F1280" t="s">
        <v>371</v>
      </c>
      <c r="G1280" t="s">
        <v>8334</v>
      </c>
      <c r="H1280" t="s">
        <v>3484</v>
      </c>
      <c r="I1280" t="s">
        <v>24</v>
      </c>
      <c r="J1280">
        <v>109</v>
      </c>
      <c r="K1280">
        <v>774</v>
      </c>
      <c r="L1280">
        <v>42</v>
      </c>
      <c r="M1280">
        <f>COUNTIF(H1280:$H$2581,H1280)</f>
        <v>35</v>
      </c>
    </row>
    <row r="1281" spans="1:13" x14ac:dyDescent="0.2">
      <c r="A1281">
        <v>478</v>
      </c>
      <c r="B1281" t="s">
        <v>928</v>
      </c>
      <c r="C1281" t="s">
        <v>8380</v>
      </c>
      <c r="D1281" t="s">
        <v>33</v>
      </c>
      <c r="E1281" t="s">
        <v>8381</v>
      </c>
      <c r="F1281" t="s">
        <v>931</v>
      </c>
      <c r="G1281" t="s">
        <v>8382</v>
      </c>
      <c r="H1281" t="s">
        <v>3484</v>
      </c>
      <c r="I1281" t="b">
        <v>0</v>
      </c>
      <c r="J1281">
        <v>67</v>
      </c>
      <c r="K1281">
        <v>479</v>
      </c>
      <c r="L1281">
        <v>214</v>
      </c>
      <c r="M1281">
        <f>COUNTIF(H1281:$H$2581,H1281)</f>
        <v>34</v>
      </c>
    </row>
    <row r="1282" spans="1:13" x14ac:dyDescent="0.2">
      <c r="A1282">
        <v>630</v>
      </c>
      <c r="B1282" t="s">
        <v>1491</v>
      </c>
      <c r="C1282" t="s">
        <v>8417</v>
      </c>
      <c r="D1282" t="s">
        <v>54</v>
      </c>
      <c r="E1282" t="s">
        <v>8418</v>
      </c>
      <c r="F1282" t="s">
        <v>1494</v>
      </c>
      <c r="G1282" t="s">
        <v>8419</v>
      </c>
      <c r="H1282" t="s">
        <v>3484</v>
      </c>
      <c r="I1282" t="b">
        <v>0</v>
      </c>
      <c r="J1282">
        <v>91</v>
      </c>
      <c r="K1282">
        <v>631</v>
      </c>
      <c r="L1282">
        <v>130</v>
      </c>
      <c r="M1282">
        <f>COUNTIF(H1282:$H$2581,H1282)</f>
        <v>33</v>
      </c>
    </row>
    <row r="1283" spans="1:13" x14ac:dyDescent="0.2">
      <c r="A1283">
        <v>1559</v>
      </c>
      <c r="B1283" t="s">
        <v>3069</v>
      </c>
      <c r="C1283" t="s">
        <v>8473</v>
      </c>
      <c r="D1283" t="s">
        <v>13</v>
      </c>
      <c r="E1283" t="s">
        <v>8474</v>
      </c>
      <c r="F1283" t="s">
        <v>3072</v>
      </c>
      <c r="G1283" t="s">
        <v>8475</v>
      </c>
      <c r="H1283" t="s">
        <v>3484</v>
      </c>
      <c r="I1283" t="b">
        <v>1</v>
      </c>
      <c r="J1283">
        <v>190</v>
      </c>
      <c r="K1283">
        <v>1560</v>
      </c>
      <c r="L1283">
        <v>147</v>
      </c>
      <c r="M1283">
        <f>COUNTIF(H1283:$H$2581,H1283)</f>
        <v>32</v>
      </c>
    </row>
    <row r="1284" spans="1:13" x14ac:dyDescent="0.2">
      <c r="A1284">
        <v>196</v>
      </c>
      <c r="B1284" t="s">
        <v>83</v>
      </c>
      <c r="C1284" t="s">
        <v>8505</v>
      </c>
      <c r="D1284" t="s">
        <v>54</v>
      </c>
      <c r="E1284" t="s">
        <v>8506</v>
      </c>
      <c r="F1284" t="s">
        <v>86</v>
      </c>
      <c r="G1284" t="s">
        <v>8507</v>
      </c>
      <c r="H1284" t="s">
        <v>3484</v>
      </c>
      <c r="I1284" t="b">
        <v>0</v>
      </c>
      <c r="J1284">
        <v>35</v>
      </c>
      <c r="K1284">
        <v>197</v>
      </c>
      <c r="L1284">
        <v>58</v>
      </c>
      <c r="M1284">
        <f>COUNTIF(H1284:$H$2581,H1284)</f>
        <v>31</v>
      </c>
    </row>
    <row r="1285" spans="1:13" x14ac:dyDescent="0.2">
      <c r="A1285">
        <v>631</v>
      </c>
      <c r="B1285" t="s">
        <v>1491</v>
      </c>
      <c r="C1285" t="s">
        <v>8531</v>
      </c>
      <c r="D1285" t="s">
        <v>54</v>
      </c>
      <c r="E1285" t="s">
        <v>8532</v>
      </c>
      <c r="F1285" t="s">
        <v>1494</v>
      </c>
      <c r="G1285" t="s">
        <v>8533</v>
      </c>
      <c r="H1285" t="s">
        <v>3484</v>
      </c>
      <c r="I1285" t="b">
        <v>0</v>
      </c>
      <c r="J1285">
        <v>91</v>
      </c>
      <c r="K1285">
        <v>632</v>
      </c>
      <c r="L1285">
        <v>110</v>
      </c>
      <c r="M1285">
        <f>COUNTIF(H1285:$H$2581,H1285)</f>
        <v>30</v>
      </c>
    </row>
    <row r="1286" spans="1:13" x14ac:dyDescent="0.2">
      <c r="A1286">
        <v>2376</v>
      </c>
      <c r="B1286" t="s">
        <v>1816</v>
      </c>
      <c r="C1286" t="s">
        <v>8600</v>
      </c>
      <c r="D1286" t="s">
        <v>54</v>
      </c>
      <c r="E1286" t="s">
        <v>8601</v>
      </c>
      <c r="F1286" t="s">
        <v>1819</v>
      </c>
      <c r="G1286" t="s">
        <v>8602</v>
      </c>
      <c r="H1286" t="s">
        <v>3484</v>
      </c>
      <c r="I1286" t="s">
        <v>24</v>
      </c>
      <c r="J1286">
        <v>276</v>
      </c>
      <c r="K1286">
        <v>2377</v>
      </c>
      <c r="L1286">
        <v>56</v>
      </c>
      <c r="M1286">
        <f>COUNTIF(H1286:$H$2581,H1286)</f>
        <v>29</v>
      </c>
    </row>
    <row r="1287" spans="1:13" x14ac:dyDescent="0.2">
      <c r="A1287">
        <v>2542</v>
      </c>
      <c r="B1287" t="s">
        <v>754</v>
      </c>
      <c r="C1287" t="s">
        <v>8793</v>
      </c>
      <c r="D1287" t="s">
        <v>33</v>
      </c>
      <c r="E1287" t="s">
        <v>8794</v>
      </c>
      <c r="F1287" t="s">
        <v>757</v>
      </c>
      <c r="G1287" t="s">
        <v>8795</v>
      </c>
      <c r="H1287" t="s">
        <v>3484</v>
      </c>
      <c r="I1287" t="b">
        <v>0</v>
      </c>
      <c r="J1287">
        <v>294</v>
      </c>
      <c r="K1287">
        <v>2543</v>
      </c>
      <c r="L1287">
        <v>31</v>
      </c>
      <c r="M1287">
        <f>COUNTIF(H1287:$H$2581,H1287)</f>
        <v>28</v>
      </c>
    </row>
    <row r="1288" spans="1:13" x14ac:dyDescent="0.2">
      <c r="A1288">
        <v>1392</v>
      </c>
      <c r="B1288" t="s">
        <v>681</v>
      </c>
      <c r="C1288" t="s">
        <v>5055</v>
      </c>
      <c r="D1288" t="s">
        <v>13</v>
      </c>
      <c r="E1288" t="s">
        <v>8824</v>
      </c>
      <c r="F1288" t="s">
        <v>684</v>
      </c>
      <c r="G1288" t="s">
        <v>8825</v>
      </c>
      <c r="H1288" t="s">
        <v>3484</v>
      </c>
      <c r="I1288" t="b">
        <v>0</v>
      </c>
      <c r="J1288">
        <v>167</v>
      </c>
      <c r="K1288">
        <v>1393</v>
      </c>
      <c r="L1288">
        <v>254</v>
      </c>
      <c r="M1288">
        <f>COUNTIF(H1288:$H$2581,H1288)</f>
        <v>27</v>
      </c>
    </row>
    <row r="1289" spans="1:13" x14ac:dyDescent="0.2">
      <c r="A1289">
        <v>610</v>
      </c>
      <c r="B1289" t="s">
        <v>1097</v>
      </c>
      <c r="C1289" t="s">
        <v>8943</v>
      </c>
      <c r="D1289" t="s">
        <v>13</v>
      </c>
      <c r="E1289" t="s">
        <v>8944</v>
      </c>
      <c r="F1289" t="s">
        <v>1100</v>
      </c>
      <c r="G1289" t="s">
        <v>8945</v>
      </c>
      <c r="H1289" t="s">
        <v>3484</v>
      </c>
      <c r="I1289" t="b">
        <v>0</v>
      </c>
      <c r="J1289">
        <v>90</v>
      </c>
      <c r="K1289">
        <v>611</v>
      </c>
      <c r="L1289">
        <v>268</v>
      </c>
      <c r="M1289">
        <f>COUNTIF(H1289:$H$2581,H1289)</f>
        <v>26</v>
      </c>
    </row>
    <row r="1290" spans="1:13" x14ac:dyDescent="0.2">
      <c r="A1290">
        <v>106</v>
      </c>
      <c r="B1290" t="s">
        <v>42</v>
      </c>
      <c r="C1290" t="s">
        <v>43</v>
      </c>
      <c r="D1290" t="s">
        <v>13</v>
      </c>
      <c r="E1290" t="s">
        <v>44</v>
      </c>
      <c r="F1290" t="s">
        <v>45</v>
      </c>
      <c r="G1290" t="s">
        <v>46</v>
      </c>
      <c r="H1290" t="s">
        <v>3484</v>
      </c>
      <c r="I1290" t="b">
        <v>1</v>
      </c>
      <c r="J1290">
        <v>19</v>
      </c>
      <c r="K1290">
        <v>107</v>
      </c>
      <c r="L1290">
        <v>45</v>
      </c>
      <c r="M1290">
        <f>COUNTIF(H1290:$H$2581,H1290)</f>
        <v>25</v>
      </c>
    </row>
    <row r="1291" spans="1:13" x14ac:dyDescent="0.2">
      <c r="A1291">
        <v>886</v>
      </c>
      <c r="B1291" t="s">
        <v>198</v>
      </c>
      <c r="C1291" t="s">
        <v>199</v>
      </c>
      <c r="D1291" t="s">
        <v>33</v>
      </c>
      <c r="E1291" t="s">
        <v>200</v>
      </c>
      <c r="F1291" t="s">
        <v>201</v>
      </c>
      <c r="G1291" t="s">
        <v>202</v>
      </c>
      <c r="H1291" t="s">
        <v>3484</v>
      </c>
      <c r="I1291" t="b">
        <v>0</v>
      </c>
      <c r="J1291">
        <v>120</v>
      </c>
      <c r="K1291">
        <v>887</v>
      </c>
      <c r="L1291">
        <v>217</v>
      </c>
      <c r="M1291">
        <f>COUNTIF(H1291:$H$2581,H1291)</f>
        <v>24</v>
      </c>
    </row>
    <row r="1292" spans="1:13" x14ac:dyDescent="0.2">
      <c r="A1292">
        <v>1659</v>
      </c>
      <c r="B1292" t="s">
        <v>287</v>
      </c>
      <c r="C1292" t="s">
        <v>288</v>
      </c>
      <c r="D1292" t="s">
        <v>33</v>
      </c>
      <c r="E1292" t="s">
        <v>289</v>
      </c>
      <c r="F1292" t="s">
        <v>290</v>
      </c>
      <c r="G1292" t="s">
        <v>291</v>
      </c>
      <c r="H1292" t="s">
        <v>3484</v>
      </c>
      <c r="I1292" t="b">
        <v>0</v>
      </c>
      <c r="J1292">
        <v>200</v>
      </c>
      <c r="K1292">
        <v>1660</v>
      </c>
      <c r="L1292">
        <v>343</v>
      </c>
      <c r="M1292">
        <f>COUNTIF(H1292:$H$2581,H1292)</f>
        <v>23</v>
      </c>
    </row>
    <row r="1293" spans="1:13" x14ac:dyDescent="0.2">
      <c r="A1293">
        <v>84</v>
      </c>
      <c r="B1293" t="s">
        <v>311</v>
      </c>
      <c r="C1293" t="s">
        <v>312</v>
      </c>
      <c r="D1293" t="s">
        <v>54</v>
      </c>
      <c r="E1293" t="s">
        <v>313</v>
      </c>
      <c r="F1293" s="1" t="s">
        <v>314</v>
      </c>
      <c r="G1293" t="s">
        <v>315</v>
      </c>
      <c r="H1293" t="s">
        <v>3484</v>
      </c>
      <c r="I1293" t="s">
        <v>24</v>
      </c>
      <c r="J1293">
        <v>14</v>
      </c>
      <c r="K1293">
        <v>85</v>
      </c>
      <c r="L1293">
        <v>1</v>
      </c>
      <c r="M1293">
        <f>COUNTIF(H1293:$H$2581,H1293)</f>
        <v>22</v>
      </c>
    </row>
    <row r="1294" spans="1:13" x14ac:dyDescent="0.2">
      <c r="A1294">
        <v>2241</v>
      </c>
      <c r="B1294" t="s">
        <v>411</v>
      </c>
      <c r="C1294" t="s">
        <v>412</v>
      </c>
      <c r="D1294" t="s">
        <v>54</v>
      </c>
      <c r="E1294" t="s">
        <v>413</v>
      </c>
      <c r="F1294" t="s">
        <v>414</v>
      </c>
      <c r="G1294" t="s">
        <v>415</v>
      </c>
      <c r="H1294" t="s">
        <v>3484</v>
      </c>
      <c r="I1294" t="s">
        <v>24</v>
      </c>
      <c r="J1294">
        <v>262</v>
      </c>
      <c r="K1294">
        <v>2242</v>
      </c>
      <c r="L1294">
        <v>189</v>
      </c>
      <c r="M1294">
        <f>COUNTIF(H1294:$H$2581,H1294)</f>
        <v>21</v>
      </c>
    </row>
    <row r="1295" spans="1:13" x14ac:dyDescent="0.2">
      <c r="A1295">
        <v>1818</v>
      </c>
      <c r="B1295" t="s">
        <v>434</v>
      </c>
      <c r="C1295" t="s">
        <v>435</v>
      </c>
      <c r="D1295" t="s">
        <v>54</v>
      </c>
      <c r="E1295" t="s">
        <v>436</v>
      </c>
      <c r="F1295" t="s">
        <v>437</v>
      </c>
      <c r="G1295" t="s">
        <v>438</v>
      </c>
      <c r="H1295" t="s">
        <v>3484</v>
      </c>
      <c r="I1295" t="b">
        <v>0</v>
      </c>
      <c r="J1295">
        <v>212</v>
      </c>
      <c r="K1295">
        <v>1819</v>
      </c>
      <c r="L1295">
        <v>90</v>
      </c>
      <c r="M1295">
        <f>COUNTIF(H1295:$H$2581,H1295)</f>
        <v>20</v>
      </c>
    </row>
    <row r="1296" spans="1:13" x14ac:dyDescent="0.2">
      <c r="A1296">
        <v>2160</v>
      </c>
      <c r="B1296" t="s">
        <v>471</v>
      </c>
      <c r="C1296" t="s">
        <v>472</v>
      </c>
      <c r="D1296" t="s">
        <v>13</v>
      </c>
      <c r="E1296" t="s">
        <v>473</v>
      </c>
      <c r="F1296" t="s">
        <v>474</v>
      </c>
      <c r="G1296" t="s">
        <v>475</v>
      </c>
      <c r="H1296" t="s">
        <v>3484</v>
      </c>
      <c r="I1296" t="s">
        <v>24</v>
      </c>
      <c r="J1296">
        <v>253</v>
      </c>
      <c r="K1296">
        <v>2161</v>
      </c>
      <c r="L1296">
        <v>155</v>
      </c>
      <c r="M1296">
        <f>COUNTIF(H1296:$H$2581,H1296)</f>
        <v>19</v>
      </c>
    </row>
    <row r="1297" spans="1:13" x14ac:dyDescent="0.2">
      <c r="A1297">
        <v>108</v>
      </c>
      <c r="B1297" t="s">
        <v>42</v>
      </c>
      <c r="C1297" t="s">
        <v>540</v>
      </c>
      <c r="D1297" t="s">
        <v>13</v>
      </c>
      <c r="E1297" t="s">
        <v>541</v>
      </c>
      <c r="F1297" t="s">
        <v>45</v>
      </c>
      <c r="G1297" t="s">
        <v>542</v>
      </c>
      <c r="H1297" t="s">
        <v>3484</v>
      </c>
      <c r="I1297" t="b">
        <v>1</v>
      </c>
      <c r="J1297">
        <v>19</v>
      </c>
      <c r="K1297">
        <v>109</v>
      </c>
      <c r="L1297">
        <v>46</v>
      </c>
      <c r="M1297">
        <f>COUNTIF(H1297:$H$2581,H1297)</f>
        <v>18</v>
      </c>
    </row>
    <row r="1298" spans="1:13" x14ac:dyDescent="0.2">
      <c r="A1298">
        <v>1357</v>
      </c>
      <c r="B1298" t="s">
        <v>603</v>
      </c>
      <c r="C1298" t="s">
        <v>604</v>
      </c>
      <c r="D1298" t="s">
        <v>54</v>
      </c>
      <c r="E1298" t="s">
        <v>605</v>
      </c>
      <c r="F1298" t="s">
        <v>606</v>
      </c>
      <c r="G1298" t="s">
        <v>607</v>
      </c>
      <c r="H1298" t="s">
        <v>3484</v>
      </c>
      <c r="I1298" t="s">
        <v>24</v>
      </c>
      <c r="J1298">
        <v>166</v>
      </c>
      <c r="K1298">
        <v>1358</v>
      </c>
      <c r="L1298">
        <v>321</v>
      </c>
      <c r="M1298">
        <f>COUNTIF(H1298:$H$2581,H1298)</f>
        <v>17</v>
      </c>
    </row>
    <row r="1299" spans="1:13" x14ac:dyDescent="0.2">
      <c r="A1299">
        <v>428</v>
      </c>
      <c r="B1299" t="s">
        <v>399</v>
      </c>
      <c r="C1299" t="s">
        <v>686</v>
      </c>
      <c r="D1299" t="s">
        <v>13</v>
      </c>
      <c r="E1299" t="s">
        <v>687</v>
      </c>
      <c r="F1299" t="s">
        <v>402</v>
      </c>
      <c r="G1299" t="s">
        <v>688</v>
      </c>
      <c r="H1299" t="s">
        <v>3484</v>
      </c>
      <c r="I1299" t="b">
        <v>0</v>
      </c>
      <c r="J1299">
        <v>63</v>
      </c>
      <c r="K1299">
        <v>429</v>
      </c>
      <c r="L1299">
        <v>190</v>
      </c>
      <c r="M1299">
        <f>COUNTIF(H1299:$H$2581,H1299)</f>
        <v>16</v>
      </c>
    </row>
    <row r="1300" spans="1:13" x14ac:dyDescent="0.2">
      <c r="A1300">
        <v>1251</v>
      </c>
      <c r="B1300" t="s">
        <v>709</v>
      </c>
      <c r="C1300" t="s">
        <v>710</v>
      </c>
      <c r="D1300" t="s">
        <v>33</v>
      </c>
      <c r="E1300" t="s">
        <v>711</v>
      </c>
      <c r="F1300" t="s">
        <v>712</v>
      </c>
      <c r="G1300" t="s">
        <v>713</v>
      </c>
      <c r="H1300" t="s">
        <v>3484</v>
      </c>
      <c r="I1300" t="b">
        <v>0</v>
      </c>
      <c r="J1300">
        <v>154</v>
      </c>
      <c r="K1300">
        <v>1252</v>
      </c>
      <c r="L1300">
        <v>430</v>
      </c>
      <c r="M1300">
        <f>COUNTIF(H1300:$H$2581,H1300)</f>
        <v>15</v>
      </c>
    </row>
    <row r="1301" spans="1:13" x14ac:dyDescent="0.2">
      <c r="A1301">
        <v>1540</v>
      </c>
      <c r="B1301" t="s">
        <v>282</v>
      </c>
      <c r="C1301" t="s">
        <v>741</v>
      </c>
      <c r="D1301" t="s">
        <v>13</v>
      </c>
      <c r="E1301" t="s">
        <v>742</v>
      </c>
      <c r="F1301" t="s">
        <v>285</v>
      </c>
      <c r="G1301" t="s">
        <v>743</v>
      </c>
      <c r="H1301" t="s">
        <v>3484</v>
      </c>
      <c r="I1301" t="b">
        <v>0</v>
      </c>
      <c r="J1301">
        <v>188</v>
      </c>
      <c r="K1301">
        <v>1541</v>
      </c>
      <c r="L1301">
        <v>293</v>
      </c>
      <c r="M1301">
        <f>COUNTIF(H1301:$H$2581,H1301)</f>
        <v>14</v>
      </c>
    </row>
    <row r="1302" spans="1:13" x14ac:dyDescent="0.2">
      <c r="A1302">
        <v>1247</v>
      </c>
      <c r="B1302" t="s">
        <v>858</v>
      </c>
      <c r="C1302" t="s">
        <v>859</v>
      </c>
      <c r="D1302" t="s">
        <v>13</v>
      </c>
      <c r="E1302" t="s">
        <v>860</v>
      </c>
      <c r="F1302" t="s">
        <v>861</v>
      </c>
      <c r="G1302" t="s">
        <v>862</v>
      </c>
      <c r="H1302" t="s">
        <v>3484</v>
      </c>
      <c r="I1302" t="b">
        <v>0</v>
      </c>
      <c r="J1302">
        <v>153</v>
      </c>
      <c r="K1302">
        <v>1248</v>
      </c>
      <c r="L1302">
        <v>428</v>
      </c>
      <c r="M1302">
        <f>COUNTIF(H1302:$H$2581,H1302)</f>
        <v>13</v>
      </c>
    </row>
    <row r="1303" spans="1:13" x14ac:dyDescent="0.2">
      <c r="A1303">
        <v>1700</v>
      </c>
      <c r="B1303" t="s">
        <v>725</v>
      </c>
      <c r="C1303" t="s">
        <v>894</v>
      </c>
      <c r="D1303" t="s">
        <v>54</v>
      </c>
      <c r="E1303" t="s">
        <v>895</v>
      </c>
      <c r="F1303" t="s">
        <v>728</v>
      </c>
      <c r="G1303" t="s">
        <v>896</v>
      </c>
      <c r="H1303" t="s">
        <v>3484</v>
      </c>
      <c r="I1303" t="b">
        <v>1</v>
      </c>
      <c r="J1303">
        <v>205</v>
      </c>
      <c r="K1303">
        <v>1701</v>
      </c>
      <c r="L1303">
        <v>156</v>
      </c>
      <c r="M1303">
        <f>COUNTIF(H1303:$H$2581,H1303)</f>
        <v>12</v>
      </c>
    </row>
    <row r="1304" spans="1:13" x14ac:dyDescent="0.2">
      <c r="A1304">
        <v>400</v>
      </c>
      <c r="B1304" t="s">
        <v>990</v>
      </c>
      <c r="C1304" t="s">
        <v>991</v>
      </c>
      <c r="D1304" t="s">
        <v>13</v>
      </c>
      <c r="E1304" t="s">
        <v>992</v>
      </c>
      <c r="F1304" t="s">
        <v>993</v>
      </c>
      <c r="G1304" t="s">
        <v>994</v>
      </c>
      <c r="H1304" t="s">
        <v>3484</v>
      </c>
      <c r="I1304" t="b">
        <v>0</v>
      </c>
      <c r="J1304">
        <v>56</v>
      </c>
      <c r="K1304">
        <v>401</v>
      </c>
      <c r="L1304">
        <v>181</v>
      </c>
      <c r="M1304">
        <f>COUNTIF(H1304:$H$2581,H1304)</f>
        <v>11</v>
      </c>
    </row>
    <row r="1305" spans="1:13" x14ac:dyDescent="0.2">
      <c r="A1305">
        <v>1665</v>
      </c>
      <c r="B1305" t="s">
        <v>1059</v>
      </c>
      <c r="C1305" t="s">
        <v>1060</v>
      </c>
      <c r="D1305" t="s">
        <v>13</v>
      </c>
      <c r="E1305" t="s">
        <v>1061</v>
      </c>
      <c r="F1305" t="s">
        <v>1062</v>
      </c>
      <c r="G1305" t="s">
        <v>1063</v>
      </c>
      <c r="H1305" t="s">
        <v>3484</v>
      </c>
      <c r="I1305" t="b">
        <v>1</v>
      </c>
      <c r="J1305">
        <v>201</v>
      </c>
      <c r="K1305">
        <v>1666</v>
      </c>
      <c r="L1305">
        <v>203</v>
      </c>
      <c r="M1305">
        <f>COUNTIF(H1305:$H$2581,H1305)</f>
        <v>10</v>
      </c>
    </row>
    <row r="1306" spans="1:13" x14ac:dyDescent="0.2">
      <c r="A1306">
        <v>873</v>
      </c>
      <c r="B1306" t="s">
        <v>1192</v>
      </c>
      <c r="C1306" t="s">
        <v>1193</v>
      </c>
      <c r="D1306" t="s">
        <v>13</v>
      </c>
      <c r="E1306" t="s">
        <v>1194</v>
      </c>
      <c r="F1306" t="s">
        <v>1195</v>
      </c>
      <c r="G1306" t="s">
        <v>1196</v>
      </c>
      <c r="H1306" t="s">
        <v>3484</v>
      </c>
      <c r="I1306" t="s">
        <v>24</v>
      </c>
      <c r="J1306">
        <v>119</v>
      </c>
      <c r="K1306">
        <v>874</v>
      </c>
      <c r="L1306">
        <v>335</v>
      </c>
      <c r="M1306">
        <f>COUNTIF(H1306:$H$2581,H1306)</f>
        <v>9</v>
      </c>
    </row>
    <row r="1307" spans="1:13" x14ac:dyDescent="0.2">
      <c r="A1307">
        <v>2322</v>
      </c>
      <c r="B1307" t="s">
        <v>900</v>
      </c>
      <c r="C1307" t="s">
        <v>1324</v>
      </c>
      <c r="D1307" t="s">
        <v>33</v>
      </c>
      <c r="E1307" t="s">
        <v>1325</v>
      </c>
      <c r="F1307" t="s">
        <v>903</v>
      </c>
      <c r="G1307" t="s">
        <v>1326</v>
      </c>
      <c r="H1307" t="s">
        <v>3484</v>
      </c>
      <c r="I1307" t="b">
        <v>0</v>
      </c>
      <c r="J1307">
        <v>274</v>
      </c>
      <c r="K1307">
        <v>2323</v>
      </c>
      <c r="L1307">
        <v>157</v>
      </c>
      <c r="M1307">
        <f>COUNTIF(H1307:$H$2581,H1307)</f>
        <v>8</v>
      </c>
    </row>
    <row r="1308" spans="1:13" x14ac:dyDescent="0.2">
      <c r="A1308">
        <v>121</v>
      </c>
      <c r="B1308" t="s">
        <v>52</v>
      </c>
      <c r="C1308" t="s">
        <v>1344</v>
      </c>
      <c r="D1308" t="s">
        <v>54</v>
      </c>
      <c r="E1308" t="s">
        <v>1345</v>
      </c>
      <c r="F1308" t="s">
        <v>56</v>
      </c>
      <c r="G1308" t="s">
        <v>1346</v>
      </c>
      <c r="H1308" t="s">
        <v>3484</v>
      </c>
      <c r="I1308" t="b">
        <v>0</v>
      </c>
      <c r="J1308">
        <v>22</v>
      </c>
      <c r="K1308">
        <v>122</v>
      </c>
      <c r="L1308">
        <v>68</v>
      </c>
      <c r="M1308">
        <f>COUNTIF(H1308:$H$2581,H1308)</f>
        <v>7</v>
      </c>
    </row>
    <row r="1309" spans="1:13" x14ac:dyDescent="0.2">
      <c r="A1309">
        <v>2219</v>
      </c>
      <c r="B1309" t="s">
        <v>165</v>
      </c>
      <c r="C1309" t="s">
        <v>1385</v>
      </c>
      <c r="D1309" t="s">
        <v>13</v>
      </c>
      <c r="E1309" t="s">
        <v>1386</v>
      </c>
      <c r="F1309" t="s">
        <v>168</v>
      </c>
      <c r="G1309" t="s">
        <v>1387</v>
      </c>
      <c r="H1309" t="s">
        <v>3484</v>
      </c>
      <c r="I1309" t="s">
        <v>24</v>
      </c>
      <c r="J1309">
        <v>261</v>
      </c>
      <c r="K1309">
        <v>2220</v>
      </c>
      <c r="L1309">
        <v>37</v>
      </c>
      <c r="M1309">
        <f>COUNTIF(H1309:$H$2581,H1309)</f>
        <v>6</v>
      </c>
    </row>
    <row r="1310" spans="1:13" x14ac:dyDescent="0.2">
      <c r="A1310">
        <v>1404</v>
      </c>
      <c r="B1310" t="s">
        <v>1397</v>
      </c>
      <c r="C1310" t="s">
        <v>1398</v>
      </c>
      <c r="D1310" t="s">
        <v>13</v>
      </c>
      <c r="E1310" t="s">
        <v>1399</v>
      </c>
      <c r="F1310" t="s">
        <v>1400</v>
      </c>
      <c r="G1310" t="s">
        <v>1401</v>
      </c>
      <c r="H1310" t="s">
        <v>3484</v>
      </c>
      <c r="I1310" t="b">
        <v>1</v>
      </c>
      <c r="J1310">
        <v>169</v>
      </c>
      <c r="K1310">
        <v>1405</v>
      </c>
      <c r="L1310">
        <v>470</v>
      </c>
      <c r="M1310">
        <f>COUNTIF(H1310:$H$2581,H1310)</f>
        <v>5</v>
      </c>
    </row>
    <row r="1311" spans="1:13" x14ac:dyDescent="0.2">
      <c r="A1311">
        <v>1037</v>
      </c>
      <c r="B1311" t="s">
        <v>1456</v>
      </c>
      <c r="C1311" t="s">
        <v>1457</v>
      </c>
      <c r="D1311" t="s">
        <v>13</v>
      </c>
      <c r="E1311" t="s">
        <v>1458</v>
      </c>
      <c r="F1311" t="s">
        <v>1459</v>
      </c>
      <c r="G1311" t="s">
        <v>1460</v>
      </c>
      <c r="H1311" t="s">
        <v>3484</v>
      </c>
      <c r="I1311" t="s">
        <v>24</v>
      </c>
      <c r="J1311">
        <v>130</v>
      </c>
      <c r="K1311">
        <v>1038</v>
      </c>
      <c r="L1311">
        <v>299</v>
      </c>
      <c r="M1311">
        <f>COUNTIF(H1311:$H$2581,H1311)</f>
        <v>4</v>
      </c>
    </row>
    <row r="1312" spans="1:13" x14ac:dyDescent="0.2">
      <c r="A1312">
        <v>1596</v>
      </c>
      <c r="B1312" t="s">
        <v>1548</v>
      </c>
      <c r="C1312" t="s">
        <v>1549</v>
      </c>
      <c r="D1312" t="s">
        <v>13</v>
      </c>
      <c r="E1312" t="s">
        <v>1550</v>
      </c>
      <c r="F1312" t="s">
        <v>1551</v>
      </c>
      <c r="G1312" t="s">
        <v>1552</v>
      </c>
      <c r="H1312" t="s">
        <v>3484</v>
      </c>
      <c r="I1312" t="b">
        <v>0</v>
      </c>
      <c r="J1312">
        <v>196</v>
      </c>
      <c r="K1312">
        <v>1597</v>
      </c>
      <c r="L1312">
        <v>377</v>
      </c>
      <c r="M1312">
        <f>COUNTIF(H1312:$H$2581,H1312)</f>
        <v>3</v>
      </c>
    </row>
    <row r="1313" spans="1:13" x14ac:dyDescent="0.2">
      <c r="A1313">
        <v>1200</v>
      </c>
      <c r="B1313" t="s">
        <v>1509</v>
      </c>
      <c r="C1313" t="s">
        <v>1582</v>
      </c>
      <c r="D1313" t="s">
        <v>13</v>
      </c>
      <c r="E1313" t="s">
        <v>1583</v>
      </c>
      <c r="F1313" t="s">
        <v>1512</v>
      </c>
      <c r="G1313" t="s">
        <v>1584</v>
      </c>
      <c r="H1313" t="s">
        <v>3484</v>
      </c>
      <c r="I1313" t="b">
        <v>1</v>
      </c>
      <c r="J1313">
        <v>147</v>
      </c>
      <c r="K1313">
        <v>1201</v>
      </c>
      <c r="L1313">
        <v>408</v>
      </c>
      <c r="M1313">
        <f>COUNTIF(H1313:$H$2581,H1313)</f>
        <v>2</v>
      </c>
    </row>
    <row r="1314" spans="1:13" x14ac:dyDescent="0.2">
      <c r="A1314">
        <v>1676</v>
      </c>
      <c r="B1314" t="s">
        <v>1112</v>
      </c>
      <c r="C1314" t="s">
        <v>1618</v>
      </c>
      <c r="D1314" t="s">
        <v>13</v>
      </c>
      <c r="E1314" t="s">
        <v>1619</v>
      </c>
      <c r="F1314" t="s">
        <v>1115</v>
      </c>
      <c r="G1314" t="s">
        <v>1620</v>
      </c>
      <c r="H1314" t="s">
        <v>3484</v>
      </c>
      <c r="I1314" t="b">
        <v>1</v>
      </c>
      <c r="J1314">
        <v>202</v>
      </c>
      <c r="K1314">
        <v>1677</v>
      </c>
      <c r="L1314">
        <v>97</v>
      </c>
      <c r="M1314">
        <f>COUNTIF(H1314:$H$2581,H1314)</f>
        <v>1</v>
      </c>
    </row>
    <row r="1315" spans="1:13" x14ac:dyDescent="0.2">
      <c r="A1315">
        <v>2298</v>
      </c>
      <c r="B1315" t="s">
        <v>1808</v>
      </c>
      <c r="C1315" t="s">
        <v>1809</v>
      </c>
      <c r="D1315" t="s">
        <v>13</v>
      </c>
      <c r="E1315" t="s">
        <v>1810</v>
      </c>
      <c r="F1315" t="s">
        <v>1811</v>
      </c>
      <c r="G1315" t="s">
        <v>1812</v>
      </c>
      <c r="H1315" t="s">
        <v>3650</v>
      </c>
      <c r="I1315" t="b">
        <v>1</v>
      </c>
      <c r="J1315">
        <v>270</v>
      </c>
      <c r="K1315">
        <v>2299</v>
      </c>
      <c r="L1315">
        <v>84</v>
      </c>
      <c r="M1315">
        <f>COUNTIF(H1315:$H$2581,H1315)</f>
        <v>1</v>
      </c>
    </row>
    <row r="1316" spans="1:13" x14ac:dyDescent="0.2">
      <c r="A1316">
        <v>2493</v>
      </c>
      <c r="B1316" t="s">
        <v>249</v>
      </c>
      <c r="C1316" t="s">
        <v>1995</v>
      </c>
      <c r="D1316" t="s">
        <v>13</v>
      </c>
      <c r="E1316" t="s">
        <v>1996</v>
      </c>
      <c r="F1316" t="s">
        <v>252</v>
      </c>
      <c r="G1316" t="s">
        <v>1997</v>
      </c>
      <c r="H1316" t="s">
        <v>3656</v>
      </c>
      <c r="I1316" t="b">
        <v>0</v>
      </c>
      <c r="J1316">
        <v>290</v>
      </c>
      <c r="K1316">
        <v>2494</v>
      </c>
      <c r="L1316">
        <v>10</v>
      </c>
      <c r="M1316">
        <f>COUNTIF(H1316:$H$2581,H1316)</f>
        <v>1</v>
      </c>
    </row>
    <row r="1317" spans="1:13" x14ac:dyDescent="0.2">
      <c r="A1317">
        <v>513</v>
      </c>
      <c r="B1317" t="s">
        <v>486</v>
      </c>
      <c r="C1317" t="s">
        <v>2013</v>
      </c>
      <c r="D1317" t="s">
        <v>13</v>
      </c>
      <c r="E1317" t="s">
        <v>2014</v>
      </c>
      <c r="F1317" t="s">
        <v>489</v>
      </c>
      <c r="G1317" t="s">
        <v>2015</v>
      </c>
      <c r="H1317" t="s">
        <v>3663</v>
      </c>
      <c r="I1317" t="b">
        <v>0</v>
      </c>
      <c r="J1317">
        <v>74</v>
      </c>
      <c r="K1317">
        <v>514</v>
      </c>
      <c r="L1317">
        <v>98</v>
      </c>
      <c r="M1317">
        <f>COUNTIF(H1317:$H$2581,H1317)</f>
        <v>2</v>
      </c>
    </row>
    <row r="1318" spans="1:13" x14ac:dyDescent="0.2">
      <c r="A1318">
        <v>253</v>
      </c>
      <c r="B1318" t="s">
        <v>1503</v>
      </c>
      <c r="C1318" t="s">
        <v>2121</v>
      </c>
      <c r="D1318" t="s">
        <v>13</v>
      </c>
      <c r="E1318" t="s">
        <v>2122</v>
      </c>
      <c r="F1318" t="s">
        <v>1506</v>
      </c>
      <c r="G1318" t="s">
        <v>2123</v>
      </c>
      <c r="H1318" t="s">
        <v>3663</v>
      </c>
      <c r="I1318" t="b">
        <v>0</v>
      </c>
      <c r="J1318">
        <v>42</v>
      </c>
      <c r="K1318">
        <v>254</v>
      </c>
      <c r="L1318">
        <v>43</v>
      </c>
      <c r="M1318">
        <f>COUNTIF(H1318:$H$2581,H1318)</f>
        <v>1</v>
      </c>
    </row>
    <row r="1319" spans="1:13" x14ac:dyDescent="0.2">
      <c r="A1319">
        <v>1310</v>
      </c>
      <c r="B1319" t="s">
        <v>1915</v>
      </c>
      <c r="C1319" t="s">
        <v>2187</v>
      </c>
      <c r="D1319" t="s">
        <v>13</v>
      </c>
      <c r="E1319" t="s">
        <v>2188</v>
      </c>
      <c r="F1319" t="s">
        <v>1918</v>
      </c>
      <c r="G1319" t="s">
        <v>2189</v>
      </c>
      <c r="H1319" t="s">
        <v>3673</v>
      </c>
      <c r="I1319" t="s">
        <v>24</v>
      </c>
      <c r="J1319">
        <v>161</v>
      </c>
      <c r="K1319">
        <v>1311</v>
      </c>
      <c r="L1319">
        <v>204</v>
      </c>
      <c r="M1319">
        <f>COUNTIF(H1319:$H$2581,H1319)</f>
        <v>36</v>
      </c>
    </row>
    <row r="1320" spans="1:13" x14ac:dyDescent="0.2">
      <c r="A1320">
        <v>2324</v>
      </c>
      <c r="B1320" t="s">
        <v>900</v>
      </c>
      <c r="C1320" t="s">
        <v>2246</v>
      </c>
      <c r="D1320" t="s">
        <v>33</v>
      </c>
      <c r="E1320" t="s">
        <v>2247</v>
      </c>
      <c r="F1320" t="s">
        <v>903</v>
      </c>
      <c r="G1320" t="s">
        <v>2248</v>
      </c>
      <c r="H1320" t="s">
        <v>3673</v>
      </c>
      <c r="I1320" t="b">
        <v>0</v>
      </c>
      <c r="J1320">
        <v>274</v>
      </c>
      <c r="K1320">
        <v>2325</v>
      </c>
      <c r="L1320">
        <v>289</v>
      </c>
      <c r="M1320">
        <f>COUNTIF(H1320:$H$2581,H1320)</f>
        <v>35</v>
      </c>
    </row>
    <row r="1321" spans="1:13" x14ac:dyDescent="0.2">
      <c r="A1321">
        <v>2246</v>
      </c>
      <c r="B1321" t="s">
        <v>411</v>
      </c>
      <c r="C1321" t="s">
        <v>2313</v>
      </c>
      <c r="D1321" t="s">
        <v>54</v>
      </c>
      <c r="E1321" t="s">
        <v>2314</v>
      </c>
      <c r="F1321" t="s">
        <v>414</v>
      </c>
      <c r="G1321" t="s">
        <v>2315</v>
      </c>
      <c r="H1321" t="s">
        <v>3673</v>
      </c>
      <c r="I1321" t="s">
        <v>24</v>
      </c>
      <c r="J1321">
        <v>262</v>
      </c>
      <c r="K1321">
        <v>2247</v>
      </c>
      <c r="L1321">
        <v>120</v>
      </c>
      <c r="M1321">
        <f>COUNTIF(H1321:$H$2581,H1321)</f>
        <v>34</v>
      </c>
    </row>
    <row r="1322" spans="1:13" x14ac:dyDescent="0.2">
      <c r="A1322">
        <v>2120</v>
      </c>
      <c r="B1322" t="s">
        <v>576</v>
      </c>
      <c r="C1322" t="s">
        <v>2405</v>
      </c>
      <c r="D1322" t="s">
        <v>13</v>
      </c>
      <c r="E1322" t="s">
        <v>2406</v>
      </c>
      <c r="F1322" t="s">
        <v>579</v>
      </c>
      <c r="G1322" t="s">
        <v>2407</v>
      </c>
      <c r="H1322" t="s">
        <v>3673</v>
      </c>
      <c r="I1322" t="s">
        <v>24</v>
      </c>
      <c r="J1322">
        <v>244</v>
      </c>
      <c r="K1322">
        <v>2121</v>
      </c>
      <c r="L1322">
        <v>121</v>
      </c>
      <c r="M1322">
        <f>COUNTIF(H1322:$H$2581,H1322)</f>
        <v>33</v>
      </c>
    </row>
    <row r="1323" spans="1:13" x14ac:dyDescent="0.2">
      <c r="A1323">
        <v>1352</v>
      </c>
      <c r="B1323" t="s">
        <v>571</v>
      </c>
      <c r="C1323" t="s">
        <v>2421</v>
      </c>
      <c r="D1323" t="s">
        <v>13</v>
      </c>
      <c r="E1323" t="s">
        <v>2422</v>
      </c>
      <c r="F1323" t="s">
        <v>574</v>
      </c>
      <c r="G1323" t="s">
        <v>2423</v>
      </c>
      <c r="H1323" t="s">
        <v>3673</v>
      </c>
      <c r="I1323" t="b">
        <v>0</v>
      </c>
      <c r="J1323">
        <v>165</v>
      </c>
      <c r="K1323">
        <v>1353</v>
      </c>
      <c r="L1323">
        <v>453</v>
      </c>
      <c r="M1323">
        <f>COUNTIF(H1323:$H$2581,H1323)</f>
        <v>32</v>
      </c>
    </row>
    <row r="1324" spans="1:13" x14ac:dyDescent="0.2">
      <c r="A1324">
        <v>1438</v>
      </c>
      <c r="B1324" t="s">
        <v>763</v>
      </c>
      <c r="C1324" t="s">
        <v>2466</v>
      </c>
      <c r="D1324" t="s">
        <v>13</v>
      </c>
      <c r="E1324" t="s">
        <v>2467</v>
      </c>
      <c r="F1324" t="s">
        <v>766</v>
      </c>
      <c r="G1324" t="s">
        <v>2468</v>
      </c>
      <c r="H1324" t="s">
        <v>3673</v>
      </c>
      <c r="I1324" t="b">
        <v>1</v>
      </c>
      <c r="J1324">
        <v>174</v>
      </c>
      <c r="K1324">
        <v>1439</v>
      </c>
      <c r="L1324">
        <v>16</v>
      </c>
      <c r="M1324">
        <f>COUNTIF(H1324:$H$2581,H1324)</f>
        <v>31</v>
      </c>
    </row>
    <row r="1325" spans="1:13" x14ac:dyDescent="0.2">
      <c r="A1325">
        <v>1191</v>
      </c>
      <c r="B1325" t="s">
        <v>2485</v>
      </c>
      <c r="C1325" t="s">
        <v>2486</v>
      </c>
      <c r="D1325" t="s">
        <v>13</v>
      </c>
      <c r="E1325" t="s">
        <v>2487</v>
      </c>
      <c r="F1325" t="s">
        <v>2488</v>
      </c>
      <c r="G1325" t="s">
        <v>2489</v>
      </c>
      <c r="H1325" t="s">
        <v>3673</v>
      </c>
      <c r="I1325" t="b">
        <v>0</v>
      </c>
      <c r="J1325">
        <v>146</v>
      </c>
      <c r="K1325">
        <v>1192</v>
      </c>
      <c r="L1325">
        <v>182</v>
      </c>
      <c r="M1325">
        <f>COUNTIF(H1325:$H$2581,H1325)</f>
        <v>30</v>
      </c>
    </row>
    <row r="1326" spans="1:13" x14ac:dyDescent="0.2">
      <c r="A1326">
        <v>704</v>
      </c>
      <c r="B1326" t="s">
        <v>730</v>
      </c>
      <c r="C1326" t="s">
        <v>2513</v>
      </c>
      <c r="D1326" t="s">
        <v>13</v>
      </c>
      <c r="E1326" t="s">
        <v>2514</v>
      </c>
      <c r="F1326" t="s">
        <v>733</v>
      </c>
      <c r="G1326" t="s">
        <v>2515</v>
      </c>
      <c r="H1326" t="s">
        <v>3673</v>
      </c>
      <c r="I1326" t="s">
        <v>24</v>
      </c>
      <c r="J1326">
        <v>103</v>
      </c>
      <c r="K1326">
        <v>705</v>
      </c>
      <c r="L1326">
        <v>99</v>
      </c>
      <c r="M1326">
        <f>COUNTIF(H1326:$H$2581,H1326)</f>
        <v>29</v>
      </c>
    </row>
    <row r="1327" spans="1:13" x14ac:dyDescent="0.2">
      <c r="A1327">
        <v>671</v>
      </c>
      <c r="B1327" t="s">
        <v>822</v>
      </c>
      <c r="C1327" t="s">
        <v>2554</v>
      </c>
      <c r="D1327" t="s">
        <v>13</v>
      </c>
      <c r="E1327" t="s">
        <v>2555</v>
      </c>
      <c r="F1327" t="s">
        <v>825</v>
      </c>
      <c r="G1327" t="s">
        <v>2556</v>
      </c>
      <c r="H1327" t="s">
        <v>3673</v>
      </c>
      <c r="I1327" t="s">
        <v>24</v>
      </c>
      <c r="J1327">
        <v>99</v>
      </c>
      <c r="K1327">
        <v>672</v>
      </c>
      <c r="L1327">
        <v>286</v>
      </c>
      <c r="M1327">
        <f>COUNTIF(H1327:$H$2581,H1327)</f>
        <v>28</v>
      </c>
    </row>
    <row r="1328" spans="1:13" x14ac:dyDescent="0.2">
      <c r="A1328">
        <v>1710</v>
      </c>
      <c r="B1328" t="s">
        <v>725</v>
      </c>
      <c r="C1328" t="s">
        <v>2578</v>
      </c>
      <c r="D1328" t="s">
        <v>54</v>
      </c>
      <c r="E1328" t="s">
        <v>2579</v>
      </c>
      <c r="F1328" t="s">
        <v>728</v>
      </c>
      <c r="G1328" t="s">
        <v>2580</v>
      </c>
      <c r="H1328" t="s">
        <v>3673</v>
      </c>
      <c r="I1328" t="b">
        <v>1</v>
      </c>
      <c r="J1328">
        <v>205</v>
      </c>
      <c r="K1328">
        <v>1711</v>
      </c>
      <c r="L1328">
        <v>546</v>
      </c>
      <c r="M1328">
        <f>COUNTIF(H1328:$H$2581,H1328)</f>
        <v>27</v>
      </c>
    </row>
    <row r="1329" spans="1:13" x14ac:dyDescent="0.2">
      <c r="A1329">
        <v>1023</v>
      </c>
      <c r="B1329" t="s">
        <v>2218</v>
      </c>
      <c r="C1329" t="s">
        <v>2619</v>
      </c>
      <c r="D1329" t="s">
        <v>54</v>
      </c>
      <c r="E1329" t="s">
        <v>2620</v>
      </c>
      <c r="F1329" t="s">
        <v>2221</v>
      </c>
      <c r="G1329" t="s">
        <v>2621</v>
      </c>
      <c r="H1329" t="s">
        <v>3673</v>
      </c>
      <c r="I1329" t="b">
        <v>0</v>
      </c>
      <c r="J1329">
        <v>128</v>
      </c>
      <c r="K1329">
        <v>1024</v>
      </c>
      <c r="L1329">
        <v>262</v>
      </c>
      <c r="M1329">
        <f>COUNTIF(H1329:$H$2581,H1329)</f>
        <v>26</v>
      </c>
    </row>
    <row r="1330" spans="1:13" x14ac:dyDescent="0.2">
      <c r="A1330">
        <v>63</v>
      </c>
      <c r="B1330" t="s">
        <v>25</v>
      </c>
      <c r="C1330" t="s">
        <v>2714</v>
      </c>
      <c r="D1330" t="s">
        <v>13</v>
      </c>
      <c r="E1330" t="s">
        <v>2715</v>
      </c>
      <c r="F1330" t="s">
        <v>28</v>
      </c>
      <c r="G1330" t="s">
        <v>2716</v>
      </c>
      <c r="H1330" t="s">
        <v>3673</v>
      </c>
      <c r="I1330" t="b">
        <v>1</v>
      </c>
      <c r="J1330">
        <v>11</v>
      </c>
      <c r="K1330">
        <v>64</v>
      </c>
      <c r="L1330">
        <v>47</v>
      </c>
      <c r="M1330">
        <f>COUNTIF(H1330:$H$2581,H1330)</f>
        <v>25</v>
      </c>
    </row>
    <row r="1331" spans="1:13" x14ac:dyDescent="0.2">
      <c r="A1331">
        <v>339</v>
      </c>
      <c r="B1331" t="s">
        <v>455</v>
      </c>
      <c r="C1331" t="s">
        <v>2791</v>
      </c>
      <c r="D1331" t="s">
        <v>13</v>
      </c>
      <c r="E1331" t="s">
        <v>2792</v>
      </c>
      <c r="F1331" t="s">
        <v>458</v>
      </c>
      <c r="G1331" t="s">
        <v>2793</v>
      </c>
      <c r="H1331" t="s">
        <v>3673</v>
      </c>
      <c r="I1331" t="b">
        <v>0</v>
      </c>
      <c r="J1331">
        <v>49</v>
      </c>
      <c r="K1331">
        <v>340</v>
      </c>
      <c r="L1331">
        <v>38</v>
      </c>
      <c r="M1331">
        <f>COUNTIF(H1331:$H$2581,H1331)</f>
        <v>24</v>
      </c>
    </row>
    <row r="1332" spans="1:13" x14ac:dyDescent="0.2">
      <c r="A1332">
        <v>2042</v>
      </c>
      <c r="B1332" t="s">
        <v>1313</v>
      </c>
      <c r="C1332" t="s">
        <v>2845</v>
      </c>
      <c r="D1332" t="s">
        <v>13</v>
      </c>
      <c r="E1332" t="s">
        <v>2846</v>
      </c>
      <c r="F1332" t="s">
        <v>1316</v>
      </c>
      <c r="G1332" t="s">
        <v>2847</v>
      </c>
      <c r="H1332" t="s">
        <v>3673</v>
      </c>
      <c r="I1332" t="s">
        <v>24</v>
      </c>
      <c r="J1332">
        <v>238</v>
      </c>
      <c r="K1332">
        <v>2043</v>
      </c>
      <c r="L1332">
        <v>17</v>
      </c>
      <c r="M1332">
        <f>COUNTIF(H1332:$H$2581,H1332)</f>
        <v>23</v>
      </c>
    </row>
    <row r="1333" spans="1:13" x14ac:dyDescent="0.2">
      <c r="A1333">
        <v>768</v>
      </c>
      <c r="B1333" t="s">
        <v>368</v>
      </c>
      <c r="C1333" t="s">
        <v>2861</v>
      </c>
      <c r="D1333" t="s">
        <v>13</v>
      </c>
      <c r="E1333" t="s">
        <v>2862</v>
      </c>
      <c r="F1333" t="s">
        <v>371</v>
      </c>
      <c r="G1333" t="s">
        <v>2863</v>
      </c>
      <c r="H1333" t="s">
        <v>3673</v>
      </c>
      <c r="I1333" t="s">
        <v>24</v>
      </c>
      <c r="J1333">
        <v>109</v>
      </c>
      <c r="K1333">
        <v>769</v>
      </c>
      <c r="L1333">
        <v>18</v>
      </c>
      <c r="M1333">
        <f>COUNTIF(H1333:$H$2581,H1333)</f>
        <v>22</v>
      </c>
    </row>
    <row r="1334" spans="1:13" x14ac:dyDescent="0.2">
      <c r="A1334">
        <v>956</v>
      </c>
      <c r="B1334" t="s">
        <v>203</v>
      </c>
      <c r="C1334" t="s">
        <v>2912</v>
      </c>
      <c r="D1334" t="s">
        <v>13</v>
      </c>
      <c r="E1334" t="s">
        <v>2913</v>
      </c>
      <c r="F1334" t="s">
        <v>206</v>
      </c>
      <c r="G1334" t="s">
        <v>2914</v>
      </c>
      <c r="H1334" t="s">
        <v>3673</v>
      </c>
      <c r="I1334" t="b">
        <v>1</v>
      </c>
      <c r="J1334">
        <v>123</v>
      </c>
      <c r="K1334">
        <v>957</v>
      </c>
      <c r="L1334">
        <v>357</v>
      </c>
      <c r="M1334">
        <f>COUNTIF(H1334:$H$2581,H1334)</f>
        <v>21</v>
      </c>
    </row>
    <row r="1335" spans="1:13" x14ac:dyDescent="0.2">
      <c r="A1335">
        <v>1871</v>
      </c>
      <c r="B1335" t="s">
        <v>749</v>
      </c>
      <c r="C1335" t="s">
        <v>2965</v>
      </c>
      <c r="D1335" t="s">
        <v>54</v>
      </c>
      <c r="E1335" t="s">
        <v>2966</v>
      </c>
      <c r="F1335" t="s">
        <v>752</v>
      </c>
      <c r="G1335" t="s">
        <v>2967</v>
      </c>
      <c r="H1335" t="s">
        <v>3673</v>
      </c>
      <c r="I1335" t="s">
        <v>24</v>
      </c>
      <c r="J1335">
        <v>218</v>
      </c>
      <c r="K1335">
        <v>1872</v>
      </c>
      <c r="L1335">
        <v>100</v>
      </c>
      <c r="M1335">
        <f>COUNTIF(H1335:$H$2581,H1335)</f>
        <v>20</v>
      </c>
    </row>
    <row r="1336" spans="1:13" x14ac:dyDescent="0.2">
      <c r="A1336">
        <v>323</v>
      </c>
      <c r="B1336" t="s">
        <v>98</v>
      </c>
      <c r="C1336" t="s">
        <v>2999</v>
      </c>
      <c r="D1336" t="s">
        <v>54</v>
      </c>
      <c r="E1336" t="s">
        <v>3000</v>
      </c>
      <c r="F1336" t="s">
        <v>101</v>
      </c>
      <c r="G1336" t="s">
        <v>3001</v>
      </c>
      <c r="H1336" t="s">
        <v>3673</v>
      </c>
      <c r="I1336" t="s">
        <v>24</v>
      </c>
      <c r="J1336">
        <v>46</v>
      </c>
      <c r="K1336">
        <v>324</v>
      </c>
      <c r="L1336">
        <v>151</v>
      </c>
      <c r="M1336">
        <f>COUNTIF(H1336:$H$2581,H1336)</f>
        <v>19</v>
      </c>
    </row>
    <row r="1337" spans="1:13" x14ac:dyDescent="0.2">
      <c r="A1337">
        <v>18</v>
      </c>
      <c r="B1337" t="s">
        <v>3083</v>
      </c>
      <c r="C1337" t="s">
        <v>3084</v>
      </c>
      <c r="D1337" t="s">
        <v>13</v>
      </c>
      <c r="E1337" t="s">
        <v>3085</v>
      </c>
      <c r="F1337" t="s">
        <v>3086</v>
      </c>
      <c r="G1337" t="s">
        <v>3087</v>
      </c>
      <c r="H1337" t="s">
        <v>3673</v>
      </c>
      <c r="I1337" t="b">
        <v>0</v>
      </c>
      <c r="J1337">
        <v>5</v>
      </c>
      <c r="K1337">
        <v>19</v>
      </c>
      <c r="L1337">
        <v>15</v>
      </c>
      <c r="M1337">
        <f>COUNTIF(H1337:$H$2581,H1337)</f>
        <v>18</v>
      </c>
    </row>
    <row r="1338" spans="1:13" x14ac:dyDescent="0.2">
      <c r="A1338">
        <v>1026</v>
      </c>
      <c r="B1338" t="s">
        <v>2218</v>
      </c>
      <c r="C1338" t="s">
        <v>3170</v>
      </c>
      <c r="D1338" t="s">
        <v>33</v>
      </c>
      <c r="E1338" t="s">
        <v>3171</v>
      </c>
      <c r="F1338" t="s">
        <v>2221</v>
      </c>
      <c r="G1338" t="s">
        <v>3172</v>
      </c>
      <c r="H1338" t="s">
        <v>3673</v>
      </c>
      <c r="I1338" t="b">
        <v>0</v>
      </c>
      <c r="J1338">
        <v>128</v>
      </c>
      <c r="K1338">
        <v>1027</v>
      </c>
      <c r="L1338">
        <v>19</v>
      </c>
      <c r="M1338">
        <f>COUNTIF(H1338:$H$2581,H1338)</f>
        <v>17</v>
      </c>
    </row>
    <row r="1339" spans="1:13" x14ac:dyDescent="0.2">
      <c r="A1339">
        <v>436</v>
      </c>
      <c r="B1339" t="s">
        <v>778</v>
      </c>
      <c r="C1339" t="s">
        <v>3204</v>
      </c>
      <c r="D1339" t="s">
        <v>54</v>
      </c>
      <c r="E1339" t="s">
        <v>3205</v>
      </c>
      <c r="F1339" t="s">
        <v>781</v>
      </c>
      <c r="G1339" t="s">
        <v>3206</v>
      </c>
      <c r="H1339" t="s">
        <v>3673</v>
      </c>
      <c r="I1339" t="b">
        <v>0</v>
      </c>
      <c r="J1339">
        <v>64</v>
      </c>
      <c r="K1339">
        <v>437</v>
      </c>
      <c r="L1339">
        <v>197</v>
      </c>
      <c r="M1339">
        <f>COUNTIF(H1339:$H$2581,H1339)</f>
        <v>16</v>
      </c>
    </row>
    <row r="1340" spans="1:13" x14ac:dyDescent="0.2">
      <c r="A1340">
        <v>2382</v>
      </c>
      <c r="B1340" t="s">
        <v>812</v>
      </c>
      <c r="C1340" t="s">
        <v>3308</v>
      </c>
      <c r="D1340" t="s">
        <v>13</v>
      </c>
      <c r="E1340" t="s">
        <v>3309</v>
      </c>
      <c r="F1340" t="s">
        <v>815</v>
      </c>
      <c r="G1340" t="s">
        <v>3310</v>
      </c>
      <c r="H1340" t="s">
        <v>3673</v>
      </c>
      <c r="I1340" t="b">
        <v>1</v>
      </c>
      <c r="J1340">
        <v>277</v>
      </c>
      <c r="K1340">
        <v>2383</v>
      </c>
      <c r="L1340">
        <v>21</v>
      </c>
      <c r="M1340">
        <f>COUNTIF(H1340:$H$2581,H1340)</f>
        <v>15</v>
      </c>
    </row>
    <row r="1341" spans="1:13" x14ac:dyDescent="0.2">
      <c r="A1341">
        <v>725</v>
      </c>
      <c r="B1341" t="s">
        <v>1349</v>
      </c>
      <c r="C1341" t="s">
        <v>3358</v>
      </c>
      <c r="D1341" t="s">
        <v>13</v>
      </c>
      <c r="E1341" t="s">
        <v>3359</v>
      </c>
      <c r="F1341" t="s">
        <v>1352</v>
      </c>
      <c r="G1341" t="s">
        <v>3360</v>
      </c>
      <c r="H1341" t="s">
        <v>3673</v>
      </c>
      <c r="I1341" t="b">
        <v>1</v>
      </c>
      <c r="J1341">
        <v>104</v>
      </c>
      <c r="K1341">
        <v>726</v>
      </c>
      <c r="L1341">
        <v>62</v>
      </c>
      <c r="M1341">
        <f>COUNTIF(H1341:$H$2581,H1341)</f>
        <v>14</v>
      </c>
    </row>
    <row r="1342" spans="1:13" x14ac:dyDescent="0.2">
      <c r="A1342">
        <v>2131</v>
      </c>
      <c r="B1342" t="s">
        <v>142</v>
      </c>
      <c r="C1342" t="s">
        <v>3388</v>
      </c>
      <c r="D1342" t="s">
        <v>13</v>
      </c>
      <c r="E1342" t="s">
        <v>3389</v>
      </c>
      <c r="F1342" t="s">
        <v>145</v>
      </c>
      <c r="G1342" t="s">
        <v>3390</v>
      </c>
      <c r="H1342" t="s">
        <v>3673</v>
      </c>
      <c r="I1342" t="b">
        <v>1</v>
      </c>
      <c r="J1342">
        <v>247</v>
      </c>
      <c r="K1342">
        <v>2132</v>
      </c>
      <c r="L1342">
        <v>280</v>
      </c>
      <c r="M1342">
        <f>COUNTIF(H1342:$H$2581,H1342)</f>
        <v>13</v>
      </c>
    </row>
    <row r="1343" spans="1:13" x14ac:dyDescent="0.2">
      <c r="A1343">
        <v>2254</v>
      </c>
      <c r="B1343" t="s">
        <v>1170</v>
      </c>
      <c r="C1343" t="s">
        <v>3454</v>
      </c>
      <c r="D1343" t="s">
        <v>54</v>
      </c>
      <c r="E1343" t="s">
        <v>3455</v>
      </c>
      <c r="F1343" t="s">
        <v>1173</v>
      </c>
      <c r="G1343" t="s">
        <v>3456</v>
      </c>
      <c r="H1343" t="s">
        <v>3673</v>
      </c>
      <c r="I1343" t="b">
        <v>0</v>
      </c>
      <c r="J1343">
        <v>263</v>
      </c>
      <c r="K1343">
        <v>2255</v>
      </c>
      <c r="L1343">
        <v>240</v>
      </c>
      <c r="M1343">
        <f>COUNTIF(H1343:$H$2581,H1343)</f>
        <v>12</v>
      </c>
    </row>
    <row r="1344" spans="1:13" x14ac:dyDescent="0.2">
      <c r="A1344">
        <v>2227</v>
      </c>
      <c r="B1344" t="s">
        <v>165</v>
      </c>
      <c r="C1344" t="s">
        <v>3631</v>
      </c>
      <c r="D1344" t="s">
        <v>33</v>
      </c>
      <c r="E1344" t="s">
        <v>3632</v>
      </c>
      <c r="F1344" t="s">
        <v>168</v>
      </c>
      <c r="G1344" t="s">
        <v>3633</v>
      </c>
      <c r="H1344" t="s">
        <v>3673</v>
      </c>
      <c r="I1344" t="s">
        <v>24</v>
      </c>
      <c r="J1344">
        <v>261</v>
      </c>
      <c r="K1344">
        <v>2228</v>
      </c>
      <c r="L1344">
        <v>39</v>
      </c>
      <c r="M1344">
        <f>COUNTIF(H1344:$H$2581,H1344)</f>
        <v>11</v>
      </c>
    </row>
    <row r="1345" spans="1:13" x14ac:dyDescent="0.2">
      <c r="A1345">
        <v>2429</v>
      </c>
      <c r="B1345" t="s">
        <v>1327</v>
      </c>
      <c r="C1345" t="s">
        <v>3773</v>
      </c>
      <c r="D1345" t="s">
        <v>54</v>
      </c>
      <c r="E1345" t="s">
        <v>3774</v>
      </c>
      <c r="F1345" t="s">
        <v>1330</v>
      </c>
      <c r="G1345" t="s">
        <v>3775</v>
      </c>
      <c r="H1345" t="s">
        <v>3673</v>
      </c>
      <c r="I1345" t="b">
        <v>0</v>
      </c>
      <c r="J1345">
        <v>283</v>
      </c>
      <c r="K1345">
        <v>2430</v>
      </c>
      <c r="L1345">
        <v>22</v>
      </c>
      <c r="M1345">
        <f>COUNTIF(H1345:$H$2581,H1345)</f>
        <v>10</v>
      </c>
    </row>
    <row r="1346" spans="1:13" x14ac:dyDescent="0.2">
      <c r="A1346">
        <v>2075</v>
      </c>
      <c r="B1346" t="s">
        <v>1970</v>
      </c>
      <c r="C1346" t="s">
        <v>3851</v>
      </c>
      <c r="D1346" t="s">
        <v>54</v>
      </c>
      <c r="E1346" t="s">
        <v>3852</v>
      </c>
      <c r="F1346" t="s">
        <v>1973</v>
      </c>
      <c r="G1346" t="s">
        <v>3853</v>
      </c>
      <c r="H1346" t="s">
        <v>3673</v>
      </c>
      <c r="I1346" t="s">
        <v>24</v>
      </c>
      <c r="J1346">
        <v>241</v>
      </c>
      <c r="K1346">
        <v>2076</v>
      </c>
      <c r="L1346">
        <v>270</v>
      </c>
      <c r="M1346">
        <f>COUNTIF(H1346:$H$2581,H1346)</f>
        <v>9</v>
      </c>
    </row>
    <row r="1347" spans="1:13" x14ac:dyDescent="0.2">
      <c r="A1347">
        <v>1768</v>
      </c>
      <c r="B1347" t="s">
        <v>216</v>
      </c>
      <c r="C1347" t="s">
        <v>3889</v>
      </c>
      <c r="D1347" t="s">
        <v>13</v>
      </c>
      <c r="E1347" t="s">
        <v>3890</v>
      </c>
      <c r="F1347" t="s">
        <v>219</v>
      </c>
      <c r="G1347" t="s">
        <v>3891</v>
      </c>
      <c r="H1347" t="s">
        <v>3673</v>
      </c>
      <c r="I1347" t="b">
        <v>1</v>
      </c>
      <c r="J1347">
        <v>209</v>
      </c>
      <c r="K1347">
        <v>1769</v>
      </c>
      <c r="L1347">
        <v>101</v>
      </c>
      <c r="M1347">
        <f>COUNTIF(H1347:$H$2581,H1347)</f>
        <v>8</v>
      </c>
    </row>
    <row r="1348" spans="1:13" x14ac:dyDescent="0.2">
      <c r="A1348">
        <v>1184</v>
      </c>
      <c r="B1348" t="s">
        <v>1054</v>
      </c>
      <c r="C1348" t="s">
        <v>3928</v>
      </c>
      <c r="D1348" t="s">
        <v>33</v>
      </c>
      <c r="E1348" t="s">
        <v>3929</v>
      </c>
      <c r="F1348" t="s">
        <v>1057</v>
      </c>
      <c r="G1348" t="s">
        <v>3930</v>
      </c>
      <c r="H1348" t="s">
        <v>3673</v>
      </c>
      <c r="I1348" t="s">
        <v>24</v>
      </c>
      <c r="J1348">
        <v>145</v>
      </c>
      <c r="K1348">
        <v>1185</v>
      </c>
      <c r="L1348">
        <v>206</v>
      </c>
      <c r="M1348">
        <f>COUNTIF(H1348:$H$2581,H1348)</f>
        <v>7</v>
      </c>
    </row>
    <row r="1349" spans="1:13" x14ac:dyDescent="0.2">
      <c r="A1349">
        <v>1478</v>
      </c>
      <c r="B1349" t="s">
        <v>1773</v>
      </c>
      <c r="C1349" t="s">
        <v>3976</v>
      </c>
      <c r="D1349" t="s">
        <v>54</v>
      </c>
      <c r="E1349" t="s">
        <v>3977</v>
      </c>
      <c r="F1349" t="s">
        <v>1776</v>
      </c>
      <c r="G1349" t="s">
        <v>3978</v>
      </c>
      <c r="H1349" t="s">
        <v>3673</v>
      </c>
      <c r="I1349" t="b">
        <v>0</v>
      </c>
      <c r="J1349">
        <v>180</v>
      </c>
      <c r="K1349">
        <v>1479</v>
      </c>
      <c r="L1349">
        <v>40</v>
      </c>
      <c r="M1349">
        <f>COUNTIF(H1349:$H$2581,H1349)</f>
        <v>6</v>
      </c>
    </row>
    <row r="1350" spans="1:13" x14ac:dyDescent="0.2">
      <c r="A1350">
        <v>730</v>
      </c>
      <c r="B1350" t="s">
        <v>1349</v>
      </c>
      <c r="C1350" t="s">
        <v>4000</v>
      </c>
      <c r="D1350" t="s">
        <v>54</v>
      </c>
      <c r="E1350" t="s">
        <v>4001</v>
      </c>
      <c r="F1350" t="s">
        <v>1352</v>
      </c>
      <c r="G1350" t="s">
        <v>4002</v>
      </c>
      <c r="H1350" t="s">
        <v>3673</v>
      </c>
      <c r="I1350" t="b">
        <v>1</v>
      </c>
      <c r="J1350">
        <v>104</v>
      </c>
      <c r="K1350">
        <v>731</v>
      </c>
      <c r="L1350">
        <v>71</v>
      </c>
      <c r="M1350">
        <f>COUNTIF(H1350:$H$2581,H1350)</f>
        <v>5</v>
      </c>
    </row>
    <row r="1351" spans="1:13" x14ac:dyDescent="0.2">
      <c r="A1351">
        <v>2365</v>
      </c>
      <c r="B1351" t="s">
        <v>1816</v>
      </c>
      <c r="C1351" t="s">
        <v>4061</v>
      </c>
      <c r="D1351" t="s">
        <v>54</v>
      </c>
      <c r="E1351" t="s">
        <v>4062</v>
      </c>
      <c r="F1351" t="s">
        <v>1819</v>
      </c>
      <c r="G1351" t="s">
        <v>4063</v>
      </c>
      <c r="H1351" t="s">
        <v>3673</v>
      </c>
      <c r="I1351" t="s">
        <v>24</v>
      </c>
      <c r="J1351">
        <v>276</v>
      </c>
      <c r="K1351">
        <v>2366</v>
      </c>
      <c r="L1351">
        <v>23</v>
      </c>
      <c r="M1351">
        <f>COUNTIF(H1351:$H$2581,H1351)</f>
        <v>4</v>
      </c>
    </row>
    <row r="1352" spans="1:13" x14ac:dyDescent="0.2">
      <c r="A1352">
        <v>227</v>
      </c>
      <c r="B1352" t="s">
        <v>1120</v>
      </c>
      <c r="C1352" t="s">
        <v>4108</v>
      </c>
      <c r="D1352" t="s">
        <v>13</v>
      </c>
      <c r="E1352" t="s">
        <v>4109</v>
      </c>
      <c r="F1352" s="1" t="s">
        <v>1123</v>
      </c>
      <c r="G1352" t="s">
        <v>4110</v>
      </c>
      <c r="H1352" t="s">
        <v>3673</v>
      </c>
      <c r="I1352" t="b">
        <v>0</v>
      </c>
      <c r="J1352">
        <v>40</v>
      </c>
      <c r="K1352">
        <v>228</v>
      </c>
      <c r="L1352">
        <v>102</v>
      </c>
      <c r="M1352">
        <f>COUNTIF(H1352:$H$2581,H1352)</f>
        <v>3</v>
      </c>
    </row>
    <row r="1353" spans="1:13" x14ac:dyDescent="0.2">
      <c r="A1353">
        <v>486</v>
      </c>
      <c r="B1353" t="s">
        <v>182</v>
      </c>
      <c r="C1353" t="s">
        <v>4147</v>
      </c>
      <c r="D1353" t="s">
        <v>13</v>
      </c>
      <c r="E1353" t="s">
        <v>4148</v>
      </c>
      <c r="F1353" t="s">
        <v>185</v>
      </c>
      <c r="G1353" t="s">
        <v>4149</v>
      </c>
      <c r="H1353" t="s">
        <v>3673</v>
      </c>
      <c r="I1353" t="b">
        <v>1</v>
      </c>
      <c r="J1353">
        <v>69</v>
      </c>
      <c r="K1353">
        <v>487</v>
      </c>
      <c r="L1353">
        <v>218</v>
      </c>
      <c r="M1353">
        <f>COUNTIF(H1353:$H$2581,H1353)</f>
        <v>2</v>
      </c>
    </row>
    <row r="1354" spans="1:13" x14ac:dyDescent="0.2">
      <c r="A1354">
        <v>1690</v>
      </c>
      <c r="B1354" t="s">
        <v>129</v>
      </c>
      <c r="C1354" t="s">
        <v>4209</v>
      </c>
      <c r="D1354" t="s">
        <v>13</v>
      </c>
      <c r="E1354" t="s">
        <v>4210</v>
      </c>
      <c r="F1354" t="s">
        <v>132</v>
      </c>
      <c r="G1354" t="s">
        <v>4211</v>
      </c>
      <c r="H1354" t="s">
        <v>3673</v>
      </c>
      <c r="I1354" t="b">
        <v>1</v>
      </c>
      <c r="J1354">
        <v>204</v>
      </c>
      <c r="K1354">
        <v>1691</v>
      </c>
      <c r="L1354">
        <v>64</v>
      </c>
      <c r="M1354">
        <f>COUNTIF(H1354:$H$2581,H1354)</f>
        <v>1</v>
      </c>
    </row>
    <row r="1355" spans="1:13" x14ac:dyDescent="0.2">
      <c r="A1355">
        <v>2491</v>
      </c>
      <c r="B1355" t="s">
        <v>4622</v>
      </c>
      <c r="C1355" t="s">
        <v>4623</v>
      </c>
      <c r="D1355" t="s">
        <v>13</v>
      </c>
      <c r="E1355" t="s">
        <v>4624</v>
      </c>
      <c r="F1355" t="s">
        <v>4625</v>
      </c>
      <c r="G1355" t="s">
        <v>4626</v>
      </c>
      <c r="H1355" t="s">
        <v>3812</v>
      </c>
      <c r="I1355" t="b">
        <v>0</v>
      </c>
      <c r="J1355">
        <v>289</v>
      </c>
      <c r="K1355">
        <v>2492</v>
      </c>
      <c r="L1355">
        <v>4</v>
      </c>
      <c r="M1355">
        <f>COUNTIF(H1355:$H$2581,H1355)</f>
        <v>16</v>
      </c>
    </row>
    <row r="1356" spans="1:13" x14ac:dyDescent="0.2">
      <c r="A1356">
        <v>1481</v>
      </c>
      <c r="B1356" t="s">
        <v>1773</v>
      </c>
      <c r="C1356" t="s">
        <v>4684</v>
      </c>
      <c r="D1356" t="s">
        <v>13</v>
      </c>
      <c r="E1356" t="s">
        <v>4685</v>
      </c>
      <c r="F1356" t="s">
        <v>1776</v>
      </c>
      <c r="G1356" t="s">
        <v>4686</v>
      </c>
      <c r="H1356" t="s">
        <v>3812</v>
      </c>
      <c r="I1356" t="b">
        <v>0</v>
      </c>
      <c r="J1356">
        <v>180</v>
      </c>
      <c r="K1356">
        <v>1482</v>
      </c>
      <c r="L1356">
        <v>33</v>
      </c>
      <c r="M1356">
        <f>COUNTIF(H1356:$H$2581,H1356)</f>
        <v>15</v>
      </c>
    </row>
    <row r="1357" spans="1:13" x14ac:dyDescent="0.2">
      <c r="A1357">
        <v>470</v>
      </c>
      <c r="B1357" t="s">
        <v>928</v>
      </c>
      <c r="C1357" t="s">
        <v>4714</v>
      </c>
      <c r="D1357" t="s">
        <v>13</v>
      </c>
      <c r="E1357" t="s">
        <v>4715</v>
      </c>
      <c r="F1357" t="s">
        <v>931</v>
      </c>
      <c r="G1357" t="s">
        <v>4716</v>
      </c>
      <c r="H1357" t="s">
        <v>3812</v>
      </c>
      <c r="I1357" t="b">
        <v>0</v>
      </c>
      <c r="J1357">
        <v>67</v>
      </c>
      <c r="K1357">
        <v>471</v>
      </c>
      <c r="L1357">
        <v>212</v>
      </c>
      <c r="M1357">
        <f>COUNTIF(H1357:$H$2581,H1357)</f>
        <v>14</v>
      </c>
    </row>
    <row r="1358" spans="1:13" x14ac:dyDescent="0.2">
      <c r="A1358">
        <v>734</v>
      </c>
      <c r="B1358" t="s">
        <v>1349</v>
      </c>
      <c r="C1358" t="s">
        <v>4831</v>
      </c>
      <c r="D1358" t="s">
        <v>13</v>
      </c>
      <c r="E1358" t="s">
        <v>4832</v>
      </c>
      <c r="F1358" t="s">
        <v>1352</v>
      </c>
      <c r="G1358" t="s">
        <v>4833</v>
      </c>
      <c r="H1358" t="s">
        <v>3812</v>
      </c>
      <c r="I1358" t="b">
        <v>1</v>
      </c>
      <c r="J1358">
        <v>104</v>
      </c>
      <c r="K1358">
        <v>735</v>
      </c>
      <c r="L1358">
        <v>41</v>
      </c>
      <c r="M1358">
        <f>COUNTIF(H1358:$H$2581,H1358)</f>
        <v>13</v>
      </c>
    </row>
    <row r="1359" spans="1:13" x14ac:dyDescent="0.2">
      <c r="A1359">
        <v>1237</v>
      </c>
      <c r="B1359" t="s">
        <v>1461</v>
      </c>
      <c r="C1359" t="s">
        <v>4862</v>
      </c>
      <c r="D1359" t="s">
        <v>33</v>
      </c>
      <c r="E1359" t="s">
        <v>4863</v>
      </c>
      <c r="F1359" t="s">
        <v>1464</v>
      </c>
      <c r="G1359" t="s">
        <v>4864</v>
      </c>
      <c r="H1359" t="s">
        <v>3812</v>
      </c>
      <c r="I1359" t="b">
        <v>0</v>
      </c>
      <c r="J1359">
        <v>152</v>
      </c>
      <c r="K1359">
        <v>1238</v>
      </c>
      <c r="L1359">
        <v>5</v>
      </c>
      <c r="M1359">
        <f>COUNTIF(H1359:$H$2581,H1359)</f>
        <v>12</v>
      </c>
    </row>
    <row r="1360" spans="1:13" x14ac:dyDescent="0.2">
      <c r="A1360">
        <v>1748</v>
      </c>
      <c r="B1360" t="s">
        <v>1403</v>
      </c>
      <c r="C1360" t="s">
        <v>4914</v>
      </c>
      <c r="D1360" t="s">
        <v>13</v>
      </c>
      <c r="E1360" t="s">
        <v>4915</v>
      </c>
      <c r="F1360" t="s">
        <v>1406</v>
      </c>
      <c r="G1360" t="s">
        <v>4916</v>
      </c>
      <c r="H1360" t="s">
        <v>3812</v>
      </c>
      <c r="I1360" t="b">
        <v>1</v>
      </c>
      <c r="J1360">
        <v>207</v>
      </c>
      <c r="K1360">
        <v>1749</v>
      </c>
      <c r="L1360">
        <v>34</v>
      </c>
      <c r="M1360">
        <f>COUNTIF(H1360:$H$2581,H1360)</f>
        <v>11</v>
      </c>
    </row>
    <row r="1361" spans="1:13" x14ac:dyDescent="0.2">
      <c r="A1361">
        <v>2063</v>
      </c>
      <c r="B1361" t="s">
        <v>1965</v>
      </c>
      <c r="C1361" t="s">
        <v>5025</v>
      </c>
      <c r="D1361" t="s">
        <v>13</v>
      </c>
      <c r="E1361" t="s">
        <v>5026</v>
      </c>
      <c r="F1361" t="s">
        <v>1968</v>
      </c>
      <c r="G1361" t="s">
        <v>5027</v>
      </c>
      <c r="H1361" t="s">
        <v>3812</v>
      </c>
      <c r="I1361" t="b">
        <v>1</v>
      </c>
      <c r="J1361">
        <v>240</v>
      </c>
      <c r="K1361">
        <v>2064</v>
      </c>
      <c r="L1361">
        <v>123</v>
      </c>
      <c r="M1361">
        <f>COUNTIF(H1361:$H$2581,H1361)</f>
        <v>10</v>
      </c>
    </row>
    <row r="1362" spans="1:13" x14ac:dyDescent="0.2">
      <c r="A1362">
        <v>1239</v>
      </c>
      <c r="B1362" t="s">
        <v>1461</v>
      </c>
      <c r="C1362" t="s">
        <v>5121</v>
      </c>
      <c r="D1362" t="s">
        <v>33</v>
      </c>
      <c r="E1362" t="s">
        <v>5122</v>
      </c>
      <c r="F1362" t="s">
        <v>1464</v>
      </c>
      <c r="G1362" t="s">
        <v>5123</v>
      </c>
      <c r="H1362" t="s">
        <v>3812</v>
      </c>
      <c r="I1362" t="b">
        <v>0</v>
      </c>
      <c r="J1362">
        <v>152</v>
      </c>
      <c r="K1362">
        <v>1240</v>
      </c>
      <c r="L1362">
        <v>421</v>
      </c>
      <c r="M1362">
        <f>COUNTIF(H1362:$H$2581,H1362)</f>
        <v>9</v>
      </c>
    </row>
    <row r="1363" spans="1:13" x14ac:dyDescent="0.2">
      <c r="A1363">
        <v>602</v>
      </c>
      <c r="B1363" t="s">
        <v>1097</v>
      </c>
      <c r="C1363" t="s">
        <v>5155</v>
      </c>
      <c r="D1363" t="s">
        <v>13</v>
      </c>
      <c r="E1363" t="s">
        <v>5156</v>
      </c>
      <c r="F1363" t="s">
        <v>1100</v>
      </c>
      <c r="G1363" t="s">
        <v>5157</v>
      </c>
      <c r="H1363" t="s">
        <v>3812</v>
      </c>
      <c r="I1363" t="b">
        <v>0</v>
      </c>
      <c r="J1363">
        <v>90</v>
      </c>
      <c r="K1363">
        <v>603</v>
      </c>
      <c r="L1363">
        <v>103</v>
      </c>
      <c r="M1363">
        <f>COUNTIF(H1363:$H$2581,H1363)</f>
        <v>8</v>
      </c>
    </row>
    <row r="1364" spans="1:13" x14ac:dyDescent="0.2">
      <c r="A1364">
        <v>409</v>
      </c>
      <c r="B1364" t="s">
        <v>996</v>
      </c>
      <c r="C1364" t="s">
        <v>5182</v>
      </c>
      <c r="D1364" t="s">
        <v>33</v>
      </c>
      <c r="E1364" t="s">
        <v>5183</v>
      </c>
      <c r="F1364" t="s">
        <v>999</v>
      </c>
      <c r="G1364" t="s">
        <v>5184</v>
      </c>
      <c r="H1364" t="s">
        <v>3812</v>
      </c>
      <c r="I1364" t="b">
        <v>0</v>
      </c>
      <c r="J1364">
        <v>58</v>
      </c>
      <c r="K1364">
        <v>410</v>
      </c>
      <c r="L1364">
        <v>184</v>
      </c>
      <c r="M1364">
        <f>COUNTIF(H1364:$H$2581,H1364)</f>
        <v>7</v>
      </c>
    </row>
    <row r="1365" spans="1:13" x14ac:dyDescent="0.2">
      <c r="A1365">
        <v>1692</v>
      </c>
      <c r="B1365" t="s">
        <v>129</v>
      </c>
      <c r="C1365" t="s">
        <v>5211</v>
      </c>
      <c r="D1365" t="s">
        <v>54</v>
      </c>
      <c r="E1365" t="s">
        <v>5212</v>
      </c>
      <c r="F1365" t="s">
        <v>132</v>
      </c>
      <c r="G1365" t="s">
        <v>5213</v>
      </c>
      <c r="H1365" t="s">
        <v>3812</v>
      </c>
      <c r="I1365" t="b">
        <v>1</v>
      </c>
      <c r="J1365">
        <v>204</v>
      </c>
      <c r="K1365">
        <v>1693</v>
      </c>
      <c r="L1365">
        <v>425</v>
      </c>
      <c r="M1365">
        <f>COUNTIF(H1365:$H$2581,H1365)</f>
        <v>6</v>
      </c>
    </row>
    <row r="1366" spans="1:13" x14ac:dyDescent="0.2">
      <c r="A1366">
        <v>1148</v>
      </c>
      <c r="B1366" t="s">
        <v>957</v>
      </c>
      <c r="C1366" t="s">
        <v>5227</v>
      </c>
      <c r="D1366" t="s">
        <v>54</v>
      </c>
      <c r="E1366" t="s">
        <v>5228</v>
      </c>
      <c r="F1366" t="s">
        <v>960</v>
      </c>
      <c r="G1366" t="s">
        <v>5229</v>
      </c>
      <c r="H1366" t="s">
        <v>3812</v>
      </c>
      <c r="I1366" t="s">
        <v>24</v>
      </c>
      <c r="J1366">
        <v>140</v>
      </c>
      <c r="K1366">
        <v>1149</v>
      </c>
      <c r="L1366">
        <v>117</v>
      </c>
      <c r="M1366">
        <f>COUNTIF(H1366:$H$2581,H1366)</f>
        <v>5</v>
      </c>
    </row>
    <row r="1367" spans="1:13" x14ac:dyDescent="0.2">
      <c r="A1367">
        <v>2002</v>
      </c>
      <c r="B1367" t="s">
        <v>1009</v>
      </c>
      <c r="C1367" t="s">
        <v>5288</v>
      </c>
      <c r="D1367" t="s">
        <v>54</v>
      </c>
      <c r="E1367" t="s">
        <v>5289</v>
      </c>
      <c r="F1367" t="s">
        <v>1012</v>
      </c>
      <c r="G1367" t="s">
        <v>5290</v>
      </c>
      <c r="H1367" t="s">
        <v>3812</v>
      </c>
      <c r="I1367" t="s">
        <v>24</v>
      </c>
      <c r="J1367">
        <v>232</v>
      </c>
      <c r="K1367">
        <v>2003</v>
      </c>
      <c r="L1367">
        <v>35</v>
      </c>
      <c r="M1367">
        <f>COUNTIF(H1367:$H$2581,H1367)</f>
        <v>4</v>
      </c>
    </row>
    <row r="1368" spans="1:13" x14ac:dyDescent="0.2">
      <c r="A1368">
        <v>2436</v>
      </c>
      <c r="B1368" t="s">
        <v>1327</v>
      </c>
      <c r="C1368" t="s">
        <v>5412</v>
      </c>
      <c r="D1368" t="s">
        <v>54</v>
      </c>
      <c r="E1368" t="s">
        <v>5413</v>
      </c>
      <c r="F1368" t="s">
        <v>1330</v>
      </c>
      <c r="G1368" t="s">
        <v>5414</v>
      </c>
      <c r="H1368" t="s">
        <v>3812</v>
      </c>
      <c r="I1368" t="b">
        <v>0</v>
      </c>
      <c r="J1368">
        <v>283</v>
      </c>
      <c r="K1368">
        <v>2437</v>
      </c>
      <c r="L1368">
        <v>24</v>
      </c>
      <c r="M1368">
        <f>COUNTIF(H1368:$H$2581,H1368)</f>
        <v>3</v>
      </c>
    </row>
    <row r="1369" spans="1:13" x14ac:dyDescent="0.2">
      <c r="A1369">
        <v>2190</v>
      </c>
      <c r="B1369" t="s">
        <v>2870</v>
      </c>
      <c r="C1369" t="s">
        <v>5460</v>
      </c>
      <c r="D1369" t="s">
        <v>13</v>
      </c>
      <c r="E1369" t="s">
        <v>5461</v>
      </c>
      <c r="F1369" t="s">
        <v>2873</v>
      </c>
      <c r="G1369" t="s">
        <v>5462</v>
      </c>
      <c r="H1369" t="s">
        <v>3812</v>
      </c>
      <c r="I1369" t="s">
        <v>24</v>
      </c>
      <c r="J1369">
        <v>257</v>
      </c>
      <c r="K1369">
        <v>2191</v>
      </c>
      <c r="L1369">
        <v>12</v>
      </c>
      <c r="M1369">
        <f>COUNTIF(H1369:$H$2581,H1369)</f>
        <v>2</v>
      </c>
    </row>
    <row r="1370" spans="1:13" x14ac:dyDescent="0.2">
      <c r="A1370">
        <v>2310</v>
      </c>
      <c r="B1370" t="s">
        <v>703</v>
      </c>
      <c r="C1370" t="s">
        <v>5548</v>
      </c>
      <c r="D1370" t="s">
        <v>13</v>
      </c>
      <c r="E1370" t="s">
        <v>5549</v>
      </c>
      <c r="F1370" t="s">
        <v>706</v>
      </c>
      <c r="G1370" t="s">
        <v>5550</v>
      </c>
      <c r="H1370" t="s">
        <v>3812</v>
      </c>
      <c r="I1370" t="s">
        <v>24</v>
      </c>
      <c r="J1370">
        <v>271</v>
      </c>
      <c r="K1370">
        <v>2311</v>
      </c>
      <c r="L1370">
        <v>13</v>
      </c>
      <c r="M1370">
        <f>COUNTIF(H1370:$H$2581,H1370)</f>
        <v>1</v>
      </c>
    </row>
    <row r="1371" spans="1:13" x14ac:dyDescent="0.2">
      <c r="A1371">
        <v>2369</v>
      </c>
      <c r="B1371" t="s">
        <v>1816</v>
      </c>
      <c r="C1371" t="s">
        <v>5633</v>
      </c>
      <c r="D1371" t="s">
        <v>54</v>
      </c>
      <c r="E1371" t="s">
        <v>5634</v>
      </c>
      <c r="F1371" t="s">
        <v>1819</v>
      </c>
      <c r="G1371" t="s">
        <v>5635</v>
      </c>
      <c r="H1371" t="s">
        <v>3870</v>
      </c>
      <c r="I1371" t="s">
        <v>24</v>
      </c>
      <c r="J1371">
        <v>276</v>
      </c>
      <c r="K1371">
        <v>2370</v>
      </c>
      <c r="L1371">
        <v>50</v>
      </c>
      <c r="M1371">
        <f>COUNTIF(H1371:$H$2581,H1371)</f>
        <v>10</v>
      </c>
    </row>
    <row r="1372" spans="1:13" x14ac:dyDescent="0.2">
      <c r="A1372">
        <v>81</v>
      </c>
      <c r="B1372" t="s">
        <v>31</v>
      </c>
      <c r="C1372" t="s">
        <v>5656</v>
      </c>
      <c r="D1372" t="s">
        <v>54</v>
      </c>
      <c r="E1372" t="s">
        <v>5657</v>
      </c>
      <c r="F1372" t="s">
        <v>35</v>
      </c>
      <c r="G1372" t="s">
        <v>5658</v>
      </c>
      <c r="H1372" t="s">
        <v>3870</v>
      </c>
      <c r="I1372" t="b">
        <v>0</v>
      </c>
      <c r="J1372">
        <v>13</v>
      </c>
      <c r="K1372">
        <v>82</v>
      </c>
      <c r="L1372">
        <v>57</v>
      </c>
      <c r="M1372">
        <f>COUNTIF(H1372:$H$2581,H1372)</f>
        <v>9</v>
      </c>
    </row>
    <row r="1373" spans="1:13" x14ac:dyDescent="0.2">
      <c r="A1373">
        <v>2337</v>
      </c>
      <c r="B1373" t="s">
        <v>900</v>
      </c>
      <c r="C1373" t="s">
        <v>5817</v>
      </c>
      <c r="D1373" t="s">
        <v>33</v>
      </c>
      <c r="E1373" t="s">
        <v>5818</v>
      </c>
      <c r="F1373" t="s">
        <v>903</v>
      </c>
      <c r="G1373" t="s">
        <v>5819</v>
      </c>
      <c r="H1373" t="s">
        <v>3870</v>
      </c>
      <c r="I1373" t="b">
        <v>0</v>
      </c>
      <c r="J1373">
        <v>274</v>
      </c>
      <c r="K1373">
        <v>2338</v>
      </c>
      <c r="L1373">
        <v>25</v>
      </c>
      <c r="M1373">
        <f>COUNTIF(H1373:$H$2581,H1373)</f>
        <v>8</v>
      </c>
    </row>
    <row r="1374" spans="1:13" x14ac:dyDescent="0.2">
      <c r="A1374">
        <v>2184</v>
      </c>
      <c r="B1374" t="s">
        <v>1180</v>
      </c>
      <c r="C1374" t="s">
        <v>5976</v>
      </c>
      <c r="D1374" t="s">
        <v>13</v>
      </c>
      <c r="E1374" t="s">
        <v>5977</v>
      </c>
      <c r="F1374" t="s">
        <v>1183</v>
      </c>
      <c r="G1374" t="s">
        <v>5978</v>
      </c>
      <c r="H1374" t="s">
        <v>3870</v>
      </c>
      <c r="I1374" t="b">
        <v>1</v>
      </c>
      <c r="J1374">
        <v>256</v>
      </c>
      <c r="K1374">
        <v>2185</v>
      </c>
      <c r="L1374">
        <v>124</v>
      </c>
      <c r="M1374">
        <f>COUNTIF(H1374:$H$2581,H1374)</f>
        <v>7</v>
      </c>
    </row>
    <row r="1375" spans="1:13" x14ac:dyDescent="0.2">
      <c r="A1375">
        <v>1045</v>
      </c>
      <c r="B1375" t="s">
        <v>1456</v>
      </c>
      <c r="C1375" t="s">
        <v>6040</v>
      </c>
      <c r="D1375" t="s">
        <v>54</v>
      </c>
      <c r="E1375" t="s">
        <v>6041</v>
      </c>
      <c r="F1375" t="s">
        <v>1459</v>
      </c>
      <c r="G1375" t="s">
        <v>6042</v>
      </c>
      <c r="H1375" t="s">
        <v>3870</v>
      </c>
      <c r="I1375" t="s">
        <v>24</v>
      </c>
      <c r="J1375">
        <v>130</v>
      </c>
      <c r="K1375">
        <v>1046</v>
      </c>
      <c r="L1375">
        <v>199</v>
      </c>
      <c r="M1375">
        <f>COUNTIF(H1375:$H$2581,H1375)</f>
        <v>6</v>
      </c>
    </row>
    <row r="1376" spans="1:13" x14ac:dyDescent="0.2">
      <c r="A1376">
        <v>624</v>
      </c>
      <c r="B1376" t="s">
        <v>1491</v>
      </c>
      <c r="C1376" t="s">
        <v>6068</v>
      </c>
      <c r="D1376" t="s">
        <v>54</v>
      </c>
      <c r="E1376" t="s">
        <v>6069</v>
      </c>
      <c r="F1376" t="s">
        <v>1494</v>
      </c>
      <c r="G1376" t="s">
        <v>6070</v>
      </c>
      <c r="H1376" t="s">
        <v>3870</v>
      </c>
      <c r="I1376" t="b">
        <v>0</v>
      </c>
      <c r="J1376">
        <v>91</v>
      </c>
      <c r="K1376">
        <v>625</v>
      </c>
      <c r="L1376">
        <v>273</v>
      </c>
      <c r="M1376">
        <f>COUNTIF(H1376:$H$2581,H1376)</f>
        <v>5</v>
      </c>
    </row>
    <row r="1377" spans="1:13" x14ac:dyDescent="0.2">
      <c r="A1377">
        <v>1912</v>
      </c>
      <c r="B1377" t="s">
        <v>4687</v>
      </c>
      <c r="C1377" t="s">
        <v>6182</v>
      </c>
      <c r="D1377" t="s">
        <v>54</v>
      </c>
      <c r="E1377" t="s">
        <v>6183</v>
      </c>
      <c r="F1377" t="s">
        <v>4690</v>
      </c>
      <c r="G1377" t="s">
        <v>6184</v>
      </c>
      <c r="H1377" t="s">
        <v>3870</v>
      </c>
      <c r="I1377" t="s">
        <v>24</v>
      </c>
      <c r="J1377">
        <v>223</v>
      </c>
      <c r="K1377">
        <v>1913</v>
      </c>
      <c r="L1377">
        <v>167</v>
      </c>
      <c r="M1377">
        <f>COUNTIF(H1377:$H$2581,H1377)</f>
        <v>4</v>
      </c>
    </row>
    <row r="1378" spans="1:13" x14ac:dyDescent="0.2">
      <c r="A1378">
        <v>2159</v>
      </c>
      <c r="B1378" t="s">
        <v>3623</v>
      </c>
      <c r="C1378" t="s">
        <v>6272</v>
      </c>
      <c r="D1378" t="s">
        <v>13</v>
      </c>
      <c r="E1378" t="s">
        <v>6322</v>
      </c>
      <c r="F1378" t="s">
        <v>3626</v>
      </c>
      <c r="G1378" t="s">
        <v>6274</v>
      </c>
      <c r="H1378" t="s">
        <v>3870</v>
      </c>
      <c r="I1378" t="s">
        <v>24</v>
      </c>
      <c r="J1378">
        <v>252</v>
      </c>
      <c r="K1378">
        <v>2160</v>
      </c>
      <c r="L1378">
        <v>9</v>
      </c>
      <c r="M1378">
        <f>COUNTIF(H1378:$H$2581,H1378)</f>
        <v>3</v>
      </c>
    </row>
    <row r="1379" spans="1:13" x14ac:dyDescent="0.2">
      <c r="A1379">
        <v>472</v>
      </c>
      <c r="B1379" t="s">
        <v>928</v>
      </c>
      <c r="C1379" t="s">
        <v>6365</v>
      </c>
      <c r="D1379" t="s">
        <v>33</v>
      </c>
      <c r="E1379" t="s">
        <v>6366</v>
      </c>
      <c r="F1379" t="s">
        <v>931</v>
      </c>
      <c r="G1379" t="s">
        <v>6367</v>
      </c>
      <c r="H1379" t="s">
        <v>3870</v>
      </c>
      <c r="I1379" t="b">
        <v>0</v>
      </c>
      <c r="J1379">
        <v>67</v>
      </c>
      <c r="K1379">
        <v>473</v>
      </c>
      <c r="L1379">
        <v>213</v>
      </c>
      <c r="M1379">
        <f>COUNTIF(H1379:$H$2581,H1379)</f>
        <v>2</v>
      </c>
    </row>
    <row r="1380" spans="1:13" x14ac:dyDescent="0.2">
      <c r="A1380">
        <v>2235</v>
      </c>
      <c r="B1380" t="s">
        <v>165</v>
      </c>
      <c r="C1380" t="s">
        <v>6429</v>
      </c>
      <c r="D1380" t="s">
        <v>33</v>
      </c>
      <c r="E1380" t="s">
        <v>6430</v>
      </c>
      <c r="F1380" t="s">
        <v>168</v>
      </c>
      <c r="G1380" t="s">
        <v>6431</v>
      </c>
      <c r="H1380" t="s">
        <v>3870</v>
      </c>
      <c r="I1380" t="s">
        <v>24</v>
      </c>
      <c r="J1380">
        <v>261</v>
      </c>
      <c r="K1380">
        <v>2236</v>
      </c>
      <c r="L1380">
        <v>161</v>
      </c>
      <c r="M1380">
        <f>COUNTIF(H1380:$H$2581,H1380)</f>
        <v>1</v>
      </c>
    </row>
    <row r="1381" spans="1:13" x14ac:dyDescent="0.2">
      <c r="A1381">
        <v>526</v>
      </c>
      <c r="B1381" t="s">
        <v>881</v>
      </c>
      <c r="C1381" t="s">
        <v>6452</v>
      </c>
      <c r="D1381" t="s">
        <v>33</v>
      </c>
      <c r="E1381" t="s">
        <v>6453</v>
      </c>
      <c r="F1381" t="s">
        <v>884</v>
      </c>
      <c r="G1381" t="s">
        <v>6454</v>
      </c>
      <c r="H1381" t="s">
        <v>3920</v>
      </c>
      <c r="I1381" t="s">
        <v>24</v>
      </c>
      <c r="J1381">
        <v>77</v>
      </c>
      <c r="K1381">
        <v>527</v>
      </c>
      <c r="L1381">
        <v>234</v>
      </c>
      <c r="M1381">
        <f>COUNTIF(H1381:$H$2581,H1381)</f>
        <v>1</v>
      </c>
    </row>
    <row r="1382" spans="1:13" x14ac:dyDescent="0.2">
      <c r="A1382">
        <v>2279</v>
      </c>
      <c r="B1382" t="s">
        <v>11</v>
      </c>
      <c r="C1382" t="s">
        <v>6657</v>
      </c>
      <c r="D1382" t="s">
        <v>13</v>
      </c>
      <c r="E1382" t="s">
        <v>6658</v>
      </c>
      <c r="F1382" t="s">
        <v>15</v>
      </c>
      <c r="G1382" t="s">
        <v>6659</v>
      </c>
      <c r="H1382" t="s">
        <v>3927</v>
      </c>
      <c r="I1382" t="b">
        <v>0</v>
      </c>
      <c r="J1382">
        <v>267</v>
      </c>
      <c r="K1382">
        <v>2280</v>
      </c>
      <c r="L1382">
        <v>7</v>
      </c>
      <c r="M1382">
        <f>COUNTIF(H1382:$H$2581,H1382)</f>
        <v>4</v>
      </c>
    </row>
    <row r="1383" spans="1:13" x14ac:dyDescent="0.2">
      <c r="A1383">
        <v>1526</v>
      </c>
      <c r="B1383" t="s">
        <v>1209</v>
      </c>
      <c r="C1383" t="s">
        <v>6712</v>
      </c>
      <c r="D1383" t="s">
        <v>13</v>
      </c>
      <c r="E1383" t="s">
        <v>6713</v>
      </c>
      <c r="F1383" t="s">
        <v>1212</v>
      </c>
      <c r="G1383" t="s">
        <v>6714</v>
      </c>
      <c r="H1383" t="s">
        <v>3927</v>
      </c>
      <c r="I1383" t="b">
        <v>0</v>
      </c>
      <c r="J1383">
        <v>185</v>
      </c>
      <c r="K1383">
        <v>1527</v>
      </c>
      <c r="L1383">
        <v>162</v>
      </c>
      <c r="M1383">
        <f>COUNTIF(H1383:$H$2581,H1383)</f>
        <v>3</v>
      </c>
    </row>
    <row r="1384" spans="1:13" x14ac:dyDescent="0.2">
      <c r="A1384">
        <v>2292</v>
      </c>
      <c r="B1384" t="s">
        <v>1070</v>
      </c>
      <c r="C1384" t="s">
        <v>6801</v>
      </c>
      <c r="D1384" t="s">
        <v>13</v>
      </c>
      <c r="E1384" t="s">
        <v>6802</v>
      </c>
      <c r="F1384" t="s">
        <v>1073</v>
      </c>
      <c r="G1384" t="s">
        <v>6803</v>
      </c>
      <c r="H1384" t="s">
        <v>3927</v>
      </c>
      <c r="I1384" t="b">
        <v>1</v>
      </c>
      <c r="J1384">
        <v>268</v>
      </c>
      <c r="K1384">
        <v>2293</v>
      </c>
      <c r="L1384">
        <v>106</v>
      </c>
      <c r="M1384">
        <f>COUNTIF(H1384:$H$2581,H1384)</f>
        <v>2</v>
      </c>
    </row>
    <row r="1385" spans="1:13" x14ac:dyDescent="0.2">
      <c r="A1385">
        <v>2168</v>
      </c>
      <c r="B1385" t="s">
        <v>471</v>
      </c>
      <c r="C1385" t="s">
        <v>4702</v>
      </c>
      <c r="D1385" t="s">
        <v>13</v>
      </c>
      <c r="E1385" t="s">
        <v>6904</v>
      </c>
      <c r="F1385" t="s">
        <v>474</v>
      </c>
      <c r="G1385" t="s">
        <v>6905</v>
      </c>
      <c r="H1385" t="s">
        <v>3927</v>
      </c>
      <c r="I1385" t="s">
        <v>24</v>
      </c>
      <c r="J1385">
        <v>253</v>
      </c>
      <c r="K1385">
        <v>2169</v>
      </c>
      <c r="L1385">
        <v>125</v>
      </c>
      <c r="M1385">
        <f>COUNTIF(H1385:$H$2581,H1385)</f>
        <v>1</v>
      </c>
    </row>
    <row r="1386" spans="1:13" x14ac:dyDescent="0.2">
      <c r="A1386">
        <v>904</v>
      </c>
      <c r="B1386" t="s">
        <v>198</v>
      </c>
      <c r="C1386" t="s">
        <v>6942</v>
      </c>
      <c r="D1386" t="s">
        <v>54</v>
      </c>
      <c r="E1386" t="s">
        <v>6943</v>
      </c>
      <c r="F1386" t="s">
        <v>201</v>
      </c>
      <c r="G1386" t="s">
        <v>6944</v>
      </c>
      <c r="H1386" t="s">
        <v>3951</v>
      </c>
      <c r="I1386" t="b">
        <v>0</v>
      </c>
      <c r="J1386">
        <v>120</v>
      </c>
      <c r="K1386">
        <v>905</v>
      </c>
      <c r="L1386">
        <v>126</v>
      </c>
      <c r="M1386">
        <f>COUNTIF(H1386:$H$2581,H1386)</f>
        <v>12</v>
      </c>
    </row>
    <row r="1387" spans="1:13" x14ac:dyDescent="0.2">
      <c r="A1387">
        <v>1371</v>
      </c>
      <c r="B1387" t="s">
        <v>603</v>
      </c>
      <c r="C1387" t="s">
        <v>6998</v>
      </c>
      <c r="D1387" t="s">
        <v>33</v>
      </c>
      <c r="E1387" t="s">
        <v>6999</v>
      </c>
      <c r="F1387" t="s">
        <v>606</v>
      </c>
      <c r="G1387" t="s">
        <v>7000</v>
      </c>
      <c r="H1387" t="s">
        <v>3951</v>
      </c>
      <c r="I1387" t="s">
        <v>24</v>
      </c>
      <c r="J1387">
        <v>166</v>
      </c>
      <c r="K1387">
        <v>1372</v>
      </c>
      <c r="L1387">
        <v>107</v>
      </c>
      <c r="M1387">
        <f>COUNTIF(H1387:$H$2581,H1387)</f>
        <v>11</v>
      </c>
    </row>
    <row r="1388" spans="1:13" x14ac:dyDescent="0.2">
      <c r="A1388">
        <v>2413</v>
      </c>
      <c r="B1388" t="s">
        <v>793</v>
      </c>
      <c r="C1388" t="s">
        <v>7115</v>
      </c>
      <c r="D1388" t="s">
        <v>13</v>
      </c>
      <c r="E1388" t="s">
        <v>7116</v>
      </c>
      <c r="F1388" t="s">
        <v>796</v>
      </c>
      <c r="G1388" t="s">
        <v>7117</v>
      </c>
      <c r="H1388" t="s">
        <v>3951</v>
      </c>
      <c r="I1388" t="s">
        <v>24</v>
      </c>
      <c r="J1388">
        <v>282</v>
      </c>
      <c r="K1388">
        <v>2414</v>
      </c>
      <c r="L1388">
        <v>14</v>
      </c>
      <c r="M1388">
        <f>COUNTIF(H1388:$H$2581,H1388)</f>
        <v>10</v>
      </c>
    </row>
    <row r="1389" spans="1:13" x14ac:dyDescent="0.2">
      <c r="A1389">
        <v>1502</v>
      </c>
      <c r="B1389" t="s">
        <v>807</v>
      </c>
      <c r="C1389" t="s">
        <v>7162</v>
      </c>
      <c r="D1389" t="s">
        <v>54</v>
      </c>
      <c r="E1389" t="s">
        <v>7163</v>
      </c>
      <c r="F1389" t="s">
        <v>810</v>
      </c>
      <c r="G1389" t="s">
        <v>7164</v>
      </c>
      <c r="H1389" t="s">
        <v>3951</v>
      </c>
      <c r="I1389" t="b">
        <v>1</v>
      </c>
      <c r="J1389">
        <v>182</v>
      </c>
      <c r="K1389">
        <v>1503</v>
      </c>
      <c r="L1389">
        <v>281</v>
      </c>
      <c r="M1389">
        <f>COUNTIF(H1389:$H$2581,H1389)</f>
        <v>9</v>
      </c>
    </row>
    <row r="1390" spans="1:13" x14ac:dyDescent="0.2">
      <c r="A1390">
        <v>2343</v>
      </c>
      <c r="B1390" t="s">
        <v>900</v>
      </c>
      <c r="C1390" t="s">
        <v>7209</v>
      </c>
      <c r="D1390" t="s">
        <v>54</v>
      </c>
      <c r="E1390" t="s">
        <v>7210</v>
      </c>
      <c r="F1390" t="s">
        <v>903</v>
      </c>
      <c r="G1390" t="s">
        <v>7211</v>
      </c>
      <c r="H1390" t="s">
        <v>3951</v>
      </c>
      <c r="I1390" t="b">
        <v>0</v>
      </c>
      <c r="J1390">
        <v>274</v>
      </c>
      <c r="K1390">
        <v>2344</v>
      </c>
      <c r="L1390">
        <v>362</v>
      </c>
      <c r="M1390">
        <f>COUNTIF(H1390:$H$2581,H1390)</f>
        <v>8</v>
      </c>
    </row>
    <row r="1391" spans="1:13" x14ac:dyDescent="0.2">
      <c r="A1391">
        <v>697</v>
      </c>
      <c r="B1391" t="s">
        <v>1131</v>
      </c>
      <c r="C1391" t="s">
        <v>7253</v>
      </c>
      <c r="D1391" t="s">
        <v>13</v>
      </c>
      <c r="E1391" t="s">
        <v>7254</v>
      </c>
      <c r="F1391" s="1" t="s">
        <v>1134</v>
      </c>
      <c r="G1391" t="s">
        <v>7255</v>
      </c>
      <c r="H1391" t="s">
        <v>3951</v>
      </c>
      <c r="I1391" t="b">
        <v>0</v>
      </c>
      <c r="J1391">
        <v>102</v>
      </c>
      <c r="K1391">
        <v>698</v>
      </c>
      <c r="L1391">
        <v>108</v>
      </c>
      <c r="M1391">
        <f>COUNTIF(H1391:$H$2581,H1391)</f>
        <v>7</v>
      </c>
    </row>
    <row r="1392" spans="1:13" x14ac:dyDescent="0.2">
      <c r="A1392">
        <v>981</v>
      </c>
      <c r="B1392" t="s">
        <v>203</v>
      </c>
      <c r="C1392" t="s">
        <v>7299</v>
      </c>
      <c r="D1392" t="s">
        <v>13</v>
      </c>
      <c r="E1392" t="s">
        <v>7300</v>
      </c>
      <c r="F1392" t="s">
        <v>206</v>
      </c>
      <c r="G1392" t="s">
        <v>7301</v>
      </c>
      <c r="H1392" t="s">
        <v>3951</v>
      </c>
      <c r="I1392" t="b">
        <v>1</v>
      </c>
      <c r="J1392">
        <v>123</v>
      </c>
      <c r="K1392">
        <v>982</v>
      </c>
      <c r="L1392">
        <v>341</v>
      </c>
      <c r="M1392">
        <f>COUNTIF(H1392:$H$2581,H1392)</f>
        <v>6</v>
      </c>
    </row>
    <row r="1393" spans="1:13" x14ac:dyDescent="0.2">
      <c r="A1393">
        <v>1888</v>
      </c>
      <c r="B1393" t="s">
        <v>619</v>
      </c>
      <c r="C1393" t="s">
        <v>7392</v>
      </c>
      <c r="D1393" t="s">
        <v>54</v>
      </c>
      <c r="E1393" t="s">
        <v>7393</v>
      </c>
      <c r="F1393" t="s">
        <v>622</v>
      </c>
      <c r="G1393" t="s">
        <v>7394</v>
      </c>
      <c r="H1393" t="s">
        <v>3951</v>
      </c>
      <c r="I1393" t="b">
        <v>1</v>
      </c>
      <c r="J1393">
        <v>219</v>
      </c>
      <c r="K1393">
        <v>1889</v>
      </c>
      <c r="L1393">
        <v>250</v>
      </c>
      <c r="M1393">
        <f>COUNTIF(H1393:$H$2581,H1393)</f>
        <v>5</v>
      </c>
    </row>
    <row r="1394" spans="1:13" x14ac:dyDescent="0.2">
      <c r="A1394">
        <v>203</v>
      </c>
      <c r="B1394" t="s">
        <v>346</v>
      </c>
      <c r="C1394" t="s">
        <v>7463</v>
      </c>
      <c r="D1394" t="s">
        <v>54</v>
      </c>
      <c r="E1394" t="s">
        <v>7464</v>
      </c>
      <c r="F1394" t="s">
        <v>349</v>
      </c>
      <c r="G1394" t="s">
        <v>7465</v>
      </c>
      <c r="H1394" t="s">
        <v>3951</v>
      </c>
      <c r="I1394" t="b">
        <v>0</v>
      </c>
      <c r="J1394">
        <v>36</v>
      </c>
      <c r="K1394">
        <v>204</v>
      </c>
      <c r="L1394">
        <v>53</v>
      </c>
      <c r="M1394">
        <f>COUNTIF(H1394:$H$2581,H1394)</f>
        <v>4</v>
      </c>
    </row>
    <row r="1395" spans="1:13" x14ac:dyDescent="0.2">
      <c r="A1395">
        <v>1655</v>
      </c>
      <c r="B1395" t="s">
        <v>3361</v>
      </c>
      <c r="C1395" t="s">
        <v>7494</v>
      </c>
      <c r="D1395" t="s">
        <v>13</v>
      </c>
      <c r="E1395" t="s">
        <v>7495</v>
      </c>
      <c r="F1395" t="s">
        <v>3364</v>
      </c>
      <c r="G1395" t="s">
        <v>7496</v>
      </c>
      <c r="H1395" t="s">
        <v>3951</v>
      </c>
      <c r="I1395" t="b">
        <v>0</v>
      </c>
      <c r="J1395">
        <v>198</v>
      </c>
      <c r="K1395">
        <v>1656</v>
      </c>
      <c r="L1395">
        <v>251</v>
      </c>
      <c r="M1395">
        <f>COUNTIF(H1395:$H$2581,H1395)</f>
        <v>3</v>
      </c>
    </row>
    <row r="1396" spans="1:13" x14ac:dyDescent="0.2">
      <c r="A1396">
        <v>1729</v>
      </c>
      <c r="B1396" t="s">
        <v>725</v>
      </c>
      <c r="C1396" t="s">
        <v>7531</v>
      </c>
      <c r="D1396" t="s">
        <v>54</v>
      </c>
      <c r="E1396" t="s">
        <v>7532</v>
      </c>
      <c r="F1396" t="s">
        <v>728</v>
      </c>
      <c r="G1396" t="s">
        <v>7533</v>
      </c>
      <c r="H1396" t="s">
        <v>3951</v>
      </c>
      <c r="I1396" t="b">
        <v>1</v>
      </c>
      <c r="J1396">
        <v>205</v>
      </c>
      <c r="K1396">
        <v>1730</v>
      </c>
      <c r="L1396">
        <v>26</v>
      </c>
      <c r="M1396">
        <f>COUNTIF(H1396:$H$2581,H1396)</f>
        <v>2</v>
      </c>
    </row>
    <row r="1397" spans="1:13" x14ac:dyDescent="0.2">
      <c r="A1397">
        <v>1423</v>
      </c>
      <c r="B1397" t="s">
        <v>3035</v>
      </c>
      <c r="C1397" t="s">
        <v>7573</v>
      </c>
      <c r="D1397" t="s">
        <v>54</v>
      </c>
      <c r="E1397" t="s">
        <v>7574</v>
      </c>
      <c r="F1397" t="s">
        <v>3038</v>
      </c>
      <c r="G1397" t="s">
        <v>7575</v>
      </c>
      <c r="H1397" t="s">
        <v>3951</v>
      </c>
      <c r="I1397" t="b">
        <v>0</v>
      </c>
      <c r="J1397">
        <v>170</v>
      </c>
      <c r="K1397">
        <v>1424</v>
      </c>
      <c r="L1397">
        <v>118</v>
      </c>
      <c r="M1397">
        <f>COUNTIF(H1397:$H$2581,H1397)</f>
        <v>1</v>
      </c>
    </row>
    <row r="1398" spans="1:13" x14ac:dyDescent="0.2">
      <c r="A1398">
        <v>788</v>
      </c>
      <c r="B1398" t="s">
        <v>373</v>
      </c>
      <c r="C1398" t="s">
        <v>7706</v>
      </c>
      <c r="D1398" t="s">
        <v>54</v>
      </c>
      <c r="E1398" t="s">
        <v>7707</v>
      </c>
      <c r="F1398" s="1" t="s">
        <v>376</v>
      </c>
      <c r="G1398" t="s">
        <v>7708</v>
      </c>
      <c r="H1398" t="s">
        <v>3991</v>
      </c>
      <c r="I1398" t="s">
        <v>24</v>
      </c>
      <c r="J1398">
        <v>111</v>
      </c>
      <c r="K1398">
        <v>789</v>
      </c>
      <c r="L1398">
        <v>54</v>
      </c>
      <c r="M1398">
        <f>COUNTIF(H1398:$H$2581,H1398)</f>
        <v>6</v>
      </c>
    </row>
    <row r="1399" spans="1:13" x14ac:dyDescent="0.2">
      <c r="A1399">
        <v>2384</v>
      </c>
      <c r="B1399" t="s">
        <v>812</v>
      </c>
      <c r="C1399" t="s">
        <v>7849</v>
      </c>
      <c r="D1399" t="s">
        <v>13</v>
      </c>
      <c r="E1399" t="s">
        <v>7850</v>
      </c>
      <c r="F1399" t="s">
        <v>815</v>
      </c>
      <c r="G1399" t="s">
        <v>7851</v>
      </c>
      <c r="H1399" t="s">
        <v>3991</v>
      </c>
      <c r="I1399" t="b">
        <v>1</v>
      </c>
      <c r="J1399">
        <v>277</v>
      </c>
      <c r="K1399">
        <v>2385</v>
      </c>
      <c r="L1399">
        <v>27</v>
      </c>
      <c r="M1399">
        <f>COUNTIF(H1399:$H$2581,H1399)</f>
        <v>5</v>
      </c>
    </row>
    <row r="1400" spans="1:13" x14ac:dyDescent="0.2">
      <c r="A1400">
        <v>675</v>
      </c>
      <c r="B1400" t="s">
        <v>822</v>
      </c>
      <c r="C1400" t="s">
        <v>7884</v>
      </c>
      <c r="D1400" t="s">
        <v>54</v>
      </c>
      <c r="E1400" t="s">
        <v>7885</v>
      </c>
      <c r="F1400" t="s">
        <v>825</v>
      </c>
      <c r="G1400" t="s">
        <v>7886</v>
      </c>
      <c r="H1400" t="s">
        <v>3991</v>
      </c>
      <c r="I1400" t="s">
        <v>24</v>
      </c>
      <c r="J1400">
        <v>99</v>
      </c>
      <c r="K1400">
        <v>676</v>
      </c>
      <c r="L1400">
        <v>28</v>
      </c>
      <c r="M1400">
        <f>COUNTIF(H1400:$H$2581,H1400)</f>
        <v>4</v>
      </c>
    </row>
    <row r="1401" spans="1:13" x14ac:dyDescent="0.2">
      <c r="A1401">
        <v>2100</v>
      </c>
      <c r="B1401" t="s">
        <v>255</v>
      </c>
      <c r="C1401" t="s">
        <v>7934</v>
      </c>
      <c r="D1401" t="s">
        <v>54</v>
      </c>
      <c r="E1401" t="s">
        <v>7935</v>
      </c>
      <c r="F1401" t="s">
        <v>258</v>
      </c>
      <c r="G1401" t="s">
        <v>7936</v>
      </c>
      <c r="H1401" t="s">
        <v>3991</v>
      </c>
      <c r="I1401" t="s">
        <v>24</v>
      </c>
      <c r="J1401">
        <v>242</v>
      </c>
      <c r="K1401">
        <v>2101</v>
      </c>
      <c r="L1401">
        <v>183</v>
      </c>
      <c r="M1401">
        <f>COUNTIF(H1401:$H$2581,H1401)</f>
        <v>3</v>
      </c>
    </row>
    <row r="1402" spans="1:13" x14ac:dyDescent="0.2">
      <c r="A1402">
        <v>1641</v>
      </c>
      <c r="B1402" t="s">
        <v>720</v>
      </c>
      <c r="C1402" t="s">
        <v>7986</v>
      </c>
      <c r="D1402" t="s">
        <v>33</v>
      </c>
      <c r="E1402" t="s">
        <v>7987</v>
      </c>
      <c r="F1402" t="s">
        <v>723</v>
      </c>
      <c r="G1402" t="s">
        <v>7988</v>
      </c>
      <c r="H1402" t="s">
        <v>3991</v>
      </c>
      <c r="I1402" t="b">
        <v>1</v>
      </c>
      <c r="J1402">
        <v>197</v>
      </c>
      <c r="K1402">
        <v>1642</v>
      </c>
      <c r="L1402">
        <v>284</v>
      </c>
      <c r="M1402">
        <f>COUNTIF(H1402:$H$2581,H1402)</f>
        <v>2</v>
      </c>
    </row>
    <row r="1403" spans="1:13" x14ac:dyDescent="0.2">
      <c r="A1403">
        <v>2373</v>
      </c>
      <c r="B1403" t="s">
        <v>1816</v>
      </c>
      <c r="C1403" t="s">
        <v>8057</v>
      </c>
      <c r="D1403" t="s">
        <v>54</v>
      </c>
      <c r="E1403" t="s">
        <v>8058</v>
      </c>
      <c r="F1403" t="s">
        <v>1819</v>
      </c>
      <c r="G1403" t="s">
        <v>8059</v>
      </c>
      <c r="H1403" t="s">
        <v>3991</v>
      </c>
      <c r="I1403" t="s">
        <v>24</v>
      </c>
      <c r="J1403">
        <v>276</v>
      </c>
      <c r="K1403">
        <v>2374</v>
      </c>
      <c r="L1403">
        <v>128</v>
      </c>
      <c r="M1403">
        <f>COUNTIF(H1403:$H$2581,H1403)</f>
        <v>1</v>
      </c>
    </row>
    <row r="1404" spans="1:13" x14ac:dyDescent="0.2">
      <c r="A1404">
        <v>1152</v>
      </c>
      <c r="B1404" t="s">
        <v>957</v>
      </c>
      <c r="C1404" t="s">
        <v>8084</v>
      </c>
      <c r="D1404" t="s">
        <v>13</v>
      </c>
      <c r="E1404" t="s">
        <v>8085</v>
      </c>
      <c r="F1404" t="s">
        <v>960</v>
      </c>
      <c r="G1404" t="s">
        <v>8086</v>
      </c>
      <c r="H1404" t="s">
        <v>4015</v>
      </c>
      <c r="I1404" t="s">
        <v>24</v>
      </c>
      <c r="J1404">
        <v>140</v>
      </c>
      <c r="K1404">
        <v>1153</v>
      </c>
      <c r="L1404">
        <v>129</v>
      </c>
      <c r="M1404">
        <f>COUNTIF(H1404:$H$2581,H1404)</f>
        <v>19</v>
      </c>
    </row>
    <row r="1405" spans="1:13" x14ac:dyDescent="0.2">
      <c r="A1405">
        <v>1579</v>
      </c>
      <c r="B1405" t="s">
        <v>744</v>
      </c>
      <c r="C1405" t="s">
        <v>8121</v>
      </c>
      <c r="D1405" t="s">
        <v>54</v>
      </c>
      <c r="E1405" t="s">
        <v>8122</v>
      </c>
      <c r="F1405" t="s">
        <v>747</v>
      </c>
      <c r="G1405" t="s">
        <v>8123</v>
      </c>
      <c r="H1405" t="s">
        <v>4015</v>
      </c>
      <c r="I1405" t="b">
        <v>0</v>
      </c>
      <c r="J1405">
        <v>193</v>
      </c>
      <c r="K1405">
        <v>1580</v>
      </c>
      <c r="L1405">
        <v>29</v>
      </c>
      <c r="M1405">
        <f>COUNTIF(H1405:$H$2581,H1405)</f>
        <v>18</v>
      </c>
    </row>
    <row r="1406" spans="1:13" x14ac:dyDescent="0.2">
      <c r="A1406">
        <v>2374</v>
      </c>
      <c r="B1406" t="s">
        <v>1816</v>
      </c>
      <c r="C1406" t="s">
        <v>8231</v>
      </c>
      <c r="D1406" t="s">
        <v>54</v>
      </c>
      <c r="E1406" t="s">
        <v>8232</v>
      </c>
      <c r="F1406" t="s">
        <v>1819</v>
      </c>
      <c r="G1406" t="s">
        <v>8233</v>
      </c>
      <c r="H1406" t="s">
        <v>4015</v>
      </c>
      <c r="I1406" t="s">
        <v>24</v>
      </c>
      <c r="J1406">
        <v>276</v>
      </c>
      <c r="K1406">
        <v>2375</v>
      </c>
      <c r="L1406">
        <v>30</v>
      </c>
      <c r="M1406">
        <f>COUNTIF(H1406:$H$2581,H1406)</f>
        <v>17</v>
      </c>
    </row>
    <row r="1407" spans="1:13" x14ac:dyDescent="0.2">
      <c r="A1407">
        <v>1444</v>
      </c>
      <c r="B1407" t="s">
        <v>763</v>
      </c>
      <c r="C1407" t="s">
        <v>8335</v>
      </c>
      <c r="D1407" t="s">
        <v>54</v>
      </c>
      <c r="E1407" t="s">
        <v>8336</v>
      </c>
      <c r="F1407" t="s">
        <v>766</v>
      </c>
      <c r="G1407" t="s">
        <v>8337</v>
      </c>
      <c r="H1407" t="s">
        <v>4015</v>
      </c>
      <c r="I1407" t="b">
        <v>1</v>
      </c>
      <c r="J1407">
        <v>174</v>
      </c>
      <c r="K1407">
        <v>1445</v>
      </c>
      <c r="L1407">
        <v>42</v>
      </c>
      <c r="M1407">
        <f>COUNTIF(H1407:$H$2581,H1407)</f>
        <v>16</v>
      </c>
    </row>
    <row r="1408" spans="1:13" x14ac:dyDescent="0.2">
      <c r="A1408">
        <v>761</v>
      </c>
      <c r="B1408" t="s">
        <v>1868</v>
      </c>
      <c r="C1408" t="s">
        <v>8354</v>
      </c>
      <c r="D1408" t="s">
        <v>13</v>
      </c>
      <c r="E1408" t="s">
        <v>8355</v>
      </c>
      <c r="F1408" t="s">
        <v>1871</v>
      </c>
      <c r="G1408" t="s">
        <v>8356</v>
      </c>
      <c r="H1408" t="s">
        <v>4015</v>
      </c>
      <c r="I1408" t="s">
        <v>24</v>
      </c>
      <c r="J1408">
        <v>107</v>
      </c>
      <c r="K1408">
        <v>762</v>
      </c>
      <c r="L1408">
        <v>307</v>
      </c>
      <c r="M1408">
        <f>COUNTIF(H1408:$H$2581,H1408)</f>
        <v>15</v>
      </c>
    </row>
    <row r="1409" spans="1:13" x14ac:dyDescent="0.2">
      <c r="A1409">
        <v>381</v>
      </c>
      <c r="B1409" t="s">
        <v>1659</v>
      </c>
      <c r="C1409" t="s">
        <v>8367</v>
      </c>
      <c r="D1409" t="s">
        <v>33</v>
      </c>
      <c r="E1409" t="s">
        <v>8368</v>
      </c>
      <c r="F1409" t="s">
        <v>1662</v>
      </c>
      <c r="G1409" t="s">
        <v>8369</v>
      </c>
      <c r="H1409" t="s">
        <v>4015</v>
      </c>
      <c r="I1409" t="b">
        <v>0</v>
      </c>
      <c r="J1409">
        <v>52</v>
      </c>
      <c r="K1409">
        <v>382</v>
      </c>
      <c r="L1409">
        <v>171</v>
      </c>
      <c r="M1409">
        <f>COUNTIF(H1409:$H$2581,H1409)</f>
        <v>14</v>
      </c>
    </row>
    <row r="1410" spans="1:13" x14ac:dyDescent="0.2">
      <c r="A1410">
        <v>1230</v>
      </c>
      <c r="B1410" t="s">
        <v>4996</v>
      </c>
      <c r="C1410" t="s">
        <v>8384</v>
      </c>
      <c r="D1410" t="s">
        <v>33</v>
      </c>
      <c r="E1410" t="s">
        <v>8385</v>
      </c>
      <c r="F1410" t="s">
        <v>4999</v>
      </c>
      <c r="G1410" t="s">
        <v>8386</v>
      </c>
      <c r="H1410" t="s">
        <v>4015</v>
      </c>
      <c r="I1410" t="b">
        <v>0</v>
      </c>
      <c r="J1410">
        <v>151</v>
      </c>
      <c r="K1410">
        <v>1231</v>
      </c>
      <c r="L1410">
        <v>214</v>
      </c>
      <c r="M1410">
        <f>COUNTIF(H1410:$H$2581,H1410)</f>
        <v>13</v>
      </c>
    </row>
    <row r="1411" spans="1:13" x14ac:dyDescent="0.2">
      <c r="A1411">
        <v>885</v>
      </c>
      <c r="B1411" t="s">
        <v>1192</v>
      </c>
      <c r="C1411" t="s">
        <v>8420</v>
      </c>
      <c r="D1411" t="s">
        <v>54</v>
      </c>
      <c r="E1411" t="s">
        <v>8421</v>
      </c>
      <c r="F1411" t="s">
        <v>1195</v>
      </c>
      <c r="G1411" t="s">
        <v>8422</v>
      </c>
      <c r="H1411" t="s">
        <v>4015</v>
      </c>
      <c r="I1411" t="s">
        <v>24</v>
      </c>
      <c r="J1411">
        <v>119</v>
      </c>
      <c r="K1411">
        <v>886</v>
      </c>
      <c r="L1411">
        <v>130</v>
      </c>
      <c r="M1411">
        <f>COUNTIF(H1411:$H$2581,H1411)</f>
        <v>12</v>
      </c>
    </row>
    <row r="1412" spans="1:13" x14ac:dyDescent="0.2">
      <c r="A1412">
        <v>1813</v>
      </c>
      <c r="B1412" t="s">
        <v>1287</v>
      </c>
      <c r="C1412" t="s">
        <v>8476</v>
      </c>
      <c r="D1412" t="s">
        <v>13</v>
      </c>
      <c r="E1412" t="s">
        <v>8477</v>
      </c>
      <c r="F1412" t="s">
        <v>1290</v>
      </c>
      <c r="G1412" t="s">
        <v>8478</v>
      </c>
      <c r="H1412" t="s">
        <v>4015</v>
      </c>
      <c r="I1412" t="s">
        <v>24</v>
      </c>
      <c r="J1412">
        <v>210</v>
      </c>
      <c r="K1412">
        <v>1814</v>
      </c>
      <c r="L1412">
        <v>147</v>
      </c>
      <c r="M1412">
        <f>COUNTIF(H1412:$H$2581,H1412)</f>
        <v>11</v>
      </c>
    </row>
    <row r="1413" spans="1:13" x14ac:dyDescent="0.2">
      <c r="A1413">
        <v>205</v>
      </c>
      <c r="B1413" t="s">
        <v>346</v>
      </c>
      <c r="C1413" t="s">
        <v>8508</v>
      </c>
      <c r="D1413" t="s">
        <v>54</v>
      </c>
      <c r="E1413" t="s">
        <v>8509</v>
      </c>
      <c r="F1413" t="s">
        <v>349</v>
      </c>
      <c r="G1413" t="s">
        <v>8510</v>
      </c>
      <c r="H1413" t="s">
        <v>4015</v>
      </c>
      <c r="I1413" t="b">
        <v>0</v>
      </c>
      <c r="J1413">
        <v>36</v>
      </c>
      <c r="K1413">
        <v>206</v>
      </c>
      <c r="L1413">
        <v>58</v>
      </c>
      <c r="M1413">
        <f>COUNTIF(H1413:$H$2581,H1413)</f>
        <v>10</v>
      </c>
    </row>
    <row r="1414" spans="1:13" x14ac:dyDescent="0.2">
      <c r="A1414">
        <v>911</v>
      </c>
      <c r="B1414" t="s">
        <v>198</v>
      </c>
      <c r="C1414" t="s">
        <v>8534</v>
      </c>
      <c r="D1414" t="s">
        <v>33</v>
      </c>
      <c r="E1414" t="s">
        <v>8535</v>
      </c>
      <c r="F1414" t="s">
        <v>201</v>
      </c>
      <c r="G1414" t="s">
        <v>8536</v>
      </c>
      <c r="H1414" t="s">
        <v>4015</v>
      </c>
      <c r="I1414" t="b">
        <v>0</v>
      </c>
      <c r="J1414">
        <v>120</v>
      </c>
      <c r="K1414">
        <v>912</v>
      </c>
      <c r="L1414">
        <v>110</v>
      </c>
      <c r="M1414">
        <f>COUNTIF(H1414:$H$2581,H1414)</f>
        <v>9</v>
      </c>
    </row>
    <row r="1415" spans="1:13" x14ac:dyDescent="0.2">
      <c r="A1415">
        <v>2451</v>
      </c>
      <c r="B1415" t="s">
        <v>1327</v>
      </c>
      <c r="C1415" t="s">
        <v>8603</v>
      </c>
      <c r="D1415" t="s">
        <v>13</v>
      </c>
      <c r="E1415" t="s">
        <v>8604</v>
      </c>
      <c r="F1415" t="s">
        <v>1330</v>
      </c>
      <c r="G1415" t="s">
        <v>8605</v>
      </c>
      <c r="H1415" t="s">
        <v>4015</v>
      </c>
      <c r="I1415" t="b">
        <v>0</v>
      </c>
      <c r="J1415">
        <v>283</v>
      </c>
      <c r="K1415">
        <v>2452</v>
      </c>
      <c r="L1415">
        <v>56</v>
      </c>
      <c r="M1415">
        <f>COUNTIF(H1415:$H$2581,H1415)</f>
        <v>8</v>
      </c>
    </row>
    <row r="1416" spans="1:13" x14ac:dyDescent="0.2">
      <c r="A1416">
        <v>542</v>
      </c>
      <c r="B1416" t="s">
        <v>188</v>
      </c>
      <c r="C1416" t="s">
        <v>8625</v>
      </c>
      <c r="D1416" t="s">
        <v>54</v>
      </c>
      <c r="E1416" t="s">
        <v>8626</v>
      </c>
      <c r="F1416" t="s">
        <v>191</v>
      </c>
      <c r="G1416" t="s">
        <v>8627</v>
      </c>
      <c r="H1416" t="s">
        <v>4015</v>
      </c>
      <c r="I1416" t="b">
        <v>0</v>
      </c>
      <c r="J1416">
        <v>80</v>
      </c>
      <c r="K1416">
        <v>543</v>
      </c>
      <c r="L1416">
        <v>242</v>
      </c>
      <c r="M1416">
        <f>COUNTIF(H1416:$H$2581,H1416)</f>
        <v>7</v>
      </c>
    </row>
    <row r="1417" spans="1:13" x14ac:dyDescent="0.2">
      <c r="A1417">
        <v>2543</v>
      </c>
      <c r="B1417" t="s">
        <v>754</v>
      </c>
      <c r="C1417" t="s">
        <v>8796</v>
      </c>
      <c r="D1417" t="s">
        <v>33</v>
      </c>
      <c r="E1417" t="s">
        <v>8797</v>
      </c>
      <c r="F1417" t="s">
        <v>757</v>
      </c>
      <c r="G1417" t="s">
        <v>8798</v>
      </c>
      <c r="H1417" t="s">
        <v>4015</v>
      </c>
      <c r="I1417" t="b">
        <v>0</v>
      </c>
      <c r="J1417">
        <v>294</v>
      </c>
      <c r="K1417">
        <v>2544</v>
      </c>
      <c r="L1417">
        <v>31</v>
      </c>
      <c r="M1417">
        <f>COUNTIF(H1417:$H$2581,H1417)</f>
        <v>6</v>
      </c>
    </row>
    <row r="1418" spans="1:13" x14ac:dyDescent="0.2">
      <c r="A1418">
        <v>1674</v>
      </c>
      <c r="B1418" t="s">
        <v>1059</v>
      </c>
      <c r="C1418" t="s">
        <v>8826</v>
      </c>
      <c r="D1418" t="s">
        <v>13</v>
      </c>
      <c r="E1418" t="s">
        <v>8827</v>
      </c>
      <c r="F1418" t="s">
        <v>1062</v>
      </c>
      <c r="G1418" t="s">
        <v>8828</v>
      </c>
      <c r="H1418" t="s">
        <v>4015</v>
      </c>
      <c r="I1418" t="b">
        <v>1</v>
      </c>
      <c r="J1418">
        <v>201</v>
      </c>
      <c r="K1418">
        <v>1675</v>
      </c>
      <c r="L1418">
        <v>254</v>
      </c>
      <c r="M1418">
        <f>COUNTIF(H1418:$H$2581,H1418)</f>
        <v>5</v>
      </c>
    </row>
    <row r="1419" spans="1:13" x14ac:dyDescent="0.2">
      <c r="A1419">
        <v>683</v>
      </c>
      <c r="B1419" t="s">
        <v>886</v>
      </c>
      <c r="C1419" t="s">
        <v>8947</v>
      </c>
      <c r="D1419" t="s">
        <v>13</v>
      </c>
      <c r="E1419" t="s">
        <v>8948</v>
      </c>
      <c r="F1419" t="s">
        <v>889</v>
      </c>
      <c r="G1419" t="s">
        <v>8949</v>
      </c>
      <c r="H1419" t="s">
        <v>4015</v>
      </c>
      <c r="I1419" t="s">
        <v>24</v>
      </c>
      <c r="J1419">
        <v>100</v>
      </c>
      <c r="K1419">
        <v>684</v>
      </c>
      <c r="L1419">
        <v>268</v>
      </c>
      <c r="M1419">
        <f>COUNTIF(H1419:$H$2581,H1419)</f>
        <v>4</v>
      </c>
    </row>
    <row r="1420" spans="1:13" x14ac:dyDescent="0.2">
      <c r="A1420">
        <v>98</v>
      </c>
      <c r="B1420" t="s">
        <v>37</v>
      </c>
      <c r="C1420" t="s">
        <v>38</v>
      </c>
      <c r="D1420" t="s">
        <v>33</v>
      </c>
      <c r="E1420" t="s">
        <v>39</v>
      </c>
      <c r="F1420" t="s">
        <v>40</v>
      </c>
      <c r="G1420" t="s">
        <v>41</v>
      </c>
      <c r="H1420" t="s">
        <v>4015</v>
      </c>
      <c r="I1420" t="b">
        <v>0</v>
      </c>
      <c r="J1420">
        <v>15</v>
      </c>
      <c r="K1420">
        <v>99</v>
      </c>
      <c r="L1420">
        <v>45</v>
      </c>
      <c r="M1420">
        <f>COUNTIF(H1420:$H$2581,H1420)</f>
        <v>3</v>
      </c>
    </row>
    <row r="1421" spans="1:13" x14ac:dyDescent="0.2">
      <c r="A1421">
        <v>848</v>
      </c>
      <c r="B1421" t="s">
        <v>193</v>
      </c>
      <c r="C1421" t="s">
        <v>194</v>
      </c>
      <c r="D1421" t="s">
        <v>54</v>
      </c>
      <c r="E1421" t="s">
        <v>195</v>
      </c>
      <c r="F1421" t="s">
        <v>196</v>
      </c>
      <c r="G1421" t="s">
        <v>197</v>
      </c>
      <c r="H1421" t="s">
        <v>4015</v>
      </c>
      <c r="I1421" t="s">
        <v>24</v>
      </c>
      <c r="J1421">
        <v>117</v>
      </c>
      <c r="K1421">
        <v>849</v>
      </c>
      <c r="L1421">
        <v>217</v>
      </c>
      <c r="M1421">
        <f>COUNTIF(H1421:$H$2581,H1421)</f>
        <v>2</v>
      </c>
    </row>
    <row r="1422" spans="1:13" x14ac:dyDescent="0.2">
      <c r="A1422">
        <v>1538</v>
      </c>
      <c r="B1422" t="s">
        <v>282</v>
      </c>
      <c r="C1422" t="s">
        <v>283</v>
      </c>
      <c r="D1422" t="s">
        <v>33</v>
      </c>
      <c r="E1422" t="s">
        <v>284</v>
      </c>
      <c r="F1422" t="s">
        <v>285</v>
      </c>
      <c r="G1422" t="s">
        <v>286</v>
      </c>
      <c r="H1422" t="s">
        <v>4015</v>
      </c>
      <c r="I1422" t="b">
        <v>0</v>
      </c>
      <c r="J1422">
        <v>188</v>
      </c>
      <c r="K1422">
        <v>1539</v>
      </c>
      <c r="L1422">
        <v>343</v>
      </c>
      <c r="M1422">
        <f>COUNTIF(H1422:$H$2581,H1422)</f>
        <v>1</v>
      </c>
    </row>
    <row r="1423" spans="1:13" x14ac:dyDescent="0.2">
      <c r="A1423">
        <v>79</v>
      </c>
      <c r="B1423" t="s">
        <v>31</v>
      </c>
      <c r="C1423" t="s">
        <v>308</v>
      </c>
      <c r="D1423" t="s">
        <v>54</v>
      </c>
      <c r="E1423" t="s">
        <v>309</v>
      </c>
      <c r="F1423" t="s">
        <v>35</v>
      </c>
      <c r="G1423" t="s">
        <v>310</v>
      </c>
      <c r="H1423" t="s">
        <v>4104</v>
      </c>
      <c r="I1423" t="b">
        <v>0</v>
      </c>
      <c r="J1423">
        <v>13</v>
      </c>
      <c r="K1423">
        <v>80</v>
      </c>
      <c r="L1423">
        <v>1</v>
      </c>
      <c r="M1423">
        <f>COUNTIF(H1423:$H$2581,H1423)</f>
        <v>1</v>
      </c>
    </row>
    <row r="1424" spans="1:13" x14ac:dyDescent="0.2">
      <c r="A1424">
        <v>2147</v>
      </c>
      <c r="B1424" t="s">
        <v>157</v>
      </c>
      <c r="C1424" t="s">
        <v>408</v>
      </c>
      <c r="D1424" t="s">
        <v>13</v>
      </c>
      <c r="E1424" t="s">
        <v>409</v>
      </c>
      <c r="F1424" t="s">
        <v>159</v>
      </c>
      <c r="G1424" t="s">
        <v>410</v>
      </c>
      <c r="H1424" t="s">
        <v>4111</v>
      </c>
      <c r="I1424" t="s">
        <v>24</v>
      </c>
      <c r="J1424">
        <v>250</v>
      </c>
      <c r="K1424">
        <v>2148</v>
      </c>
      <c r="L1424">
        <v>189</v>
      </c>
      <c r="M1424">
        <f>COUNTIF(H1424:$H$2581,H1424)</f>
        <v>3</v>
      </c>
    </row>
    <row r="1425" spans="1:13" x14ac:dyDescent="0.2">
      <c r="A1425">
        <v>1164</v>
      </c>
      <c r="B1425" t="s">
        <v>429</v>
      </c>
      <c r="C1425" t="s">
        <v>430</v>
      </c>
      <c r="D1425" t="s">
        <v>54</v>
      </c>
      <c r="E1425" t="s">
        <v>431</v>
      </c>
      <c r="F1425" t="s">
        <v>432</v>
      </c>
      <c r="G1425" t="s">
        <v>433</v>
      </c>
      <c r="H1425" t="s">
        <v>4111</v>
      </c>
      <c r="I1425" t="b">
        <v>0</v>
      </c>
      <c r="J1425">
        <v>143</v>
      </c>
      <c r="K1425">
        <v>1165</v>
      </c>
      <c r="L1425">
        <v>90</v>
      </c>
      <c r="M1425">
        <f>COUNTIF(H1425:$H$2581,H1425)</f>
        <v>2</v>
      </c>
    </row>
    <row r="1426" spans="1:13" x14ac:dyDescent="0.2">
      <c r="A1426">
        <v>1534</v>
      </c>
      <c r="B1426" t="s">
        <v>466</v>
      </c>
      <c r="C1426" t="s">
        <v>467</v>
      </c>
      <c r="D1426" t="s">
        <v>54</v>
      </c>
      <c r="E1426" t="s">
        <v>468</v>
      </c>
      <c r="F1426" t="s">
        <v>469</v>
      </c>
      <c r="G1426" t="s">
        <v>470</v>
      </c>
      <c r="H1426" t="s">
        <v>4111</v>
      </c>
      <c r="I1426" t="s">
        <v>24</v>
      </c>
      <c r="J1426">
        <v>187</v>
      </c>
      <c r="K1426">
        <v>1535</v>
      </c>
      <c r="L1426">
        <v>155</v>
      </c>
      <c r="M1426">
        <f>COUNTIF(H1426:$H$2581,H1426)</f>
        <v>1</v>
      </c>
    </row>
    <row r="1427" spans="1:13" x14ac:dyDescent="0.2">
      <c r="A1427">
        <v>99</v>
      </c>
      <c r="B1427" t="s">
        <v>535</v>
      </c>
      <c r="C1427" t="s">
        <v>536</v>
      </c>
      <c r="D1427" t="s">
        <v>54</v>
      </c>
      <c r="E1427" t="s">
        <v>537</v>
      </c>
      <c r="F1427" t="s">
        <v>538</v>
      </c>
      <c r="G1427" t="s">
        <v>539</v>
      </c>
      <c r="H1427" t="s">
        <v>4128</v>
      </c>
      <c r="I1427" t="s">
        <v>24</v>
      </c>
      <c r="J1427">
        <v>16</v>
      </c>
      <c r="K1427">
        <v>100</v>
      </c>
      <c r="L1427">
        <v>46</v>
      </c>
      <c r="M1427">
        <f>COUNTIF(H1427:$H$2581,H1427)</f>
        <v>2</v>
      </c>
    </row>
    <row r="1428" spans="1:13" x14ac:dyDescent="0.2">
      <c r="A1428">
        <v>943</v>
      </c>
      <c r="B1428" t="s">
        <v>203</v>
      </c>
      <c r="C1428" t="s">
        <v>600</v>
      </c>
      <c r="D1428" t="s">
        <v>13</v>
      </c>
      <c r="E1428" t="s">
        <v>601</v>
      </c>
      <c r="F1428" t="s">
        <v>206</v>
      </c>
      <c r="G1428" t="s">
        <v>602</v>
      </c>
      <c r="H1428" t="s">
        <v>4128</v>
      </c>
      <c r="I1428" t="b">
        <v>1</v>
      </c>
      <c r="J1428">
        <v>123</v>
      </c>
      <c r="K1428">
        <v>944</v>
      </c>
      <c r="L1428">
        <v>321</v>
      </c>
      <c r="M1428">
        <f>COUNTIF(H1428:$H$2581,H1428)</f>
        <v>1</v>
      </c>
    </row>
    <row r="1429" spans="1:13" x14ac:dyDescent="0.2">
      <c r="A1429">
        <v>1119</v>
      </c>
      <c r="B1429" t="s">
        <v>625</v>
      </c>
      <c r="C1429" t="s">
        <v>626</v>
      </c>
      <c r="D1429" t="s">
        <v>13</v>
      </c>
      <c r="E1429" t="s">
        <v>627</v>
      </c>
      <c r="F1429" t="s">
        <v>628</v>
      </c>
      <c r="G1429" t="s">
        <v>629</v>
      </c>
      <c r="H1429" t="s">
        <v>4137</v>
      </c>
      <c r="I1429" t="b">
        <v>1</v>
      </c>
      <c r="J1429">
        <v>136</v>
      </c>
      <c r="K1429">
        <v>1120</v>
      </c>
      <c r="L1429">
        <v>383</v>
      </c>
      <c r="M1429">
        <f>COUNTIF(H1429:$H$2581,H1429)</f>
        <v>2</v>
      </c>
    </row>
    <row r="1430" spans="1:13" x14ac:dyDescent="0.2">
      <c r="A1430">
        <v>1539</v>
      </c>
      <c r="B1430" t="s">
        <v>282</v>
      </c>
      <c r="C1430" t="s">
        <v>690</v>
      </c>
      <c r="D1430" t="s">
        <v>33</v>
      </c>
      <c r="E1430" t="s">
        <v>691</v>
      </c>
      <c r="F1430" t="s">
        <v>285</v>
      </c>
      <c r="G1430" t="s">
        <v>692</v>
      </c>
      <c r="H1430" t="s">
        <v>4137</v>
      </c>
      <c r="I1430" t="b">
        <v>0</v>
      </c>
      <c r="J1430">
        <v>188</v>
      </c>
      <c r="K1430">
        <v>1540</v>
      </c>
      <c r="L1430">
        <v>190</v>
      </c>
      <c r="M1430">
        <f>COUNTIF(H1430:$H$2581,H1430)</f>
        <v>1</v>
      </c>
    </row>
    <row r="1431" spans="1:13" x14ac:dyDescent="0.2">
      <c r="A1431">
        <v>1527</v>
      </c>
      <c r="B1431" t="s">
        <v>715</v>
      </c>
      <c r="C1431" t="s">
        <v>716</v>
      </c>
      <c r="D1431" t="s">
        <v>13</v>
      </c>
      <c r="E1431" t="s">
        <v>717</v>
      </c>
      <c r="F1431" t="s">
        <v>718</v>
      </c>
      <c r="G1431" t="s">
        <v>719</v>
      </c>
      <c r="H1431" t="s">
        <v>4150</v>
      </c>
      <c r="I1431" t="s">
        <v>24</v>
      </c>
      <c r="J1431">
        <v>186</v>
      </c>
      <c r="K1431">
        <v>1528</v>
      </c>
      <c r="L1431">
        <v>430</v>
      </c>
      <c r="M1431">
        <f>COUNTIF(H1431:$H$2581,H1431)</f>
        <v>3</v>
      </c>
    </row>
    <row r="1432" spans="1:13" x14ac:dyDescent="0.2">
      <c r="A1432">
        <v>1570</v>
      </c>
      <c r="B1432" t="s">
        <v>744</v>
      </c>
      <c r="C1432" t="s">
        <v>745</v>
      </c>
      <c r="D1432" t="s">
        <v>13</v>
      </c>
      <c r="E1432" t="s">
        <v>746</v>
      </c>
      <c r="F1432" t="s">
        <v>747</v>
      </c>
      <c r="G1432" t="s">
        <v>748</v>
      </c>
      <c r="H1432" t="s">
        <v>4150</v>
      </c>
      <c r="I1432" t="b">
        <v>0</v>
      </c>
      <c r="J1432">
        <v>193</v>
      </c>
      <c r="K1432">
        <v>1571</v>
      </c>
      <c r="L1432">
        <v>293</v>
      </c>
      <c r="M1432">
        <f>COUNTIF(H1432:$H$2581,H1432)</f>
        <v>2</v>
      </c>
    </row>
    <row r="1433" spans="1:13" x14ac:dyDescent="0.2">
      <c r="A1433">
        <v>1347</v>
      </c>
      <c r="B1433" t="s">
        <v>864</v>
      </c>
      <c r="C1433" t="s">
        <v>865</v>
      </c>
      <c r="D1433" t="s">
        <v>13</v>
      </c>
      <c r="E1433" t="s">
        <v>866</v>
      </c>
      <c r="F1433" t="s">
        <v>867</v>
      </c>
      <c r="G1433" t="s">
        <v>868</v>
      </c>
      <c r="H1433" t="s">
        <v>4150</v>
      </c>
      <c r="I1433" t="b">
        <v>0</v>
      </c>
      <c r="J1433">
        <v>164</v>
      </c>
      <c r="K1433">
        <v>1348</v>
      </c>
      <c r="L1433">
        <v>428</v>
      </c>
      <c r="M1433">
        <f>COUNTIF(H1433:$H$2581,H1433)</f>
        <v>1</v>
      </c>
    </row>
    <row r="1434" spans="1:13" x14ac:dyDescent="0.2">
      <c r="A1434">
        <v>2218</v>
      </c>
      <c r="B1434" t="s">
        <v>165</v>
      </c>
      <c r="C1434" t="s">
        <v>897</v>
      </c>
      <c r="D1434" t="s">
        <v>13</v>
      </c>
      <c r="E1434" t="s">
        <v>898</v>
      </c>
      <c r="F1434" t="s">
        <v>168</v>
      </c>
      <c r="G1434" t="s">
        <v>899</v>
      </c>
      <c r="H1434" t="s">
        <v>4163</v>
      </c>
      <c r="I1434" t="s">
        <v>24</v>
      </c>
      <c r="J1434">
        <v>261</v>
      </c>
      <c r="K1434">
        <v>2219</v>
      </c>
      <c r="L1434">
        <v>156</v>
      </c>
      <c r="M1434">
        <f>COUNTIF(H1434:$H$2581,H1434)</f>
        <v>19</v>
      </c>
    </row>
    <row r="1435" spans="1:13" x14ac:dyDescent="0.2">
      <c r="A1435">
        <v>511</v>
      </c>
      <c r="B1435" t="s">
        <v>486</v>
      </c>
      <c r="C1435" t="s">
        <v>934</v>
      </c>
      <c r="D1435" t="s">
        <v>33</v>
      </c>
      <c r="E1435" t="s">
        <v>935</v>
      </c>
      <c r="F1435" t="s">
        <v>489</v>
      </c>
      <c r="G1435" t="s">
        <v>936</v>
      </c>
      <c r="H1435" t="s">
        <v>4163</v>
      </c>
      <c r="I1435" t="b">
        <v>0</v>
      </c>
      <c r="J1435">
        <v>74</v>
      </c>
      <c r="K1435">
        <v>512</v>
      </c>
      <c r="L1435">
        <v>227</v>
      </c>
      <c r="M1435">
        <f>COUNTIF(H1435:$H$2581,H1435)</f>
        <v>18</v>
      </c>
    </row>
    <row r="1436" spans="1:13" x14ac:dyDescent="0.2">
      <c r="A1436">
        <v>408</v>
      </c>
      <c r="B1436" t="s">
        <v>996</v>
      </c>
      <c r="C1436" t="s">
        <v>997</v>
      </c>
      <c r="D1436" t="s">
        <v>13</v>
      </c>
      <c r="E1436" t="s">
        <v>998</v>
      </c>
      <c r="F1436" t="s">
        <v>999</v>
      </c>
      <c r="G1436" t="s">
        <v>1000</v>
      </c>
      <c r="H1436" t="s">
        <v>4163</v>
      </c>
      <c r="I1436" t="b">
        <v>0</v>
      </c>
      <c r="J1436">
        <v>58</v>
      </c>
      <c r="K1436">
        <v>409</v>
      </c>
      <c r="L1436">
        <v>181</v>
      </c>
      <c r="M1436">
        <f>COUNTIF(H1436:$H$2581,H1436)</f>
        <v>17</v>
      </c>
    </row>
    <row r="1437" spans="1:13" x14ac:dyDescent="0.2">
      <c r="A1437">
        <v>1139</v>
      </c>
      <c r="B1437" t="s">
        <v>938</v>
      </c>
      <c r="C1437" t="s">
        <v>1015</v>
      </c>
      <c r="D1437" t="s">
        <v>13</v>
      </c>
      <c r="E1437" t="s">
        <v>1016</v>
      </c>
      <c r="F1437" t="s">
        <v>941</v>
      </c>
      <c r="G1437" t="s">
        <v>1017</v>
      </c>
      <c r="H1437" t="s">
        <v>4163</v>
      </c>
      <c r="I1437" t="b">
        <v>0</v>
      </c>
      <c r="J1437">
        <v>139</v>
      </c>
      <c r="K1437">
        <v>1140</v>
      </c>
      <c r="L1437">
        <v>396</v>
      </c>
      <c r="M1437">
        <f>COUNTIF(H1437:$H$2581,H1437)</f>
        <v>16</v>
      </c>
    </row>
    <row r="1438" spans="1:13" x14ac:dyDescent="0.2">
      <c r="A1438">
        <v>2087</v>
      </c>
      <c r="B1438" t="s">
        <v>255</v>
      </c>
      <c r="C1438" t="s">
        <v>1064</v>
      </c>
      <c r="D1438" t="s">
        <v>13</v>
      </c>
      <c r="E1438" t="s">
        <v>1065</v>
      </c>
      <c r="F1438" t="s">
        <v>258</v>
      </c>
      <c r="G1438" t="s">
        <v>1066</v>
      </c>
      <c r="H1438" t="s">
        <v>4163</v>
      </c>
      <c r="I1438" t="s">
        <v>24</v>
      </c>
      <c r="J1438">
        <v>242</v>
      </c>
      <c r="K1438">
        <v>2088</v>
      </c>
      <c r="L1438">
        <v>203</v>
      </c>
      <c r="M1438">
        <f>COUNTIF(H1438:$H$2581,H1438)</f>
        <v>15</v>
      </c>
    </row>
    <row r="1439" spans="1:13" x14ac:dyDescent="0.2">
      <c r="A1439">
        <v>1121</v>
      </c>
      <c r="B1439" t="s">
        <v>625</v>
      </c>
      <c r="C1439" t="s">
        <v>1108</v>
      </c>
      <c r="D1439" t="s">
        <v>13</v>
      </c>
      <c r="E1439" t="s">
        <v>1109</v>
      </c>
      <c r="F1439" t="s">
        <v>628</v>
      </c>
      <c r="G1439" t="s">
        <v>1110</v>
      </c>
      <c r="H1439" t="s">
        <v>4163</v>
      </c>
      <c r="I1439" t="b">
        <v>1</v>
      </c>
      <c r="J1439">
        <v>136</v>
      </c>
      <c r="K1439">
        <v>1122</v>
      </c>
      <c r="L1439">
        <v>385</v>
      </c>
      <c r="M1439">
        <f>COUNTIF(H1439:$H$2581,H1439)</f>
        <v>14</v>
      </c>
    </row>
    <row r="1440" spans="1:13" x14ac:dyDescent="0.2">
      <c r="A1440">
        <v>216</v>
      </c>
      <c r="B1440" t="s">
        <v>1120</v>
      </c>
      <c r="C1440" t="s">
        <v>1121</v>
      </c>
      <c r="D1440" t="s">
        <v>33</v>
      </c>
      <c r="E1440" t="s">
        <v>1122</v>
      </c>
      <c r="F1440" s="1" t="s">
        <v>1123</v>
      </c>
      <c r="G1440" t="s">
        <v>1124</v>
      </c>
      <c r="H1440" t="s">
        <v>4163</v>
      </c>
      <c r="I1440" t="b">
        <v>0</v>
      </c>
      <c r="J1440">
        <v>40</v>
      </c>
      <c r="K1440">
        <v>217</v>
      </c>
      <c r="L1440">
        <v>95</v>
      </c>
      <c r="M1440">
        <f>COUNTIF(H1440:$H$2581,H1440)</f>
        <v>13</v>
      </c>
    </row>
    <row r="1441" spans="1:13" x14ac:dyDescent="0.2">
      <c r="A1441">
        <v>1836</v>
      </c>
      <c r="B1441" t="s">
        <v>1198</v>
      </c>
      <c r="C1441" t="s">
        <v>1199</v>
      </c>
      <c r="D1441" t="s">
        <v>54</v>
      </c>
      <c r="E1441" t="s">
        <v>1200</v>
      </c>
      <c r="F1441" t="s">
        <v>1201</v>
      </c>
      <c r="G1441" t="s">
        <v>1202</v>
      </c>
      <c r="H1441" t="s">
        <v>4163</v>
      </c>
      <c r="I1441" t="s">
        <v>24</v>
      </c>
      <c r="J1441">
        <v>214</v>
      </c>
      <c r="K1441">
        <v>1837</v>
      </c>
      <c r="L1441">
        <v>335</v>
      </c>
      <c r="M1441">
        <f>COUNTIF(H1441:$H$2581,H1441)</f>
        <v>12</v>
      </c>
    </row>
    <row r="1442" spans="1:13" x14ac:dyDescent="0.2">
      <c r="A1442">
        <v>146</v>
      </c>
      <c r="B1442" t="s">
        <v>63</v>
      </c>
      <c r="C1442" t="s">
        <v>1230</v>
      </c>
      <c r="D1442" t="s">
        <v>54</v>
      </c>
      <c r="E1442" s="1" t="s">
        <v>1231</v>
      </c>
      <c r="F1442" t="s">
        <v>66</v>
      </c>
      <c r="G1442" t="s">
        <v>1232</v>
      </c>
      <c r="H1442" t="s">
        <v>4163</v>
      </c>
      <c r="I1442" t="s">
        <v>24</v>
      </c>
      <c r="J1442">
        <v>27</v>
      </c>
      <c r="K1442">
        <v>147</v>
      </c>
      <c r="L1442">
        <v>79</v>
      </c>
      <c r="M1442">
        <f>COUNTIF(H1442:$H$2581,H1442)</f>
        <v>11</v>
      </c>
    </row>
    <row r="1443" spans="1:13" x14ac:dyDescent="0.2">
      <c r="A1443">
        <v>2415</v>
      </c>
      <c r="B1443" t="s">
        <v>1327</v>
      </c>
      <c r="C1443" t="s">
        <v>1328</v>
      </c>
      <c r="D1443" t="s">
        <v>54</v>
      </c>
      <c r="E1443" t="s">
        <v>1329</v>
      </c>
      <c r="F1443" t="s">
        <v>1330</v>
      </c>
      <c r="G1443" t="s">
        <v>1331</v>
      </c>
      <c r="H1443" t="s">
        <v>4163</v>
      </c>
      <c r="I1443" t="b">
        <v>0</v>
      </c>
      <c r="J1443">
        <v>283</v>
      </c>
      <c r="K1443">
        <v>2416</v>
      </c>
      <c r="L1443">
        <v>157</v>
      </c>
      <c r="M1443">
        <f>COUNTIF(H1443:$H$2581,H1443)</f>
        <v>10</v>
      </c>
    </row>
    <row r="1444" spans="1:13" x14ac:dyDescent="0.2">
      <c r="A1444">
        <v>547</v>
      </c>
      <c r="B1444" t="s">
        <v>103</v>
      </c>
      <c r="C1444" t="s">
        <v>1344</v>
      </c>
      <c r="D1444" t="s">
        <v>54</v>
      </c>
      <c r="E1444" t="s">
        <v>1348</v>
      </c>
      <c r="F1444" t="s">
        <v>105</v>
      </c>
      <c r="G1444" t="s">
        <v>1346</v>
      </c>
      <c r="H1444" t="s">
        <v>4163</v>
      </c>
      <c r="I1444" t="b">
        <v>0</v>
      </c>
      <c r="J1444">
        <v>81</v>
      </c>
      <c r="K1444">
        <v>548</v>
      </c>
      <c r="L1444">
        <v>68</v>
      </c>
      <c r="M1444">
        <f>COUNTIF(H1444:$H$2581,H1444)</f>
        <v>9</v>
      </c>
    </row>
    <row r="1445" spans="1:13" x14ac:dyDescent="0.2">
      <c r="A1445">
        <v>2220</v>
      </c>
      <c r="B1445" t="s">
        <v>165</v>
      </c>
      <c r="C1445" t="s">
        <v>1388</v>
      </c>
      <c r="D1445" t="s">
        <v>33</v>
      </c>
      <c r="E1445" t="s">
        <v>1389</v>
      </c>
      <c r="F1445" t="s">
        <v>168</v>
      </c>
      <c r="G1445" t="s">
        <v>1390</v>
      </c>
      <c r="H1445" t="s">
        <v>4163</v>
      </c>
      <c r="I1445" t="s">
        <v>24</v>
      </c>
      <c r="J1445">
        <v>261</v>
      </c>
      <c r="K1445">
        <v>2221</v>
      </c>
      <c r="L1445">
        <v>37</v>
      </c>
      <c r="M1445">
        <f>COUNTIF(H1445:$H$2581,H1445)</f>
        <v>8</v>
      </c>
    </row>
    <row r="1446" spans="1:13" x14ac:dyDescent="0.2">
      <c r="A1446">
        <v>1743</v>
      </c>
      <c r="B1446" t="s">
        <v>1403</v>
      </c>
      <c r="C1446" t="s">
        <v>1404</v>
      </c>
      <c r="D1446" t="s">
        <v>13</v>
      </c>
      <c r="E1446" t="s">
        <v>1405</v>
      </c>
      <c r="F1446" t="s">
        <v>1406</v>
      </c>
      <c r="G1446" t="s">
        <v>1407</v>
      </c>
      <c r="H1446" t="s">
        <v>4163</v>
      </c>
      <c r="I1446" t="b">
        <v>1</v>
      </c>
      <c r="J1446">
        <v>207</v>
      </c>
      <c r="K1446">
        <v>1744</v>
      </c>
      <c r="L1446">
        <v>470</v>
      </c>
      <c r="M1446">
        <f>COUNTIF(H1446:$H$2581,H1446)</f>
        <v>7</v>
      </c>
    </row>
    <row r="1447" spans="1:13" x14ac:dyDescent="0.2">
      <c r="A1447">
        <v>1231</v>
      </c>
      <c r="B1447" t="s">
        <v>1461</v>
      </c>
      <c r="C1447" t="s">
        <v>1462</v>
      </c>
      <c r="D1447" t="s">
        <v>54</v>
      </c>
      <c r="E1447" t="s">
        <v>1463</v>
      </c>
      <c r="F1447" t="s">
        <v>1464</v>
      </c>
      <c r="G1447" t="s">
        <v>1465</v>
      </c>
      <c r="H1447" t="s">
        <v>4163</v>
      </c>
      <c r="I1447" t="b">
        <v>0</v>
      </c>
      <c r="J1447">
        <v>152</v>
      </c>
      <c r="K1447">
        <v>1232</v>
      </c>
      <c r="L1447">
        <v>299</v>
      </c>
      <c r="M1447">
        <f>COUNTIF(H1447:$H$2581,H1447)</f>
        <v>6</v>
      </c>
    </row>
    <row r="1448" spans="1:13" x14ac:dyDescent="0.2">
      <c r="A1448">
        <v>252</v>
      </c>
      <c r="B1448" t="s">
        <v>1503</v>
      </c>
      <c r="C1448" t="s">
        <v>1504</v>
      </c>
      <c r="D1448" t="s">
        <v>33</v>
      </c>
      <c r="E1448" t="s">
        <v>1505</v>
      </c>
      <c r="F1448" t="s">
        <v>1506</v>
      </c>
      <c r="G1448" t="s">
        <v>1507</v>
      </c>
      <c r="H1448" t="s">
        <v>4163</v>
      </c>
      <c r="I1448" t="b">
        <v>0</v>
      </c>
      <c r="J1448">
        <v>42</v>
      </c>
      <c r="K1448">
        <v>253</v>
      </c>
      <c r="L1448">
        <v>112</v>
      </c>
      <c r="M1448">
        <f>COUNTIF(H1448:$H$2581,H1448)</f>
        <v>5</v>
      </c>
    </row>
    <row r="1449" spans="1:13" x14ac:dyDescent="0.2">
      <c r="A1449">
        <v>2380</v>
      </c>
      <c r="B1449" t="s">
        <v>812</v>
      </c>
      <c r="C1449" t="s">
        <v>1553</v>
      </c>
      <c r="D1449" t="s">
        <v>13</v>
      </c>
      <c r="E1449" t="s">
        <v>1554</v>
      </c>
      <c r="F1449" t="s">
        <v>815</v>
      </c>
      <c r="G1449" t="s">
        <v>1555</v>
      </c>
      <c r="H1449" t="s">
        <v>4163</v>
      </c>
      <c r="I1449" t="b">
        <v>1</v>
      </c>
      <c r="J1449">
        <v>277</v>
      </c>
      <c r="K1449">
        <v>2381</v>
      </c>
      <c r="L1449">
        <v>377</v>
      </c>
      <c r="M1449">
        <f>COUNTIF(H1449:$H$2581,H1449)</f>
        <v>4</v>
      </c>
    </row>
    <row r="1450" spans="1:13" x14ac:dyDescent="0.2">
      <c r="A1450">
        <v>1792</v>
      </c>
      <c r="B1450" t="s">
        <v>1287</v>
      </c>
      <c r="C1450" t="s">
        <v>1586</v>
      </c>
      <c r="D1450" t="s">
        <v>33</v>
      </c>
      <c r="E1450" t="s">
        <v>1587</v>
      </c>
      <c r="F1450" t="s">
        <v>1290</v>
      </c>
      <c r="G1450" t="s">
        <v>1588</v>
      </c>
      <c r="H1450" t="s">
        <v>4163</v>
      </c>
      <c r="I1450" t="s">
        <v>24</v>
      </c>
      <c r="J1450">
        <v>210</v>
      </c>
      <c r="K1450">
        <v>1793</v>
      </c>
      <c r="L1450">
        <v>408</v>
      </c>
      <c r="M1450">
        <f>COUNTIF(H1450:$H$2581,H1450)</f>
        <v>3</v>
      </c>
    </row>
    <row r="1451" spans="1:13" x14ac:dyDescent="0.2">
      <c r="A1451">
        <v>1976</v>
      </c>
      <c r="B1451" t="s">
        <v>1621</v>
      </c>
      <c r="C1451" t="s">
        <v>1622</v>
      </c>
      <c r="D1451" t="s">
        <v>13</v>
      </c>
      <c r="E1451" t="s">
        <v>1623</v>
      </c>
      <c r="F1451" t="s">
        <v>1624</v>
      </c>
      <c r="G1451" t="s">
        <v>1625</v>
      </c>
      <c r="H1451" t="s">
        <v>4163</v>
      </c>
      <c r="I1451" t="s">
        <v>24</v>
      </c>
      <c r="J1451">
        <v>228</v>
      </c>
      <c r="K1451">
        <v>1977</v>
      </c>
      <c r="L1451">
        <v>97</v>
      </c>
      <c r="M1451">
        <f>COUNTIF(H1451:$H$2581,H1451)</f>
        <v>2</v>
      </c>
    </row>
    <row r="1452" spans="1:13" x14ac:dyDescent="0.2">
      <c r="A1452">
        <v>140</v>
      </c>
      <c r="B1452" t="s">
        <v>648</v>
      </c>
      <c r="C1452" t="s">
        <v>1717</v>
      </c>
      <c r="D1452" t="s">
        <v>54</v>
      </c>
      <c r="E1452" t="s">
        <v>1718</v>
      </c>
      <c r="F1452" t="s">
        <v>651</v>
      </c>
      <c r="G1452" t="s">
        <v>1719</v>
      </c>
      <c r="H1452" t="s">
        <v>4163</v>
      </c>
      <c r="I1452" t="b">
        <v>0</v>
      </c>
      <c r="J1452">
        <v>25</v>
      </c>
      <c r="K1452">
        <v>141</v>
      </c>
      <c r="L1452">
        <v>77</v>
      </c>
      <c r="M1452">
        <f>COUNTIF(H1452:$H$2581,H1452)</f>
        <v>1</v>
      </c>
    </row>
    <row r="1453" spans="1:13" x14ac:dyDescent="0.2">
      <c r="A1453">
        <v>2323</v>
      </c>
      <c r="B1453" t="s">
        <v>900</v>
      </c>
      <c r="C1453" t="s">
        <v>1813</v>
      </c>
      <c r="D1453" t="s">
        <v>54</v>
      </c>
      <c r="E1453" t="s">
        <v>1814</v>
      </c>
      <c r="F1453" t="s">
        <v>903</v>
      </c>
      <c r="G1453" t="s">
        <v>1815</v>
      </c>
      <c r="H1453" t="s">
        <v>4223</v>
      </c>
      <c r="I1453" t="b">
        <v>0</v>
      </c>
      <c r="J1453">
        <v>274</v>
      </c>
      <c r="K1453">
        <v>2324</v>
      </c>
      <c r="L1453">
        <v>84</v>
      </c>
      <c r="M1453">
        <f>COUNTIF(H1453:$H$2581,H1453)</f>
        <v>1</v>
      </c>
    </row>
    <row r="1454" spans="1:13" x14ac:dyDescent="0.2">
      <c r="A1454">
        <v>2504</v>
      </c>
      <c r="B1454" t="s">
        <v>481</v>
      </c>
      <c r="C1454" t="s">
        <v>1998</v>
      </c>
      <c r="D1454" t="s">
        <v>13</v>
      </c>
      <c r="E1454" t="s">
        <v>1999</v>
      </c>
      <c r="F1454" t="s">
        <v>484</v>
      </c>
      <c r="G1454" t="s">
        <v>2000</v>
      </c>
      <c r="H1454" t="s">
        <v>4234</v>
      </c>
      <c r="I1454" t="s">
        <v>24</v>
      </c>
      <c r="J1454">
        <v>291</v>
      </c>
      <c r="K1454">
        <v>2505</v>
      </c>
      <c r="L1454">
        <v>10</v>
      </c>
      <c r="M1454">
        <f>COUNTIF(H1454:$H$2581,H1454)</f>
        <v>133</v>
      </c>
    </row>
    <row r="1455" spans="1:13" x14ac:dyDescent="0.2">
      <c r="A1455">
        <v>594</v>
      </c>
      <c r="B1455" t="s">
        <v>1097</v>
      </c>
      <c r="C1455" t="s">
        <v>2016</v>
      </c>
      <c r="D1455" t="s">
        <v>54</v>
      </c>
      <c r="E1455" t="s">
        <v>2017</v>
      </c>
      <c r="F1455" t="s">
        <v>1100</v>
      </c>
      <c r="G1455" t="s">
        <v>2018</v>
      </c>
      <c r="H1455" t="s">
        <v>4234</v>
      </c>
      <c r="I1455" t="b">
        <v>0</v>
      </c>
      <c r="J1455">
        <v>90</v>
      </c>
      <c r="K1455">
        <v>595</v>
      </c>
      <c r="L1455">
        <v>98</v>
      </c>
      <c r="M1455">
        <f>COUNTIF(H1455:$H$2581,H1455)</f>
        <v>132</v>
      </c>
    </row>
    <row r="1456" spans="1:13" x14ac:dyDescent="0.2">
      <c r="A1456">
        <v>385</v>
      </c>
      <c r="B1456" t="s">
        <v>2124</v>
      </c>
      <c r="C1456" t="s">
        <v>2125</v>
      </c>
      <c r="D1456" t="s">
        <v>13</v>
      </c>
      <c r="E1456" t="s">
        <v>2126</v>
      </c>
      <c r="F1456" t="s">
        <v>2127</v>
      </c>
      <c r="G1456" t="s">
        <v>2128</v>
      </c>
      <c r="H1456" t="s">
        <v>4234</v>
      </c>
      <c r="I1456" t="b">
        <v>0</v>
      </c>
      <c r="J1456">
        <v>54</v>
      </c>
      <c r="K1456">
        <v>386</v>
      </c>
      <c r="L1456">
        <v>43</v>
      </c>
      <c r="M1456">
        <f>COUNTIF(H1456:$H$2581,H1456)</f>
        <v>131</v>
      </c>
    </row>
    <row r="1457" spans="1:13" x14ac:dyDescent="0.2">
      <c r="A1457">
        <v>1585</v>
      </c>
      <c r="B1457" t="s">
        <v>211</v>
      </c>
      <c r="C1457" t="s">
        <v>2190</v>
      </c>
      <c r="D1457" t="s">
        <v>13</v>
      </c>
      <c r="E1457" t="s">
        <v>2191</v>
      </c>
      <c r="F1457" t="s">
        <v>214</v>
      </c>
      <c r="G1457" t="s">
        <v>2192</v>
      </c>
      <c r="H1457" t="s">
        <v>4234</v>
      </c>
      <c r="I1457" t="s">
        <v>24</v>
      </c>
      <c r="J1457">
        <v>195</v>
      </c>
      <c r="K1457">
        <v>1586</v>
      </c>
      <c r="L1457">
        <v>204</v>
      </c>
      <c r="M1457">
        <f>COUNTIF(H1457:$H$2581,H1457)</f>
        <v>130</v>
      </c>
    </row>
    <row r="1458" spans="1:13" x14ac:dyDescent="0.2">
      <c r="A1458">
        <v>39</v>
      </c>
      <c r="B1458" t="s">
        <v>2199</v>
      </c>
      <c r="C1458" t="s">
        <v>2200</v>
      </c>
      <c r="D1458" t="s">
        <v>54</v>
      </c>
      <c r="E1458" t="s">
        <v>2201</v>
      </c>
      <c r="F1458" t="s">
        <v>2202</v>
      </c>
      <c r="G1458" t="s">
        <v>2203</v>
      </c>
      <c r="H1458" t="s">
        <v>4234</v>
      </c>
      <c r="I1458" t="s">
        <v>24</v>
      </c>
      <c r="J1458">
        <v>7</v>
      </c>
      <c r="K1458">
        <v>40</v>
      </c>
      <c r="L1458">
        <v>32</v>
      </c>
      <c r="M1458">
        <f>COUNTIF(H1458:$H$2581,H1458)</f>
        <v>129</v>
      </c>
    </row>
    <row r="1459" spans="1:13" x14ac:dyDescent="0.2">
      <c r="A1459">
        <v>2388</v>
      </c>
      <c r="B1459" t="s">
        <v>221</v>
      </c>
      <c r="C1459" t="s">
        <v>2249</v>
      </c>
      <c r="D1459" t="s">
        <v>13</v>
      </c>
      <c r="E1459" t="s">
        <v>2250</v>
      </c>
      <c r="F1459" t="s">
        <v>224</v>
      </c>
      <c r="G1459" t="s">
        <v>2251</v>
      </c>
      <c r="H1459" t="s">
        <v>4234</v>
      </c>
      <c r="I1459" t="b">
        <v>1</v>
      </c>
      <c r="J1459">
        <v>278</v>
      </c>
      <c r="K1459">
        <v>2389</v>
      </c>
      <c r="L1459">
        <v>289</v>
      </c>
      <c r="M1459">
        <f>COUNTIF(H1459:$H$2581,H1459)</f>
        <v>128</v>
      </c>
    </row>
    <row r="1460" spans="1:13" x14ac:dyDescent="0.2">
      <c r="A1460">
        <v>2392</v>
      </c>
      <c r="B1460" t="s">
        <v>2316</v>
      </c>
      <c r="C1460" t="s">
        <v>2317</v>
      </c>
      <c r="D1460" t="s">
        <v>13</v>
      </c>
      <c r="E1460" t="s">
        <v>2318</v>
      </c>
      <c r="F1460" t="s">
        <v>2319</v>
      </c>
      <c r="G1460" t="s">
        <v>2320</v>
      </c>
      <c r="H1460" t="s">
        <v>4234</v>
      </c>
      <c r="I1460" t="b">
        <v>1</v>
      </c>
      <c r="J1460">
        <v>279</v>
      </c>
      <c r="K1460">
        <v>2393</v>
      </c>
      <c r="L1460">
        <v>120</v>
      </c>
      <c r="M1460">
        <f>COUNTIF(H1460:$H$2581,H1460)</f>
        <v>127</v>
      </c>
    </row>
    <row r="1461" spans="1:13" x14ac:dyDescent="0.2">
      <c r="A1461">
        <v>2325</v>
      </c>
      <c r="B1461" t="s">
        <v>900</v>
      </c>
      <c r="C1461" t="s">
        <v>2408</v>
      </c>
      <c r="D1461" t="s">
        <v>54</v>
      </c>
      <c r="E1461" t="s">
        <v>2409</v>
      </c>
      <c r="F1461" t="s">
        <v>903</v>
      </c>
      <c r="G1461" t="s">
        <v>2410</v>
      </c>
      <c r="H1461" t="s">
        <v>4234</v>
      </c>
      <c r="I1461" t="b">
        <v>0</v>
      </c>
      <c r="J1461">
        <v>274</v>
      </c>
      <c r="K1461">
        <v>2326</v>
      </c>
      <c r="L1461">
        <v>121</v>
      </c>
      <c r="M1461">
        <f>COUNTIF(H1461:$H$2581,H1461)</f>
        <v>126</v>
      </c>
    </row>
    <row r="1462" spans="1:13" x14ac:dyDescent="0.2">
      <c r="A1462">
        <v>1927</v>
      </c>
      <c r="B1462" t="s">
        <v>439</v>
      </c>
      <c r="C1462" t="s">
        <v>2425</v>
      </c>
      <c r="D1462" t="s">
        <v>33</v>
      </c>
      <c r="E1462" t="s">
        <v>2426</v>
      </c>
      <c r="F1462" t="s">
        <v>442</v>
      </c>
      <c r="G1462" t="s">
        <v>2427</v>
      </c>
      <c r="H1462" t="s">
        <v>4234</v>
      </c>
      <c r="I1462" t="b">
        <v>0</v>
      </c>
      <c r="J1462">
        <v>224</v>
      </c>
      <c r="K1462">
        <v>1928</v>
      </c>
      <c r="L1462">
        <v>453</v>
      </c>
      <c r="M1462">
        <f>COUNTIF(H1462:$H$2581,H1462)</f>
        <v>125</v>
      </c>
    </row>
    <row r="1463" spans="1:13" x14ac:dyDescent="0.2">
      <c r="A1463">
        <v>1506</v>
      </c>
      <c r="B1463" t="s">
        <v>2438</v>
      </c>
      <c r="C1463" t="s">
        <v>2469</v>
      </c>
      <c r="D1463" t="s">
        <v>54</v>
      </c>
      <c r="E1463" t="s">
        <v>2470</v>
      </c>
      <c r="F1463" t="s">
        <v>2441</v>
      </c>
      <c r="G1463" t="s">
        <v>2471</v>
      </c>
      <c r="H1463" t="s">
        <v>4234</v>
      </c>
      <c r="I1463" t="b">
        <v>0</v>
      </c>
      <c r="J1463">
        <v>183</v>
      </c>
      <c r="K1463">
        <v>1507</v>
      </c>
      <c r="L1463">
        <v>16</v>
      </c>
      <c r="M1463">
        <f>COUNTIF(H1463:$H$2581,H1463)</f>
        <v>124</v>
      </c>
    </row>
    <row r="1464" spans="1:13" x14ac:dyDescent="0.2">
      <c r="A1464">
        <v>1617</v>
      </c>
      <c r="B1464" t="s">
        <v>720</v>
      </c>
      <c r="C1464" t="s">
        <v>2490</v>
      </c>
      <c r="D1464" t="s">
        <v>13</v>
      </c>
      <c r="E1464" t="s">
        <v>2491</v>
      </c>
      <c r="F1464" t="s">
        <v>723</v>
      </c>
      <c r="G1464" t="s">
        <v>2492</v>
      </c>
      <c r="H1464" t="s">
        <v>4234</v>
      </c>
      <c r="I1464" t="b">
        <v>1</v>
      </c>
      <c r="J1464">
        <v>197</v>
      </c>
      <c r="K1464">
        <v>1618</v>
      </c>
      <c r="L1464">
        <v>182</v>
      </c>
      <c r="M1464">
        <f>COUNTIF(H1464:$H$2581,H1464)</f>
        <v>123</v>
      </c>
    </row>
    <row r="1465" spans="1:13" x14ac:dyDescent="0.2">
      <c r="A1465">
        <v>87</v>
      </c>
      <c r="B1465" t="s">
        <v>311</v>
      </c>
      <c r="C1465" t="s">
        <v>2499</v>
      </c>
      <c r="D1465" t="s">
        <v>54</v>
      </c>
      <c r="E1465" t="s">
        <v>2500</v>
      </c>
      <c r="F1465" s="1" t="s">
        <v>314</v>
      </c>
      <c r="G1465" t="s">
        <v>2501</v>
      </c>
      <c r="H1465" t="s">
        <v>4234</v>
      </c>
      <c r="I1465" t="s">
        <v>24</v>
      </c>
      <c r="J1465">
        <v>14</v>
      </c>
      <c r="K1465">
        <v>88</v>
      </c>
      <c r="L1465">
        <v>60</v>
      </c>
      <c r="M1465">
        <f>COUNTIF(H1465:$H$2581,H1465)</f>
        <v>122</v>
      </c>
    </row>
    <row r="1466" spans="1:13" x14ac:dyDescent="0.2">
      <c r="A1466">
        <v>705</v>
      </c>
      <c r="B1466" t="s">
        <v>730</v>
      </c>
      <c r="C1466" t="s">
        <v>2516</v>
      </c>
      <c r="D1466" t="s">
        <v>33</v>
      </c>
      <c r="E1466" t="s">
        <v>2517</v>
      </c>
      <c r="F1466" t="s">
        <v>733</v>
      </c>
      <c r="G1466" t="s">
        <v>2518</v>
      </c>
      <c r="H1466" t="s">
        <v>4234</v>
      </c>
      <c r="I1466" t="s">
        <v>24</v>
      </c>
      <c r="J1466">
        <v>103</v>
      </c>
      <c r="K1466">
        <v>706</v>
      </c>
      <c r="L1466">
        <v>99</v>
      </c>
      <c r="M1466">
        <f>COUNTIF(H1466:$H$2581,H1466)</f>
        <v>121</v>
      </c>
    </row>
    <row r="1467" spans="1:13" x14ac:dyDescent="0.2">
      <c r="A1467">
        <v>1203</v>
      </c>
      <c r="B1467" t="s">
        <v>1509</v>
      </c>
      <c r="C1467" t="s">
        <v>2558</v>
      </c>
      <c r="D1467" t="s">
        <v>13</v>
      </c>
      <c r="E1467" t="s">
        <v>2559</v>
      </c>
      <c r="F1467" t="s">
        <v>1512</v>
      </c>
      <c r="G1467" t="s">
        <v>2560</v>
      </c>
      <c r="H1467" t="s">
        <v>4234</v>
      </c>
      <c r="I1467" t="b">
        <v>1</v>
      </c>
      <c r="J1467">
        <v>147</v>
      </c>
      <c r="K1467">
        <v>1204</v>
      </c>
      <c r="L1467">
        <v>286</v>
      </c>
      <c r="M1467">
        <f>COUNTIF(H1467:$H$2581,H1467)</f>
        <v>120</v>
      </c>
    </row>
    <row r="1468" spans="1:13" x14ac:dyDescent="0.2">
      <c r="A1468">
        <v>1850</v>
      </c>
      <c r="B1468" t="s">
        <v>631</v>
      </c>
      <c r="C1468" t="s">
        <v>2581</v>
      </c>
      <c r="D1468" t="s">
        <v>13</v>
      </c>
      <c r="E1468" t="s">
        <v>2582</v>
      </c>
      <c r="F1468" t="s">
        <v>634</v>
      </c>
      <c r="G1468" t="s">
        <v>2583</v>
      </c>
      <c r="H1468" t="s">
        <v>4234</v>
      </c>
      <c r="I1468" t="s">
        <v>24</v>
      </c>
      <c r="J1468">
        <v>215</v>
      </c>
      <c r="K1468">
        <v>1851</v>
      </c>
      <c r="L1468">
        <v>546</v>
      </c>
      <c r="M1468">
        <f>COUNTIF(H1468:$H$2581,H1468)</f>
        <v>119</v>
      </c>
    </row>
    <row r="1469" spans="1:13" x14ac:dyDescent="0.2">
      <c r="A1469">
        <v>1051</v>
      </c>
      <c r="B1469" t="s">
        <v>1884</v>
      </c>
      <c r="C1469" t="s">
        <v>2622</v>
      </c>
      <c r="D1469" t="s">
        <v>13</v>
      </c>
      <c r="E1469" t="s">
        <v>2623</v>
      </c>
      <c r="F1469" t="s">
        <v>1887</v>
      </c>
      <c r="G1469" t="s">
        <v>2624</v>
      </c>
      <c r="H1469" t="s">
        <v>4234</v>
      </c>
      <c r="I1469" t="s">
        <v>24</v>
      </c>
      <c r="J1469">
        <v>131</v>
      </c>
      <c r="K1469">
        <v>1052</v>
      </c>
      <c r="L1469">
        <v>262</v>
      </c>
      <c r="M1469">
        <f>COUNTIF(H1469:$H$2581,H1469)</f>
        <v>118</v>
      </c>
    </row>
    <row r="1470" spans="1:13" x14ac:dyDescent="0.2">
      <c r="A1470">
        <v>1235</v>
      </c>
      <c r="B1470" t="s">
        <v>1461</v>
      </c>
      <c r="C1470" t="s">
        <v>2657</v>
      </c>
      <c r="D1470" t="s">
        <v>33</v>
      </c>
      <c r="E1470" t="s">
        <v>2658</v>
      </c>
      <c r="F1470" t="s">
        <v>1464</v>
      </c>
      <c r="G1470" t="s">
        <v>2659</v>
      </c>
      <c r="H1470" t="s">
        <v>4234</v>
      </c>
      <c r="I1470" t="b">
        <v>0</v>
      </c>
      <c r="J1470">
        <v>152</v>
      </c>
      <c r="K1470">
        <v>1236</v>
      </c>
      <c r="L1470">
        <v>423</v>
      </c>
      <c r="M1470">
        <f>COUNTIF(H1470:$H$2581,H1470)</f>
        <v>117</v>
      </c>
    </row>
    <row r="1471" spans="1:13" x14ac:dyDescent="0.2">
      <c r="A1471">
        <v>321</v>
      </c>
      <c r="B1471" t="s">
        <v>98</v>
      </c>
      <c r="C1471" t="s">
        <v>2718</v>
      </c>
      <c r="D1471" t="s">
        <v>13</v>
      </c>
      <c r="E1471" t="s">
        <v>2719</v>
      </c>
      <c r="F1471" t="s">
        <v>101</v>
      </c>
      <c r="G1471" t="s">
        <v>2720</v>
      </c>
      <c r="H1471" t="s">
        <v>4234</v>
      </c>
      <c r="I1471" t="s">
        <v>24</v>
      </c>
      <c r="J1471">
        <v>46</v>
      </c>
      <c r="K1471">
        <v>322</v>
      </c>
      <c r="L1471">
        <v>47</v>
      </c>
      <c r="M1471">
        <f>COUNTIF(H1471:$H$2581,H1471)</f>
        <v>116</v>
      </c>
    </row>
    <row r="1472" spans="1:13" x14ac:dyDescent="0.2">
      <c r="A1472">
        <v>376</v>
      </c>
      <c r="B1472" t="s">
        <v>1659</v>
      </c>
      <c r="C1472" t="s">
        <v>2794</v>
      </c>
      <c r="D1472" t="s">
        <v>33</v>
      </c>
      <c r="E1472" t="s">
        <v>2795</v>
      </c>
      <c r="F1472" t="s">
        <v>1662</v>
      </c>
      <c r="G1472" t="s">
        <v>2796</v>
      </c>
      <c r="H1472" t="s">
        <v>4234</v>
      </c>
      <c r="I1472" t="b">
        <v>0</v>
      </c>
      <c r="J1472">
        <v>52</v>
      </c>
      <c r="K1472">
        <v>377</v>
      </c>
      <c r="L1472">
        <v>38</v>
      </c>
      <c r="M1472">
        <f>COUNTIF(H1472:$H$2581,H1472)</f>
        <v>115</v>
      </c>
    </row>
    <row r="1473" spans="1:13" x14ac:dyDescent="0.2">
      <c r="A1473">
        <v>2072</v>
      </c>
      <c r="B1473" t="s">
        <v>1970</v>
      </c>
      <c r="C1473" t="s">
        <v>2848</v>
      </c>
      <c r="D1473" t="s">
        <v>54</v>
      </c>
      <c r="E1473" t="s">
        <v>2849</v>
      </c>
      <c r="F1473" t="s">
        <v>1973</v>
      </c>
      <c r="G1473" t="s">
        <v>2850</v>
      </c>
      <c r="H1473" t="s">
        <v>4234</v>
      </c>
      <c r="I1473" t="s">
        <v>24</v>
      </c>
      <c r="J1473">
        <v>241</v>
      </c>
      <c r="K1473">
        <v>2073</v>
      </c>
      <c r="L1473">
        <v>17</v>
      </c>
      <c r="M1473">
        <f>COUNTIF(H1473:$H$2581,H1473)</f>
        <v>114</v>
      </c>
    </row>
    <row r="1474" spans="1:13" x14ac:dyDescent="0.2">
      <c r="A1474">
        <v>781</v>
      </c>
      <c r="B1474" t="s">
        <v>373</v>
      </c>
      <c r="C1474" t="s">
        <v>2864</v>
      </c>
      <c r="D1474" t="s">
        <v>13</v>
      </c>
      <c r="E1474" t="s">
        <v>2865</v>
      </c>
      <c r="F1474" s="1" t="s">
        <v>376</v>
      </c>
      <c r="G1474" t="s">
        <v>2866</v>
      </c>
      <c r="H1474" t="s">
        <v>4234</v>
      </c>
      <c r="I1474" t="s">
        <v>24</v>
      </c>
      <c r="J1474">
        <v>111</v>
      </c>
      <c r="K1474">
        <v>782</v>
      </c>
      <c r="L1474">
        <v>18</v>
      </c>
      <c r="M1474">
        <f>COUNTIF(H1474:$H$2581,H1474)</f>
        <v>113</v>
      </c>
    </row>
    <row r="1475" spans="1:13" x14ac:dyDescent="0.2">
      <c r="A1475">
        <v>558</v>
      </c>
      <c r="B1475" t="s">
        <v>1254</v>
      </c>
      <c r="C1475" t="s">
        <v>2892</v>
      </c>
      <c r="D1475" t="s">
        <v>54</v>
      </c>
      <c r="E1475" t="s">
        <v>2893</v>
      </c>
      <c r="F1475" t="s">
        <v>1257</v>
      </c>
      <c r="G1475" t="s">
        <v>2894</v>
      </c>
      <c r="H1475" t="s">
        <v>4234</v>
      </c>
      <c r="I1475" t="s">
        <v>24</v>
      </c>
      <c r="J1475">
        <v>83</v>
      </c>
      <c r="K1475">
        <v>559</v>
      </c>
      <c r="L1475">
        <v>246</v>
      </c>
      <c r="M1475">
        <f>COUNTIF(H1475:$H$2581,H1475)</f>
        <v>112</v>
      </c>
    </row>
    <row r="1476" spans="1:13" x14ac:dyDescent="0.2">
      <c r="A1476">
        <v>957</v>
      </c>
      <c r="B1476" t="s">
        <v>203</v>
      </c>
      <c r="C1476" t="s">
        <v>2915</v>
      </c>
      <c r="D1476" t="s">
        <v>13</v>
      </c>
      <c r="E1476" t="s">
        <v>2916</v>
      </c>
      <c r="F1476" t="s">
        <v>206</v>
      </c>
      <c r="G1476" t="s">
        <v>2917</v>
      </c>
      <c r="H1476" t="s">
        <v>4234</v>
      </c>
      <c r="I1476" t="b">
        <v>1</v>
      </c>
      <c r="J1476">
        <v>123</v>
      </c>
      <c r="K1476">
        <v>958</v>
      </c>
      <c r="L1476">
        <v>357</v>
      </c>
      <c r="M1476">
        <f>COUNTIF(H1476:$H$2581,H1476)</f>
        <v>111</v>
      </c>
    </row>
    <row r="1477" spans="1:13" x14ac:dyDescent="0.2">
      <c r="A1477">
        <v>2174</v>
      </c>
      <c r="B1477" t="s">
        <v>1024</v>
      </c>
      <c r="C1477" t="s">
        <v>2968</v>
      </c>
      <c r="D1477" t="s">
        <v>33</v>
      </c>
      <c r="E1477" t="s">
        <v>2969</v>
      </c>
      <c r="F1477" t="s">
        <v>1027</v>
      </c>
      <c r="G1477" t="s">
        <v>2970</v>
      </c>
      <c r="H1477" t="s">
        <v>4234</v>
      </c>
      <c r="I1477" t="b">
        <v>0</v>
      </c>
      <c r="J1477">
        <v>255</v>
      </c>
      <c r="K1477">
        <v>2175</v>
      </c>
      <c r="L1477">
        <v>100</v>
      </c>
      <c r="M1477">
        <f>COUNTIF(H1477:$H$2581,H1477)</f>
        <v>110</v>
      </c>
    </row>
    <row r="1478" spans="1:13" x14ac:dyDescent="0.2">
      <c r="A1478">
        <v>1688</v>
      </c>
      <c r="B1478" t="s">
        <v>129</v>
      </c>
      <c r="C1478" t="s">
        <v>3003</v>
      </c>
      <c r="D1478" t="s">
        <v>13</v>
      </c>
      <c r="E1478" t="s">
        <v>3004</v>
      </c>
      <c r="F1478" t="s">
        <v>132</v>
      </c>
      <c r="G1478" t="s">
        <v>3005</v>
      </c>
      <c r="H1478" t="s">
        <v>4234</v>
      </c>
      <c r="I1478" t="b">
        <v>1</v>
      </c>
      <c r="J1478">
        <v>204</v>
      </c>
      <c r="K1478">
        <v>1689</v>
      </c>
      <c r="L1478">
        <v>151</v>
      </c>
      <c r="M1478">
        <f>COUNTIF(H1478:$H$2581,H1478)</f>
        <v>109</v>
      </c>
    </row>
    <row r="1479" spans="1:13" x14ac:dyDescent="0.2">
      <c r="A1479">
        <v>495</v>
      </c>
      <c r="B1479" t="s">
        <v>362</v>
      </c>
      <c r="C1479" t="s">
        <v>3012</v>
      </c>
      <c r="D1479" t="s">
        <v>54</v>
      </c>
      <c r="E1479" t="s">
        <v>3013</v>
      </c>
      <c r="F1479" t="s">
        <v>365</v>
      </c>
      <c r="G1479" t="s">
        <v>3014</v>
      </c>
      <c r="H1479" t="s">
        <v>4234</v>
      </c>
      <c r="I1479" t="b">
        <v>1</v>
      </c>
      <c r="J1479">
        <v>70</v>
      </c>
      <c r="K1479">
        <v>496</v>
      </c>
      <c r="L1479">
        <v>219</v>
      </c>
      <c r="M1479">
        <f>COUNTIF(H1479:$H$2581,H1479)</f>
        <v>108</v>
      </c>
    </row>
    <row r="1480" spans="1:13" x14ac:dyDescent="0.2">
      <c r="A1480">
        <v>1517</v>
      </c>
      <c r="B1480" t="s">
        <v>1929</v>
      </c>
      <c r="C1480" t="s">
        <v>3089</v>
      </c>
      <c r="D1480" t="s">
        <v>13</v>
      </c>
      <c r="E1480" t="s">
        <v>3090</v>
      </c>
      <c r="F1480" t="s">
        <v>1932</v>
      </c>
      <c r="G1480" t="s">
        <v>3091</v>
      </c>
      <c r="H1480" t="s">
        <v>4234</v>
      </c>
      <c r="I1480" t="b">
        <v>0</v>
      </c>
      <c r="J1480">
        <v>184</v>
      </c>
      <c r="K1480">
        <v>1518</v>
      </c>
      <c r="L1480">
        <v>15</v>
      </c>
      <c r="M1480">
        <f>COUNTIF(H1480:$H$2581,H1480)</f>
        <v>107</v>
      </c>
    </row>
    <row r="1481" spans="1:13" x14ac:dyDescent="0.2">
      <c r="A1481">
        <v>1052</v>
      </c>
      <c r="B1481" t="s">
        <v>1884</v>
      </c>
      <c r="C1481" t="s">
        <v>3173</v>
      </c>
      <c r="D1481" t="s">
        <v>54</v>
      </c>
      <c r="E1481" t="s">
        <v>3174</v>
      </c>
      <c r="F1481" t="s">
        <v>1887</v>
      </c>
      <c r="G1481" t="s">
        <v>3175</v>
      </c>
      <c r="H1481" t="s">
        <v>4234</v>
      </c>
      <c r="I1481" t="s">
        <v>24</v>
      </c>
      <c r="J1481">
        <v>131</v>
      </c>
      <c r="K1481">
        <v>1053</v>
      </c>
      <c r="L1481">
        <v>19</v>
      </c>
      <c r="M1481">
        <f>COUNTIF(H1481:$H$2581,H1481)</f>
        <v>106</v>
      </c>
    </row>
    <row r="1482" spans="1:13" x14ac:dyDescent="0.2">
      <c r="A1482">
        <v>682</v>
      </c>
      <c r="B1482" t="s">
        <v>886</v>
      </c>
      <c r="C1482" t="s">
        <v>3208</v>
      </c>
      <c r="D1482" t="s">
        <v>13</v>
      </c>
      <c r="E1482" t="s">
        <v>3209</v>
      </c>
      <c r="F1482" t="s">
        <v>889</v>
      </c>
      <c r="G1482" t="s">
        <v>3210</v>
      </c>
      <c r="H1482" t="s">
        <v>4234</v>
      </c>
      <c r="I1482" t="s">
        <v>24</v>
      </c>
      <c r="J1482">
        <v>100</v>
      </c>
      <c r="K1482">
        <v>683</v>
      </c>
      <c r="L1482">
        <v>197</v>
      </c>
      <c r="M1482">
        <f>COUNTIF(H1482:$H$2581,H1482)</f>
        <v>105</v>
      </c>
    </row>
    <row r="1483" spans="1:13" x14ac:dyDescent="0.2">
      <c r="A1483">
        <v>2425</v>
      </c>
      <c r="B1483" t="s">
        <v>1327</v>
      </c>
      <c r="C1483" t="s">
        <v>3311</v>
      </c>
      <c r="D1483" t="s">
        <v>54</v>
      </c>
      <c r="E1483" t="s">
        <v>3312</v>
      </c>
      <c r="F1483" t="s">
        <v>1330</v>
      </c>
      <c r="G1483" t="s">
        <v>3313</v>
      </c>
      <c r="H1483" t="s">
        <v>4234</v>
      </c>
      <c r="I1483" t="b">
        <v>0</v>
      </c>
      <c r="J1483">
        <v>283</v>
      </c>
      <c r="K1483">
        <v>2426</v>
      </c>
      <c r="L1483">
        <v>21</v>
      </c>
      <c r="M1483">
        <f>COUNTIF(H1483:$H$2581,H1483)</f>
        <v>104</v>
      </c>
    </row>
    <row r="1484" spans="1:13" x14ac:dyDescent="0.2">
      <c r="A1484">
        <v>122</v>
      </c>
      <c r="B1484" t="s">
        <v>52</v>
      </c>
      <c r="C1484" t="s">
        <v>3335</v>
      </c>
      <c r="D1484" t="s">
        <v>54</v>
      </c>
      <c r="E1484" t="s">
        <v>3336</v>
      </c>
      <c r="F1484" t="s">
        <v>56</v>
      </c>
      <c r="G1484" t="s">
        <v>3337</v>
      </c>
      <c r="H1484" t="s">
        <v>4234</v>
      </c>
      <c r="I1484" t="b">
        <v>0</v>
      </c>
      <c r="J1484">
        <v>22</v>
      </c>
      <c r="K1484">
        <v>123</v>
      </c>
      <c r="L1484">
        <v>69</v>
      </c>
      <c r="M1484">
        <f>COUNTIF(H1484:$H$2581,H1484)</f>
        <v>103</v>
      </c>
    </row>
    <row r="1485" spans="1:13" x14ac:dyDescent="0.2">
      <c r="A1485">
        <v>1649</v>
      </c>
      <c r="B1485" t="s">
        <v>3361</v>
      </c>
      <c r="C1485" t="s">
        <v>3362</v>
      </c>
      <c r="D1485" t="s">
        <v>33</v>
      </c>
      <c r="E1485" t="s">
        <v>3363</v>
      </c>
      <c r="F1485" t="s">
        <v>3364</v>
      </c>
      <c r="G1485" t="s">
        <v>3365</v>
      </c>
      <c r="H1485" t="s">
        <v>4234</v>
      </c>
      <c r="I1485" t="b">
        <v>0</v>
      </c>
      <c r="J1485">
        <v>198</v>
      </c>
      <c r="K1485">
        <v>1650</v>
      </c>
      <c r="L1485">
        <v>62</v>
      </c>
      <c r="M1485">
        <f>COUNTIF(H1485:$H$2581,H1485)</f>
        <v>102</v>
      </c>
    </row>
    <row r="1486" spans="1:13" x14ac:dyDescent="0.2">
      <c r="A1486">
        <v>2269</v>
      </c>
      <c r="B1486" t="s">
        <v>3366</v>
      </c>
      <c r="C1486" t="s">
        <v>3391</v>
      </c>
      <c r="D1486" t="s">
        <v>54</v>
      </c>
      <c r="E1486" t="s">
        <v>3392</v>
      </c>
      <c r="F1486" t="s">
        <v>3369</v>
      </c>
      <c r="G1486" t="s">
        <v>3393</v>
      </c>
      <c r="H1486" t="s">
        <v>4234</v>
      </c>
      <c r="I1486" t="b">
        <v>1</v>
      </c>
      <c r="J1486">
        <v>265</v>
      </c>
      <c r="K1486">
        <v>2270</v>
      </c>
      <c r="L1486">
        <v>280</v>
      </c>
      <c r="M1486">
        <f>COUNTIF(H1486:$H$2581,H1486)</f>
        <v>101</v>
      </c>
    </row>
    <row r="1487" spans="1:13" x14ac:dyDescent="0.2">
      <c r="A1487">
        <v>2255</v>
      </c>
      <c r="B1487" t="s">
        <v>1170</v>
      </c>
      <c r="C1487" t="s">
        <v>3457</v>
      </c>
      <c r="D1487" t="s">
        <v>33</v>
      </c>
      <c r="E1487" t="s">
        <v>3458</v>
      </c>
      <c r="F1487" t="s">
        <v>1173</v>
      </c>
      <c r="G1487" t="s">
        <v>3459</v>
      </c>
      <c r="H1487" t="s">
        <v>4234</v>
      </c>
      <c r="I1487" t="b">
        <v>0</v>
      </c>
      <c r="J1487">
        <v>263</v>
      </c>
      <c r="K1487">
        <v>2256</v>
      </c>
      <c r="L1487">
        <v>240</v>
      </c>
      <c r="M1487">
        <f>COUNTIF(H1487:$H$2581,H1487)</f>
        <v>100</v>
      </c>
    </row>
    <row r="1488" spans="1:13" x14ac:dyDescent="0.2">
      <c r="A1488">
        <v>2247</v>
      </c>
      <c r="B1488" t="s">
        <v>411</v>
      </c>
      <c r="C1488" t="s">
        <v>3634</v>
      </c>
      <c r="D1488" t="s">
        <v>54</v>
      </c>
      <c r="E1488" t="s">
        <v>3635</v>
      </c>
      <c r="F1488" t="s">
        <v>414</v>
      </c>
      <c r="G1488" t="s">
        <v>3636</v>
      </c>
      <c r="H1488" t="s">
        <v>4234</v>
      </c>
      <c r="I1488" t="s">
        <v>24</v>
      </c>
      <c r="J1488">
        <v>262</v>
      </c>
      <c r="K1488">
        <v>2248</v>
      </c>
      <c r="L1488">
        <v>39</v>
      </c>
      <c r="M1488">
        <f>COUNTIF(H1488:$H$2581,H1488)</f>
        <v>99</v>
      </c>
    </row>
    <row r="1489" spans="1:13" x14ac:dyDescent="0.2">
      <c r="A1489">
        <v>269</v>
      </c>
      <c r="B1489" t="s">
        <v>1126</v>
      </c>
      <c r="C1489" t="s">
        <v>3660</v>
      </c>
      <c r="D1489" t="s">
        <v>33</v>
      </c>
      <c r="E1489" t="s">
        <v>3661</v>
      </c>
      <c r="F1489" t="s">
        <v>1129</v>
      </c>
      <c r="G1489" t="s">
        <v>3662</v>
      </c>
      <c r="H1489" t="s">
        <v>4234</v>
      </c>
      <c r="I1489" t="b">
        <v>0</v>
      </c>
      <c r="J1489">
        <v>43</v>
      </c>
      <c r="K1489">
        <v>270</v>
      </c>
      <c r="L1489">
        <v>116</v>
      </c>
      <c r="M1489">
        <f>COUNTIF(H1489:$H$2581,H1489)</f>
        <v>98</v>
      </c>
    </row>
    <row r="1490" spans="1:13" x14ac:dyDescent="0.2">
      <c r="A1490">
        <v>2476</v>
      </c>
      <c r="B1490" t="s">
        <v>2899</v>
      </c>
      <c r="C1490" t="s">
        <v>3776</v>
      </c>
      <c r="D1490" t="s">
        <v>33</v>
      </c>
      <c r="E1490" t="s">
        <v>3777</v>
      </c>
      <c r="F1490" t="s">
        <v>2902</v>
      </c>
      <c r="G1490" t="s">
        <v>3778</v>
      </c>
      <c r="H1490" t="s">
        <v>4234</v>
      </c>
      <c r="I1490" t="b">
        <v>0</v>
      </c>
      <c r="J1490">
        <v>286</v>
      </c>
      <c r="K1490">
        <v>2477</v>
      </c>
      <c r="L1490">
        <v>22</v>
      </c>
      <c r="M1490">
        <f>COUNTIF(H1490:$H$2581,H1490)</f>
        <v>97</v>
      </c>
    </row>
    <row r="1491" spans="1:13" x14ac:dyDescent="0.2">
      <c r="A1491">
        <v>2309</v>
      </c>
      <c r="B1491" t="s">
        <v>703</v>
      </c>
      <c r="C1491" t="s">
        <v>3854</v>
      </c>
      <c r="D1491" t="s">
        <v>54</v>
      </c>
      <c r="E1491" t="s">
        <v>3855</v>
      </c>
      <c r="F1491" t="s">
        <v>706</v>
      </c>
      <c r="G1491" t="s">
        <v>3856</v>
      </c>
      <c r="H1491" t="s">
        <v>4234</v>
      </c>
      <c r="I1491" t="s">
        <v>24</v>
      </c>
      <c r="J1491">
        <v>271</v>
      </c>
      <c r="K1491">
        <v>2310</v>
      </c>
      <c r="L1491">
        <v>270</v>
      </c>
      <c r="M1491">
        <f>COUNTIF(H1491:$H$2581,H1491)</f>
        <v>96</v>
      </c>
    </row>
    <row r="1492" spans="1:13" x14ac:dyDescent="0.2">
      <c r="A1492">
        <v>1893</v>
      </c>
      <c r="B1492" t="s">
        <v>1485</v>
      </c>
      <c r="C1492" t="s">
        <v>3892</v>
      </c>
      <c r="D1492" t="s">
        <v>13</v>
      </c>
      <c r="E1492" t="s">
        <v>3893</v>
      </c>
      <c r="F1492" t="s">
        <v>1488</v>
      </c>
      <c r="G1492" t="s">
        <v>3894</v>
      </c>
      <c r="H1492" t="s">
        <v>4234</v>
      </c>
      <c r="I1492" t="b">
        <v>1</v>
      </c>
      <c r="J1492">
        <v>220</v>
      </c>
      <c r="K1492">
        <v>1894</v>
      </c>
      <c r="L1492">
        <v>101</v>
      </c>
      <c r="M1492">
        <f>COUNTIF(H1492:$H$2581,H1492)</f>
        <v>95</v>
      </c>
    </row>
    <row r="1493" spans="1:13" x14ac:dyDescent="0.2">
      <c r="A1493">
        <v>1823</v>
      </c>
      <c r="B1493" t="s">
        <v>434</v>
      </c>
      <c r="C1493" t="s">
        <v>3931</v>
      </c>
      <c r="D1493" t="s">
        <v>54</v>
      </c>
      <c r="E1493" t="s">
        <v>3932</v>
      </c>
      <c r="F1493" t="s">
        <v>437</v>
      </c>
      <c r="G1493" t="s">
        <v>3933</v>
      </c>
      <c r="H1493" t="s">
        <v>4234</v>
      </c>
      <c r="I1493" t="b">
        <v>0</v>
      </c>
      <c r="J1493">
        <v>212</v>
      </c>
      <c r="K1493">
        <v>1824</v>
      </c>
      <c r="L1493">
        <v>206</v>
      </c>
      <c r="M1493">
        <f>COUNTIF(H1493:$H$2581,H1493)</f>
        <v>94</v>
      </c>
    </row>
    <row r="1494" spans="1:13" x14ac:dyDescent="0.2">
      <c r="A1494">
        <v>1509</v>
      </c>
      <c r="B1494" t="s">
        <v>2438</v>
      </c>
      <c r="C1494" t="s">
        <v>3979</v>
      </c>
      <c r="D1494" t="s">
        <v>13</v>
      </c>
      <c r="E1494" t="s">
        <v>3980</v>
      </c>
      <c r="F1494" t="s">
        <v>2441</v>
      </c>
      <c r="G1494" t="s">
        <v>3981</v>
      </c>
      <c r="H1494" t="s">
        <v>4234</v>
      </c>
      <c r="I1494" t="b">
        <v>0</v>
      </c>
      <c r="J1494">
        <v>183</v>
      </c>
      <c r="K1494">
        <v>1510</v>
      </c>
      <c r="L1494">
        <v>40</v>
      </c>
      <c r="M1494">
        <f>COUNTIF(H1494:$H$2581,H1494)</f>
        <v>93</v>
      </c>
    </row>
    <row r="1495" spans="1:13" x14ac:dyDescent="0.2">
      <c r="A1495">
        <v>763</v>
      </c>
      <c r="B1495" t="s">
        <v>4003</v>
      </c>
      <c r="C1495" t="s">
        <v>4004</v>
      </c>
      <c r="D1495" t="s">
        <v>54</v>
      </c>
      <c r="E1495" t="s">
        <v>4005</v>
      </c>
      <c r="F1495" t="s">
        <v>4006</v>
      </c>
      <c r="G1495" t="s">
        <v>4007</v>
      </c>
      <c r="H1495" t="s">
        <v>4234</v>
      </c>
      <c r="I1495" t="b">
        <v>1</v>
      </c>
      <c r="J1495">
        <v>108</v>
      </c>
      <c r="K1495">
        <v>764</v>
      </c>
      <c r="L1495">
        <v>71</v>
      </c>
      <c r="M1495">
        <f>COUNTIF(H1495:$H$2581,H1495)</f>
        <v>92</v>
      </c>
    </row>
    <row r="1496" spans="1:13" x14ac:dyDescent="0.2">
      <c r="A1496">
        <v>2430</v>
      </c>
      <c r="B1496" t="s">
        <v>1327</v>
      </c>
      <c r="C1496" t="s">
        <v>4064</v>
      </c>
      <c r="D1496" t="s">
        <v>54</v>
      </c>
      <c r="E1496" t="s">
        <v>4065</v>
      </c>
      <c r="F1496" t="s">
        <v>1330</v>
      </c>
      <c r="G1496" t="s">
        <v>4066</v>
      </c>
      <c r="H1496" t="s">
        <v>4234</v>
      </c>
      <c r="I1496" t="b">
        <v>0</v>
      </c>
      <c r="J1496">
        <v>283</v>
      </c>
      <c r="K1496">
        <v>2431</v>
      </c>
      <c r="L1496">
        <v>23</v>
      </c>
      <c r="M1496">
        <f>COUNTIF(H1496:$H$2581,H1496)</f>
        <v>91</v>
      </c>
    </row>
    <row r="1497" spans="1:13" x14ac:dyDescent="0.2">
      <c r="A1497">
        <v>1530</v>
      </c>
      <c r="B1497" t="s">
        <v>715</v>
      </c>
      <c r="C1497" t="s">
        <v>4112</v>
      </c>
      <c r="D1497" t="s">
        <v>54</v>
      </c>
      <c r="E1497" t="s">
        <v>4113</v>
      </c>
      <c r="F1497" t="s">
        <v>718</v>
      </c>
      <c r="G1497" t="s">
        <v>4114</v>
      </c>
      <c r="H1497" t="s">
        <v>4234</v>
      </c>
      <c r="I1497" t="s">
        <v>24</v>
      </c>
      <c r="J1497">
        <v>186</v>
      </c>
      <c r="K1497">
        <v>1531</v>
      </c>
      <c r="L1497">
        <v>102</v>
      </c>
      <c r="M1497">
        <f>COUNTIF(H1497:$H$2581,H1497)</f>
        <v>90</v>
      </c>
    </row>
    <row r="1498" spans="1:13" x14ac:dyDescent="0.2">
      <c r="A1498">
        <v>1428</v>
      </c>
      <c r="B1498" t="s">
        <v>3029</v>
      </c>
      <c r="C1498" t="s">
        <v>4125</v>
      </c>
      <c r="D1498" t="s">
        <v>13</v>
      </c>
      <c r="E1498" t="s">
        <v>4126</v>
      </c>
      <c r="F1498" t="s">
        <v>3032</v>
      </c>
      <c r="G1498" t="s">
        <v>4127</v>
      </c>
      <c r="H1498" t="s">
        <v>4234</v>
      </c>
      <c r="I1498" t="s">
        <v>24</v>
      </c>
      <c r="J1498">
        <v>172</v>
      </c>
      <c r="K1498">
        <v>1429</v>
      </c>
      <c r="L1498">
        <v>480</v>
      </c>
      <c r="M1498">
        <f>COUNTIF(H1498:$H$2581,H1498)</f>
        <v>89</v>
      </c>
    </row>
    <row r="1499" spans="1:13" x14ac:dyDescent="0.2">
      <c r="A1499">
        <v>562</v>
      </c>
      <c r="B1499" t="s">
        <v>2797</v>
      </c>
      <c r="C1499" t="s">
        <v>4134</v>
      </c>
      <c r="D1499" t="s">
        <v>54</v>
      </c>
      <c r="E1499" t="s">
        <v>4135</v>
      </c>
      <c r="F1499" t="s">
        <v>2800</v>
      </c>
      <c r="G1499" t="s">
        <v>4136</v>
      </c>
      <c r="H1499" t="s">
        <v>4234</v>
      </c>
      <c r="I1499" t="s">
        <v>24</v>
      </c>
      <c r="J1499">
        <v>84</v>
      </c>
      <c r="K1499">
        <v>563</v>
      </c>
      <c r="L1499">
        <v>247</v>
      </c>
      <c r="M1499">
        <f>COUNTIF(H1499:$H$2581,H1499)</f>
        <v>88</v>
      </c>
    </row>
    <row r="1500" spans="1:13" x14ac:dyDescent="0.2">
      <c r="A1500">
        <v>1144</v>
      </c>
      <c r="B1500" t="s">
        <v>957</v>
      </c>
      <c r="C1500" t="s">
        <v>4151</v>
      </c>
      <c r="D1500" t="s">
        <v>13</v>
      </c>
      <c r="E1500" t="s">
        <v>4152</v>
      </c>
      <c r="F1500" t="s">
        <v>960</v>
      </c>
      <c r="G1500" t="s">
        <v>4153</v>
      </c>
      <c r="H1500" t="s">
        <v>4234</v>
      </c>
      <c r="I1500" t="s">
        <v>24</v>
      </c>
      <c r="J1500">
        <v>140</v>
      </c>
      <c r="K1500">
        <v>1145</v>
      </c>
      <c r="L1500">
        <v>218</v>
      </c>
      <c r="M1500">
        <f>COUNTIF(H1500:$H$2581,H1500)</f>
        <v>87</v>
      </c>
    </row>
    <row r="1501" spans="1:13" x14ac:dyDescent="0.2">
      <c r="A1501">
        <v>1966</v>
      </c>
      <c r="B1501" t="s">
        <v>381</v>
      </c>
      <c r="C1501" t="s">
        <v>1722</v>
      </c>
      <c r="D1501" t="s">
        <v>13</v>
      </c>
      <c r="E1501" t="s">
        <v>4212</v>
      </c>
      <c r="F1501" t="s">
        <v>384</v>
      </c>
      <c r="G1501" t="s">
        <v>4213</v>
      </c>
      <c r="H1501" t="s">
        <v>4234</v>
      </c>
      <c r="I1501" t="s">
        <v>24</v>
      </c>
      <c r="J1501">
        <v>226</v>
      </c>
      <c r="K1501">
        <v>1967</v>
      </c>
      <c r="L1501">
        <v>64</v>
      </c>
      <c r="M1501">
        <f>COUNTIF(H1501:$H$2581,H1501)</f>
        <v>86</v>
      </c>
    </row>
    <row r="1502" spans="1:13" x14ac:dyDescent="0.2">
      <c r="A1502">
        <v>2494</v>
      </c>
      <c r="B1502" t="s">
        <v>249</v>
      </c>
      <c r="C1502" t="s">
        <v>4627</v>
      </c>
      <c r="D1502" t="s">
        <v>13</v>
      </c>
      <c r="E1502" t="s">
        <v>4628</v>
      </c>
      <c r="F1502" t="s">
        <v>252</v>
      </c>
      <c r="G1502" t="s">
        <v>4629</v>
      </c>
      <c r="H1502" t="s">
        <v>4234</v>
      </c>
      <c r="I1502" t="b">
        <v>0</v>
      </c>
      <c r="J1502">
        <v>290</v>
      </c>
      <c r="K1502">
        <v>2495</v>
      </c>
      <c r="L1502">
        <v>4</v>
      </c>
      <c r="M1502">
        <f>COUNTIF(H1502:$H$2581,H1502)</f>
        <v>85</v>
      </c>
    </row>
    <row r="1503" spans="1:13" x14ac:dyDescent="0.2">
      <c r="A1503">
        <v>599</v>
      </c>
      <c r="B1503" t="s">
        <v>1097</v>
      </c>
      <c r="C1503" t="s">
        <v>4643</v>
      </c>
      <c r="D1503" t="s">
        <v>13</v>
      </c>
      <c r="E1503" t="s">
        <v>4644</v>
      </c>
      <c r="F1503" t="s">
        <v>1100</v>
      </c>
      <c r="G1503" t="s">
        <v>4645</v>
      </c>
      <c r="H1503" t="s">
        <v>4234</v>
      </c>
      <c r="I1503" t="b">
        <v>0</v>
      </c>
      <c r="J1503">
        <v>90</v>
      </c>
      <c r="K1503">
        <v>600</v>
      </c>
      <c r="L1503">
        <v>264</v>
      </c>
      <c r="M1503">
        <f>COUNTIF(H1503:$H$2581,H1503)</f>
        <v>84</v>
      </c>
    </row>
    <row r="1504" spans="1:13" x14ac:dyDescent="0.2">
      <c r="A1504">
        <v>1908</v>
      </c>
      <c r="B1504" t="s">
        <v>4687</v>
      </c>
      <c r="C1504" t="s">
        <v>4688</v>
      </c>
      <c r="D1504" t="s">
        <v>13</v>
      </c>
      <c r="E1504" t="s">
        <v>4689</v>
      </c>
      <c r="F1504" t="s">
        <v>4690</v>
      </c>
      <c r="G1504" t="s">
        <v>4691</v>
      </c>
      <c r="H1504" t="s">
        <v>4234</v>
      </c>
      <c r="I1504" t="s">
        <v>24</v>
      </c>
      <c r="J1504">
        <v>223</v>
      </c>
      <c r="K1504">
        <v>1909</v>
      </c>
      <c r="L1504">
        <v>33</v>
      </c>
      <c r="M1504">
        <f>COUNTIF(H1504:$H$2581,H1504)</f>
        <v>83</v>
      </c>
    </row>
    <row r="1505" spans="1:16" x14ac:dyDescent="0.2">
      <c r="A1505">
        <v>967</v>
      </c>
      <c r="B1505" t="s">
        <v>203</v>
      </c>
      <c r="C1505" t="s">
        <v>4718</v>
      </c>
      <c r="D1505" t="s">
        <v>13</v>
      </c>
      <c r="E1505" t="s">
        <v>4719</v>
      </c>
      <c r="F1505" t="s">
        <v>206</v>
      </c>
      <c r="G1505" t="s">
        <v>4720</v>
      </c>
      <c r="H1505" t="s">
        <v>4234</v>
      </c>
      <c r="I1505" t="b">
        <v>1</v>
      </c>
      <c r="J1505">
        <v>123</v>
      </c>
      <c r="K1505">
        <v>968</v>
      </c>
      <c r="L1505">
        <v>212</v>
      </c>
      <c r="M1505">
        <f>COUNTIF(H1505:$H$2581,H1505)</f>
        <v>82</v>
      </c>
    </row>
    <row r="1506" spans="1:16" x14ac:dyDescent="0.2">
      <c r="A1506">
        <v>2433</v>
      </c>
      <c r="B1506" t="s">
        <v>1327</v>
      </c>
      <c r="C1506" t="s">
        <v>4787</v>
      </c>
      <c r="D1506" t="s">
        <v>13</v>
      </c>
      <c r="E1506" t="s">
        <v>4788</v>
      </c>
      <c r="F1506" t="s">
        <v>1330</v>
      </c>
      <c r="G1506" t="s">
        <v>4789</v>
      </c>
      <c r="H1506" t="s">
        <v>4234</v>
      </c>
      <c r="I1506" t="b">
        <v>0</v>
      </c>
      <c r="J1506">
        <v>283</v>
      </c>
      <c r="K1506">
        <v>2434</v>
      </c>
      <c r="L1506">
        <v>703</v>
      </c>
      <c r="M1506">
        <f>COUNTIF(H1506:$H$2581,H1506)</f>
        <v>81</v>
      </c>
    </row>
    <row r="1507" spans="1:16" x14ac:dyDescent="0.2">
      <c r="A1507">
        <v>1441</v>
      </c>
      <c r="B1507" t="s">
        <v>763</v>
      </c>
      <c r="C1507" t="s">
        <v>4834</v>
      </c>
      <c r="D1507" t="s">
        <v>54</v>
      </c>
      <c r="E1507" t="s">
        <v>4835</v>
      </c>
      <c r="F1507" t="s">
        <v>766</v>
      </c>
      <c r="G1507" t="s">
        <v>4836</v>
      </c>
      <c r="H1507" t="s">
        <v>4234</v>
      </c>
      <c r="I1507" t="b">
        <v>1</v>
      </c>
      <c r="J1507">
        <v>174</v>
      </c>
      <c r="K1507">
        <v>1442</v>
      </c>
      <c r="L1507">
        <v>41</v>
      </c>
      <c r="M1507">
        <f>COUNTIF(H1507:$H$2581,H1507)</f>
        <v>80</v>
      </c>
    </row>
    <row r="1508" spans="1:16" x14ac:dyDescent="0.2">
      <c r="A1508">
        <v>2062</v>
      </c>
      <c r="B1508" t="s">
        <v>1965</v>
      </c>
      <c r="C1508" t="s">
        <v>4865</v>
      </c>
      <c r="D1508" t="s">
        <v>13</v>
      </c>
      <c r="E1508" t="s">
        <v>4866</v>
      </c>
      <c r="F1508" t="s">
        <v>1968</v>
      </c>
      <c r="G1508" t="s">
        <v>4867</v>
      </c>
      <c r="H1508" t="s">
        <v>4234</v>
      </c>
      <c r="I1508" t="b">
        <v>1</v>
      </c>
      <c r="J1508">
        <v>240</v>
      </c>
      <c r="K1508">
        <v>2063</v>
      </c>
      <c r="L1508">
        <v>5</v>
      </c>
      <c r="M1508">
        <f>COUNTIF(H1508:$H$2581,H1508)</f>
        <v>79</v>
      </c>
    </row>
    <row r="1509" spans="1:16" x14ac:dyDescent="0.2">
      <c r="A1509">
        <v>2183</v>
      </c>
      <c r="B1509" t="s">
        <v>1180</v>
      </c>
      <c r="C1509" t="s">
        <v>4917</v>
      </c>
      <c r="D1509" t="s">
        <v>13</v>
      </c>
      <c r="E1509" s="1" t="s">
        <v>4918</v>
      </c>
      <c r="F1509" t="s">
        <v>1183</v>
      </c>
      <c r="G1509" t="s">
        <v>4919</v>
      </c>
      <c r="H1509" t="s">
        <v>4234</v>
      </c>
      <c r="I1509" t="b">
        <v>1</v>
      </c>
      <c r="J1509">
        <v>256</v>
      </c>
      <c r="K1509">
        <v>2184</v>
      </c>
      <c r="L1509">
        <v>34</v>
      </c>
      <c r="M1509">
        <f>COUNTIF(H1509:$H$2581,H1509)</f>
        <v>78</v>
      </c>
    </row>
    <row r="1510" spans="1:16" x14ac:dyDescent="0.2">
      <c r="A1510">
        <v>183</v>
      </c>
      <c r="B1510" t="s">
        <v>557</v>
      </c>
      <c r="C1510" t="s">
        <v>4934</v>
      </c>
      <c r="D1510" t="s">
        <v>54</v>
      </c>
      <c r="E1510" t="s">
        <v>4935</v>
      </c>
      <c r="F1510" t="s">
        <v>560</v>
      </c>
      <c r="G1510" t="s">
        <v>4936</v>
      </c>
      <c r="H1510" t="s">
        <v>4234</v>
      </c>
      <c r="I1510" t="s">
        <v>24</v>
      </c>
      <c r="J1510">
        <v>34</v>
      </c>
      <c r="K1510">
        <v>184</v>
      </c>
      <c r="L1510">
        <v>87</v>
      </c>
      <c r="M1510">
        <f>COUNTIF(H1510:$H$2581,H1510)</f>
        <v>77</v>
      </c>
    </row>
    <row r="1511" spans="1:16" x14ac:dyDescent="0.2">
      <c r="A1511">
        <v>64</v>
      </c>
      <c r="B1511" t="s">
        <v>25</v>
      </c>
      <c r="C1511" t="s">
        <v>4948</v>
      </c>
      <c r="D1511" t="s">
        <v>13</v>
      </c>
      <c r="E1511" t="s">
        <v>4949</v>
      </c>
      <c r="F1511" t="s">
        <v>28</v>
      </c>
      <c r="G1511" t="s">
        <v>4950</v>
      </c>
      <c r="H1511" t="s">
        <v>4234</v>
      </c>
      <c r="I1511" t="b">
        <v>1</v>
      </c>
      <c r="J1511">
        <v>11</v>
      </c>
      <c r="K1511">
        <v>65</v>
      </c>
      <c r="L1511">
        <v>48</v>
      </c>
      <c r="M1511">
        <f>COUNTIF(H1511:$H$2581,H1511)</f>
        <v>76</v>
      </c>
    </row>
    <row r="1512" spans="1:16" x14ac:dyDescent="0.2">
      <c r="A1512">
        <v>2093</v>
      </c>
      <c r="B1512" t="s">
        <v>255</v>
      </c>
      <c r="C1512" t="s">
        <v>5028</v>
      </c>
      <c r="D1512" t="s">
        <v>54</v>
      </c>
      <c r="E1512" t="s">
        <v>5029</v>
      </c>
      <c r="F1512" t="s">
        <v>258</v>
      </c>
      <c r="G1512" t="s">
        <v>5030</v>
      </c>
      <c r="H1512" t="s">
        <v>4234</v>
      </c>
      <c r="I1512" t="s">
        <v>24</v>
      </c>
      <c r="J1512">
        <v>242</v>
      </c>
      <c r="K1512">
        <v>2094</v>
      </c>
      <c r="L1512">
        <v>123</v>
      </c>
      <c r="M1512">
        <f>COUNTIF(H1512:$H$2581,H1512)</f>
        <v>75</v>
      </c>
    </row>
    <row r="1513" spans="1:16" x14ac:dyDescent="0.2">
      <c r="A1513">
        <v>306</v>
      </c>
      <c r="B1513" t="s">
        <v>784</v>
      </c>
      <c r="C1513" t="s">
        <v>5045</v>
      </c>
      <c r="D1513" t="s">
        <v>33</v>
      </c>
      <c r="E1513" t="s">
        <v>5046</v>
      </c>
      <c r="F1513" t="s">
        <v>787</v>
      </c>
      <c r="G1513" t="s">
        <v>5047</v>
      </c>
      <c r="H1513" t="s">
        <v>4234</v>
      </c>
      <c r="I1513" t="b">
        <v>0</v>
      </c>
      <c r="J1513">
        <v>45</v>
      </c>
      <c r="K1513">
        <v>307</v>
      </c>
      <c r="L1513">
        <v>141</v>
      </c>
      <c r="M1513">
        <f>COUNTIF(H1513:$H$2581,H1513)</f>
        <v>74</v>
      </c>
    </row>
    <row r="1514" spans="1:16" x14ac:dyDescent="0.2">
      <c r="A1514">
        <v>853</v>
      </c>
      <c r="B1514" t="s">
        <v>193</v>
      </c>
      <c r="C1514" t="s">
        <v>5059</v>
      </c>
      <c r="D1514" t="s">
        <v>54</v>
      </c>
      <c r="E1514" t="s">
        <v>5060</v>
      </c>
      <c r="F1514" t="s">
        <v>196</v>
      </c>
      <c r="G1514" t="s">
        <v>5061</v>
      </c>
      <c r="H1514" t="s">
        <v>4234</v>
      </c>
      <c r="I1514" t="s">
        <v>24</v>
      </c>
      <c r="J1514">
        <v>117</v>
      </c>
      <c r="K1514">
        <v>854</v>
      </c>
      <c r="L1514">
        <v>329</v>
      </c>
      <c r="M1514">
        <f>COUNTIF(H1514:$H$2581,H1514)</f>
        <v>73</v>
      </c>
    </row>
    <row r="1515" spans="1:16" x14ac:dyDescent="0.2">
      <c r="A1515">
        <v>1333</v>
      </c>
      <c r="B1515" t="s">
        <v>2235</v>
      </c>
      <c r="C1515" t="s">
        <v>5099</v>
      </c>
      <c r="D1515" t="s">
        <v>54</v>
      </c>
      <c r="E1515" t="s">
        <v>5100</v>
      </c>
      <c r="F1515" t="s">
        <v>2238</v>
      </c>
      <c r="G1515" t="s">
        <v>5101</v>
      </c>
      <c r="H1515" t="s">
        <v>4234</v>
      </c>
      <c r="I1515" t="b">
        <v>0</v>
      </c>
      <c r="J1515">
        <v>163</v>
      </c>
      <c r="K1515">
        <v>1334</v>
      </c>
      <c r="L1515">
        <v>449</v>
      </c>
      <c r="M1515">
        <f>COUNTIF(H1515:$H$2581,H1515)</f>
        <v>72</v>
      </c>
      <c r="P1515">
        <f>13+29+28</f>
        <v>70</v>
      </c>
    </row>
    <row r="1516" spans="1:16" x14ac:dyDescent="0.2">
      <c r="A1516">
        <v>1286</v>
      </c>
      <c r="B1516" t="s">
        <v>1221</v>
      </c>
      <c r="C1516" t="s">
        <v>5124</v>
      </c>
      <c r="D1516" t="s">
        <v>13</v>
      </c>
      <c r="E1516" t="s">
        <v>5125</v>
      </c>
      <c r="F1516" t="s">
        <v>1224</v>
      </c>
      <c r="G1516" t="s">
        <v>5126</v>
      </c>
      <c r="H1516" t="s">
        <v>4234</v>
      </c>
      <c r="I1516" t="b">
        <v>1</v>
      </c>
      <c r="J1516">
        <v>158</v>
      </c>
      <c r="K1516">
        <v>1287</v>
      </c>
      <c r="L1516">
        <v>421</v>
      </c>
      <c r="M1516">
        <f>COUNTIF(H1516:$H$2581,H1516)</f>
        <v>71</v>
      </c>
    </row>
    <row r="1517" spans="1:16" x14ac:dyDescent="0.2">
      <c r="A1517">
        <v>615</v>
      </c>
      <c r="B1517" t="s">
        <v>1491</v>
      </c>
      <c r="C1517" t="s">
        <v>5158</v>
      </c>
      <c r="D1517" t="s">
        <v>33</v>
      </c>
      <c r="E1517" t="s">
        <v>5159</v>
      </c>
      <c r="F1517" t="s">
        <v>1494</v>
      </c>
      <c r="G1517" t="s">
        <v>5160</v>
      </c>
      <c r="H1517" t="s">
        <v>4234</v>
      </c>
      <c r="I1517" t="b">
        <v>0</v>
      </c>
      <c r="J1517">
        <v>91</v>
      </c>
      <c r="K1517">
        <v>616</v>
      </c>
      <c r="L1517">
        <v>103</v>
      </c>
      <c r="M1517">
        <f>COUNTIF(H1517:$H$2581,H1517)</f>
        <v>70</v>
      </c>
    </row>
    <row r="1518" spans="1:16" x14ac:dyDescent="0.2">
      <c r="A1518">
        <v>1248</v>
      </c>
      <c r="B1518" t="s">
        <v>858</v>
      </c>
      <c r="C1518" t="s">
        <v>5186</v>
      </c>
      <c r="D1518" t="s">
        <v>33</v>
      </c>
      <c r="E1518" t="s">
        <v>5187</v>
      </c>
      <c r="F1518" t="s">
        <v>861</v>
      </c>
      <c r="G1518" t="s">
        <v>5188</v>
      </c>
      <c r="H1518" t="s">
        <v>4234</v>
      </c>
      <c r="I1518" t="b">
        <v>0</v>
      </c>
      <c r="J1518">
        <v>153</v>
      </c>
      <c r="K1518">
        <v>1249</v>
      </c>
      <c r="L1518">
        <v>184</v>
      </c>
      <c r="M1518">
        <f>COUNTIF(H1518:$H$2581,H1518)</f>
        <v>69</v>
      </c>
    </row>
    <row r="1519" spans="1:16" x14ac:dyDescent="0.2">
      <c r="A1519">
        <v>2229</v>
      </c>
      <c r="B1519" t="s">
        <v>165</v>
      </c>
      <c r="C1519" t="s">
        <v>5214</v>
      </c>
      <c r="D1519" t="s">
        <v>33</v>
      </c>
      <c r="E1519" t="s">
        <v>5215</v>
      </c>
      <c r="F1519" t="s">
        <v>168</v>
      </c>
      <c r="G1519" t="s">
        <v>5216</v>
      </c>
      <c r="H1519" t="s">
        <v>4234</v>
      </c>
      <c r="I1519" t="s">
        <v>24</v>
      </c>
      <c r="J1519">
        <v>261</v>
      </c>
      <c r="K1519">
        <v>2230</v>
      </c>
      <c r="L1519">
        <v>425</v>
      </c>
      <c r="M1519">
        <f>COUNTIF(H1519:$H$2581,H1519)</f>
        <v>68</v>
      </c>
    </row>
    <row r="1520" spans="1:16" x14ac:dyDescent="0.2">
      <c r="A1520">
        <v>1455</v>
      </c>
      <c r="B1520" t="s">
        <v>2651</v>
      </c>
      <c r="C1520" t="s">
        <v>5230</v>
      </c>
      <c r="D1520" t="s">
        <v>33</v>
      </c>
      <c r="E1520" t="s">
        <v>5231</v>
      </c>
      <c r="F1520" t="s">
        <v>2654</v>
      </c>
      <c r="G1520" t="s">
        <v>5232</v>
      </c>
      <c r="H1520" t="s">
        <v>4234</v>
      </c>
      <c r="I1520" t="b">
        <v>0</v>
      </c>
      <c r="J1520">
        <v>176</v>
      </c>
      <c r="K1520">
        <v>1456</v>
      </c>
      <c r="L1520">
        <v>117</v>
      </c>
      <c r="M1520">
        <f>COUNTIF(H1520:$H$2581,H1520)</f>
        <v>67</v>
      </c>
    </row>
    <row r="1521" spans="1:13" x14ac:dyDescent="0.2">
      <c r="A1521">
        <v>2045</v>
      </c>
      <c r="B1521" t="s">
        <v>1313</v>
      </c>
      <c r="C1521" t="s">
        <v>5291</v>
      </c>
      <c r="D1521" t="s">
        <v>13</v>
      </c>
      <c r="E1521" t="s">
        <v>5292</v>
      </c>
      <c r="F1521" t="s">
        <v>1316</v>
      </c>
      <c r="G1521" t="s">
        <v>5293</v>
      </c>
      <c r="H1521" t="s">
        <v>4234</v>
      </c>
      <c r="I1521" t="s">
        <v>24</v>
      </c>
      <c r="J1521">
        <v>238</v>
      </c>
      <c r="K1521">
        <v>2046</v>
      </c>
      <c r="L1521">
        <v>35</v>
      </c>
      <c r="M1521">
        <f>COUNTIF(H1521:$H$2581,H1521)</f>
        <v>66</v>
      </c>
    </row>
    <row r="1522" spans="1:13" x14ac:dyDescent="0.2">
      <c r="A1522">
        <v>2437</v>
      </c>
      <c r="B1522" t="s">
        <v>1327</v>
      </c>
      <c r="C1522" t="s">
        <v>5415</v>
      </c>
      <c r="D1522" t="s">
        <v>33</v>
      </c>
      <c r="E1522" t="s">
        <v>5416</v>
      </c>
      <c r="F1522" t="s">
        <v>1330</v>
      </c>
      <c r="G1522" t="s">
        <v>5417</v>
      </c>
      <c r="H1522" t="s">
        <v>4234</v>
      </c>
      <c r="I1522" t="b">
        <v>0</v>
      </c>
      <c r="J1522">
        <v>283</v>
      </c>
      <c r="K1522">
        <v>2438</v>
      </c>
      <c r="L1522">
        <v>24</v>
      </c>
      <c r="M1522">
        <f>COUNTIF(H1522:$H$2581,H1522)</f>
        <v>65</v>
      </c>
    </row>
    <row r="1523" spans="1:13" x14ac:dyDescent="0.2">
      <c r="A1523">
        <v>2206</v>
      </c>
      <c r="B1523" t="s">
        <v>3041</v>
      </c>
      <c r="C1523" t="s">
        <v>5463</v>
      </c>
      <c r="D1523" t="s">
        <v>33</v>
      </c>
      <c r="E1523" t="s">
        <v>5464</v>
      </c>
      <c r="F1523" t="s">
        <v>3044</v>
      </c>
      <c r="G1523" t="s">
        <v>5465</v>
      </c>
      <c r="H1523" t="s">
        <v>4234</v>
      </c>
      <c r="I1523" t="b">
        <v>0</v>
      </c>
      <c r="J1523">
        <v>259</v>
      </c>
      <c r="K1523">
        <v>2207</v>
      </c>
      <c r="L1523">
        <v>12</v>
      </c>
      <c r="M1523">
        <f>COUNTIF(H1523:$H$2581,H1523)</f>
        <v>64</v>
      </c>
    </row>
    <row r="1524" spans="1:13" x14ac:dyDescent="0.2">
      <c r="A1524">
        <v>2335</v>
      </c>
      <c r="B1524" t="s">
        <v>900</v>
      </c>
      <c r="C1524" t="s">
        <v>5551</v>
      </c>
      <c r="D1524" t="s">
        <v>54</v>
      </c>
      <c r="E1524" t="s">
        <v>5552</v>
      </c>
      <c r="F1524" t="s">
        <v>903</v>
      </c>
      <c r="G1524" t="s">
        <v>5553</v>
      </c>
      <c r="H1524" t="s">
        <v>4234</v>
      </c>
      <c r="I1524" t="b">
        <v>0</v>
      </c>
      <c r="J1524">
        <v>274</v>
      </c>
      <c r="K1524">
        <v>2336</v>
      </c>
      <c r="L1524">
        <v>13</v>
      </c>
      <c r="M1524">
        <f>COUNTIF(H1524:$H$2581,H1524)</f>
        <v>63</v>
      </c>
    </row>
    <row r="1525" spans="1:13" x14ac:dyDescent="0.2">
      <c r="A1525">
        <v>2410</v>
      </c>
      <c r="B1525" t="s">
        <v>793</v>
      </c>
      <c r="C1525" t="s">
        <v>5636</v>
      </c>
      <c r="D1525" t="s">
        <v>13</v>
      </c>
      <c r="E1525" t="s">
        <v>5637</v>
      </c>
      <c r="F1525" t="s">
        <v>796</v>
      </c>
      <c r="G1525" t="s">
        <v>5638</v>
      </c>
      <c r="H1525" t="s">
        <v>4234</v>
      </c>
      <c r="I1525" t="s">
        <v>24</v>
      </c>
      <c r="J1525">
        <v>282</v>
      </c>
      <c r="K1525">
        <v>2411</v>
      </c>
      <c r="L1525">
        <v>50</v>
      </c>
      <c r="M1525">
        <f>COUNTIF(H1525:$H$2581,H1525)</f>
        <v>62</v>
      </c>
    </row>
    <row r="1526" spans="1:13" x14ac:dyDescent="0.2">
      <c r="A1526">
        <v>124</v>
      </c>
      <c r="B1526" t="s">
        <v>52</v>
      </c>
      <c r="C1526" t="s">
        <v>5660</v>
      </c>
      <c r="D1526" t="s">
        <v>54</v>
      </c>
      <c r="E1526" t="s">
        <v>5661</v>
      </c>
      <c r="F1526" t="s">
        <v>56</v>
      </c>
      <c r="G1526" t="s">
        <v>5662</v>
      </c>
      <c r="H1526" t="s">
        <v>4234</v>
      </c>
      <c r="I1526" t="b">
        <v>0</v>
      </c>
      <c r="J1526">
        <v>22</v>
      </c>
      <c r="K1526">
        <v>125</v>
      </c>
      <c r="L1526">
        <v>57</v>
      </c>
      <c r="M1526">
        <f>COUNTIF(H1526:$H$2581,H1526)</f>
        <v>61</v>
      </c>
    </row>
    <row r="1527" spans="1:13" x14ac:dyDescent="0.2">
      <c r="A1527">
        <v>2439</v>
      </c>
      <c r="B1527" t="s">
        <v>1327</v>
      </c>
      <c r="C1527" t="s">
        <v>5820</v>
      </c>
      <c r="D1527" t="s">
        <v>54</v>
      </c>
      <c r="E1527" t="s">
        <v>5821</v>
      </c>
      <c r="F1527" t="s">
        <v>1330</v>
      </c>
      <c r="G1527" t="s">
        <v>5822</v>
      </c>
      <c r="H1527" t="s">
        <v>4234</v>
      </c>
      <c r="I1527" t="b">
        <v>0</v>
      </c>
      <c r="J1527">
        <v>283</v>
      </c>
      <c r="K1527">
        <v>2440</v>
      </c>
      <c r="L1527">
        <v>25</v>
      </c>
      <c r="M1527">
        <f>COUNTIF(H1527:$H$2581,H1527)</f>
        <v>60</v>
      </c>
    </row>
    <row r="1528" spans="1:13" x14ac:dyDescent="0.2">
      <c r="A1528">
        <v>2249</v>
      </c>
      <c r="B1528" t="s">
        <v>411</v>
      </c>
      <c r="C1528" t="s">
        <v>5979</v>
      </c>
      <c r="D1528" t="s">
        <v>13</v>
      </c>
      <c r="E1528" t="s">
        <v>5980</v>
      </c>
      <c r="F1528" t="s">
        <v>414</v>
      </c>
      <c r="G1528" t="s">
        <v>5981</v>
      </c>
      <c r="H1528" t="s">
        <v>4234</v>
      </c>
      <c r="I1528" t="s">
        <v>24</v>
      </c>
      <c r="J1528">
        <v>262</v>
      </c>
      <c r="K1528">
        <v>2250</v>
      </c>
      <c r="L1528">
        <v>124</v>
      </c>
      <c r="M1528">
        <f>COUNTIF(H1528:$H$2581,H1528)</f>
        <v>59</v>
      </c>
    </row>
    <row r="1529" spans="1:13" x14ac:dyDescent="0.2">
      <c r="A1529">
        <v>938</v>
      </c>
      <c r="B1529" t="s">
        <v>498</v>
      </c>
      <c r="C1529" t="s">
        <v>6012</v>
      </c>
      <c r="D1529" t="s">
        <v>54</v>
      </c>
      <c r="E1529" t="s">
        <v>6013</v>
      </c>
      <c r="F1529" t="s">
        <v>501</v>
      </c>
      <c r="G1529" t="s">
        <v>6014</v>
      </c>
      <c r="H1529" t="s">
        <v>4234</v>
      </c>
      <c r="I1529" t="b">
        <v>0</v>
      </c>
      <c r="J1529">
        <v>122</v>
      </c>
      <c r="K1529">
        <v>939</v>
      </c>
      <c r="L1529">
        <v>354</v>
      </c>
      <c r="M1529">
        <f>COUNTIF(H1529:$H$2581,H1529)</f>
        <v>58</v>
      </c>
    </row>
    <row r="1530" spans="1:13" x14ac:dyDescent="0.2">
      <c r="A1530">
        <v>1111</v>
      </c>
      <c r="B1530" t="s">
        <v>1103</v>
      </c>
      <c r="C1530" t="s">
        <v>6043</v>
      </c>
      <c r="D1530" t="s">
        <v>54</v>
      </c>
      <c r="E1530" t="s">
        <v>6044</v>
      </c>
      <c r="F1530" t="s">
        <v>1106</v>
      </c>
      <c r="G1530" t="s">
        <v>6045</v>
      </c>
      <c r="H1530" t="s">
        <v>4234</v>
      </c>
      <c r="I1530" t="s">
        <v>24</v>
      </c>
      <c r="J1530">
        <v>134</v>
      </c>
      <c r="K1530">
        <v>1112</v>
      </c>
      <c r="L1530">
        <v>199</v>
      </c>
      <c r="M1530">
        <f>COUNTIF(H1530:$H$2581,H1530)</f>
        <v>57</v>
      </c>
    </row>
    <row r="1531" spans="1:13" x14ac:dyDescent="0.2">
      <c r="A1531">
        <v>1775</v>
      </c>
      <c r="B1531" t="s">
        <v>216</v>
      </c>
      <c r="C1531" t="s">
        <v>6072</v>
      </c>
      <c r="D1531" t="s">
        <v>13</v>
      </c>
      <c r="E1531" t="s">
        <v>6073</v>
      </c>
      <c r="F1531" t="s">
        <v>219</v>
      </c>
      <c r="G1531" t="s">
        <v>6074</v>
      </c>
      <c r="H1531" t="s">
        <v>4234</v>
      </c>
      <c r="I1531" t="b">
        <v>1</v>
      </c>
      <c r="J1531">
        <v>209</v>
      </c>
      <c r="K1531">
        <v>1776</v>
      </c>
      <c r="L1531">
        <v>273</v>
      </c>
      <c r="M1531">
        <f>COUNTIF(H1531:$H$2581,H1531)</f>
        <v>56</v>
      </c>
    </row>
    <row r="1532" spans="1:13" x14ac:dyDescent="0.2">
      <c r="A1532">
        <v>447</v>
      </c>
      <c r="B1532" t="s">
        <v>778</v>
      </c>
      <c r="C1532" t="s">
        <v>6108</v>
      </c>
      <c r="D1532" t="s">
        <v>13</v>
      </c>
      <c r="E1532" t="s">
        <v>6109</v>
      </c>
      <c r="F1532" t="s">
        <v>781</v>
      </c>
      <c r="G1532" t="s">
        <v>6110</v>
      </c>
      <c r="H1532" t="s">
        <v>4234</v>
      </c>
      <c r="I1532" t="b">
        <v>0</v>
      </c>
      <c r="J1532">
        <v>64</v>
      </c>
      <c r="K1532">
        <v>448</v>
      </c>
      <c r="L1532">
        <v>200</v>
      </c>
      <c r="M1532">
        <f>COUNTIF(H1532:$H$2581,H1532)</f>
        <v>55</v>
      </c>
    </row>
    <row r="1533" spans="1:13" x14ac:dyDescent="0.2">
      <c r="A1533">
        <v>1960</v>
      </c>
      <c r="B1533" t="s">
        <v>1472</v>
      </c>
      <c r="C1533" t="s">
        <v>6185</v>
      </c>
      <c r="D1533" t="s">
        <v>13</v>
      </c>
      <c r="E1533" t="s">
        <v>6186</v>
      </c>
      <c r="F1533" t="s">
        <v>1475</v>
      </c>
      <c r="G1533" t="s">
        <v>6187</v>
      </c>
      <c r="H1533" t="s">
        <v>4234</v>
      </c>
      <c r="I1533" t="b">
        <v>0</v>
      </c>
      <c r="J1533">
        <v>225</v>
      </c>
      <c r="K1533">
        <v>1961</v>
      </c>
      <c r="L1533">
        <v>167</v>
      </c>
      <c r="M1533">
        <f>COUNTIF(H1533:$H$2581,H1533)</f>
        <v>54</v>
      </c>
    </row>
    <row r="1534" spans="1:13" x14ac:dyDescent="0.2">
      <c r="A1534">
        <v>141</v>
      </c>
      <c r="B1534" t="s">
        <v>648</v>
      </c>
      <c r="C1534" t="s">
        <v>6235</v>
      </c>
      <c r="D1534" t="s">
        <v>54</v>
      </c>
      <c r="E1534" t="s">
        <v>6236</v>
      </c>
      <c r="F1534" t="s">
        <v>651</v>
      </c>
      <c r="G1534" t="s">
        <v>6237</v>
      </c>
      <c r="H1534" t="s">
        <v>4234</v>
      </c>
      <c r="I1534" t="b">
        <v>0</v>
      </c>
      <c r="J1534">
        <v>25</v>
      </c>
      <c r="K1534">
        <v>142</v>
      </c>
      <c r="L1534">
        <v>78</v>
      </c>
      <c r="M1534">
        <f>COUNTIF(H1534:$H$2581,H1534)</f>
        <v>53</v>
      </c>
    </row>
    <row r="1535" spans="1:13" x14ac:dyDescent="0.2">
      <c r="A1535">
        <v>2233</v>
      </c>
      <c r="B1535" t="s">
        <v>165</v>
      </c>
      <c r="C1535" t="s">
        <v>6323</v>
      </c>
      <c r="D1535" t="s">
        <v>54</v>
      </c>
      <c r="E1535" t="s">
        <v>6324</v>
      </c>
      <c r="F1535" t="s">
        <v>168</v>
      </c>
      <c r="G1535" t="s">
        <v>6325</v>
      </c>
      <c r="H1535" t="s">
        <v>4234</v>
      </c>
      <c r="I1535" t="s">
        <v>24</v>
      </c>
      <c r="J1535">
        <v>261</v>
      </c>
      <c r="K1535">
        <v>2234</v>
      </c>
      <c r="L1535">
        <v>9</v>
      </c>
      <c r="M1535">
        <f>COUNTIF(H1535:$H$2581,H1535)</f>
        <v>52</v>
      </c>
    </row>
    <row r="1536" spans="1:13" x14ac:dyDescent="0.2">
      <c r="A1536">
        <v>68</v>
      </c>
      <c r="B1536" t="s">
        <v>25</v>
      </c>
      <c r="C1536" t="s">
        <v>6340</v>
      </c>
      <c r="D1536" t="s">
        <v>54</v>
      </c>
      <c r="E1536" t="s">
        <v>6341</v>
      </c>
      <c r="F1536" t="s">
        <v>28</v>
      </c>
      <c r="G1536" t="s">
        <v>6342</v>
      </c>
      <c r="H1536" t="s">
        <v>4234</v>
      </c>
      <c r="I1536" t="b">
        <v>1</v>
      </c>
      <c r="J1536">
        <v>11</v>
      </c>
      <c r="K1536">
        <v>69</v>
      </c>
      <c r="L1536">
        <v>51</v>
      </c>
      <c r="M1536">
        <f>COUNTIF(H1536:$H$2581,H1536)</f>
        <v>51</v>
      </c>
    </row>
    <row r="1537" spans="1:13" x14ac:dyDescent="0.2">
      <c r="A1537">
        <v>666</v>
      </c>
      <c r="B1537" t="s">
        <v>2053</v>
      </c>
      <c r="C1537" t="s">
        <v>6369</v>
      </c>
      <c r="D1537" t="s">
        <v>54</v>
      </c>
      <c r="E1537" t="s">
        <v>6370</v>
      </c>
      <c r="F1537" s="1" t="s">
        <v>2056</v>
      </c>
      <c r="G1537" t="s">
        <v>6371</v>
      </c>
      <c r="H1537" t="s">
        <v>4234</v>
      </c>
      <c r="I1537" t="s">
        <v>24</v>
      </c>
      <c r="J1537">
        <v>98</v>
      </c>
      <c r="K1537">
        <v>667</v>
      </c>
      <c r="L1537">
        <v>213</v>
      </c>
      <c r="M1537">
        <f>COUNTIF(H1537:$H$2581,H1537)</f>
        <v>50</v>
      </c>
    </row>
    <row r="1538" spans="1:13" x14ac:dyDescent="0.2">
      <c r="A1538">
        <v>2340</v>
      </c>
      <c r="B1538" t="s">
        <v>900</v>
      </c>
      <c r="C1538" t="s">
        <v>6432</v>
      </c>
      <c r="D1538" t="s">
        <v>33</v>
      </c>
      <c r="E1538" t="s">
        <v>6433</v>
      </c>
      <c r="F1538" t="s">
        <v>903</v>
      </c>
      <c r="G1538" t="s">
        <v>6434</v>
      </c>
      <c r="H1538" t="s">
        <v>4234</v>
      </c>
      <c r="I1538" t="b">
        <v>0</v>
      </c>
      <c r="J1538">
        <v>274</v>
      </c>
      <c r="K1538">
        <v>2341</v>
      </c>
      <c r="L1538">
        <v>161</v>
      </c>
      <c r="M1538">
        <f>COUNTIF(H1538:$H$2581,H1538)</f>
        <v>49</v>
      </c>
    </row>
    <row r="1539" spans="1:13" x14ac:dyDescent="0.2">
      <c r="A1539">
        <v>1961</v>
      </c>
      <c r="B1539" t="s">
        <v>1472</v>
      </c>
      <c r="C1539" t="s">
        <v>6456</v>
      </c>
      <c r="D1539" t="s">
        <v>33</v>
      </c>
      <c r="E1539" t="s">
        <v>6457</v>
      </c>
      <c r="F1539" t="s">
        <v>1475</v>
      </c>
      <c r="G1539" t="s">
        <v>6458</v>
      </c>
      <c r="H1539" t="s">
        <v>4234</v>
      </c>
      <c r="I1539" t="b">
        <v>0</v>
      </c>
      <c r="J1539">
        <v>225</v>
      </c>
      <c r="K1539">
        <v>1962</v>
      </c>
      <c r="L1539">
        <v>234</v>
      </c>
      <c r="M1539">
        <f>COUNTIF(H1539:$H$2581,H1539)</f>
        <v>48</v>
      </c>
    </row>
    <row r="1540" spans="1:13" x14ac:dyDescent="0.2">
      <c r="A1540">
        <v>2411</v>
      </c>
      <c r="B1540" t="s">
        <v>793</v>
      </c>
      <c r="C1540" t="s">
        <v>6660</v>
      </c>
      <c r="D1540" t="s">
        <v>13</v>
      </c>
      <c r="E1540" t="s">
        <v>6661</v>
      </c>
      <c r="F1540" t="s">
        <v>796</v>
      </c>
      <c r="G1540" t="s">
        <v>6662</v>
      </c>
      <c r="H1540" t="s">
        <v>4234</v>
      </c>
      <c r="I1540" t="s">
        <v>24</v>
      </c>
      <c r="J1540">
        <v>282</v>
      </c>
      <c r="K1540">
        <v>2412</v>
      </c>
      <c r="L1540">
        <v>7</v>
      </c>
      <c r="M1540">
        <f>COUNTIF(H1540:$H$2581,H1540)</f>
        <v>47</v>
      </c>
    </row>
    <row r="1541" spans="1:13" x14ac:dyDescent="0.2">
      <c r="A1541">
        <v>674</v>
      </c>
      <c r="B1541" t="s">
        <v>822</v>
      </c>
      <c r="C1541" t="s">
        <v>6695</v>
      </c>
      <c r="D1541" t="s">
        <v>13</v>
      </c>
      <c r="E1541" t="s">
        <v>6696</v>
      </c>
      <c r="F1541" t="s">
        <v>825</v>
      </c>
      <c r="G1541" t="s">
        <v>6697</v>
      </c>
      <c r="H1541" t="s">
        <v>4234</v>
      </c>
      <c r="I1541" t="s">
        <v>24</v>
      </c>
      <c r="J1541">
        <v>99</v>
      </c>
      <c r="K1541">
        <v>675</v>
      </c>
      <c r="L1541">
        <v>287</v>
      </c>
      <c r="M1541">
        <f>COUNTIF(H1541:$H$2581,H1541)</f>
        <v>46</v>
      </c>
    </row>
    <row r="1542" spans="1:13" x14ac:dyDescent="0.2">
      <c r="A1542">
        <v>1830</v>
      </c>
      <c r="B1542" t="s">
        <v>1589</v>
      </c>
      <c r="C1542" t="s">
        <v>6715</v>
      </c>
      <c r="D1542" t="s">
        <v>54</v>
      </c>
      <c r="E1542" t="s">
        <v>6716</v>
      </c>
      <c r="F1542" t="s">
        <v>1592</v>
      </c>
      <c r="G1542" t="s">
        <v>6717</v>
      </c>
      <c r="H1542" t="s">
        <v>4234</v>
      </c>
      <c r="I1542" t="s">
        <v>24</v>
      </c>
      <c r="J1542">
        <v>213</v>
      </c>
      <c r="K1542">
        <v>1831</v>
      </c>
      <c r="L1542">
        <v>162</v>
      </c>
      <c r="M1542">
        <f>COUNTIF(H1542:$H$2581,H1542)</f>
        <v>45</v>
      </c>
    </row>
    <row r="1543" spans="1:13" x14ac:dyDescent="0.2">
      <c r="A1543">
        <v>901</v>
      </c>
      <c r="B1543" t="s">
        <v>198</v>
      </c>
      <c r="C1543" t="s">
        <v>6747</v>
      </c>
      <c r="D1543" t="s">
        <v>54</v>
      </c>
      <c r="E1543" t="s">
        <v>6748</v>
      </c>
      <c r="F1543" t="s">
        <v>201</v>
      </c>
      <c r="G1543" t="s">
        <v>6749</v>
      </c>
      <c r="H1543" t="s">
        <v>4234</v>
      </c>
      <c r="I1543" t="b">
        <v>0</v>
      </c>
      <c r="J1543">
        <v>120</v>
      </c>
      <c r="K1543">
        <v>902</v>
      </c>
      <c r="L1543">
        <v>339</v>
      </c>
      <c r="M1543">
        <f>COUNTIF(H1543:$H$2581,H1543)</f>
        <v>44</v>
      </c>
    </row>
    <row r="1544" spans="1:13" x14ac:dyDescent="0.2">
      <c r="A1544">
        <v>2412</v>
      </c>
      <c r="B1544" t="s">
        <v>793</v>
      </c>
      <c r="C1544" t="s">
        <v>6804</v>
      </c>
      <c r="D1544" t="s">
        <v>13</v>
      </c>
      <c r="E1544" t="s">
        <v>6805</v>
      </c>
      <c r="F1544" t="s">
        <v>796</v>
      </c>
      <c r="G1544" t="s">
        <v>6806</v>
      </c>
      <c r="H1544" t="s">
        <v>4234</v>
      </c>
      <c r="I1544" t="s">
        <v>24</v>
      </c>
      <c r="J1544">
        <v>282</v>
      </c>
      <c r="K1544">
        <v>2413</v>
      </c>
      <c r="L1544">
        <v>106</v>
      </c>
      <c r="M1544">
        <f>COUNTIF(H1544:$H$2581,H1544)</f>
        <v>43</v>
      </c>
    </row>
    <row r="1545" spans="1:13" x14ac:dyDescent="0.2">
      <c r="A1545">
        <v>2250</v>
      </c>
      <c r="B1545" t="s">
        <v>411</v>
      </c>
      <c r="C1545" t="s">
        <v>6906</v>
      </c>
      <c r="D1545" t="s">
        <v>13</v>
      </c>
      <c r="E1545" s="1" t="s">
        <v>6907</v>
      </c>
      <c r="F1545" t="s">
        <v>414</v>
      </c>
      <c r="G1545" t="s">
        <v>6908</v>
      </c>
      <c r="H1545" t="s">
        <v>4234</v>
      </c>
      <c r="I1545" t="s">
        <v>24</v>
      </c>
      <c r="J1545">
        <v>262</v>
      </c>
      <c r="K1545">
        <v>2251</v>
      </c>
      <c r="L1545">
        <v>125</v>
      </c>
      <c r="M1545">
        <f>COUNTIF(H1545:$H$2581,H1545)</f>
        <v>42</v>
      </c>
    </row>
    <row r="1546" spans="1:13" x14ac:dyDescent="0.2">
      <c r="A1546">
        <v>905</v>
      </c>
      <c r="B1546" t="s">
        <v>198</v>
      </c>
      <c r="C1546" t="s">
        <v>6945</v>
      </c>
      <c r="D1546" t="s">
        <v>13</v>
      </c>
      <c r="E1546" t="s">
        <v>6946</v>
      </c>
      <c r="F1546" t="s">
        <v>201</v>
      </c>
      <c r="G1546" t="s">
        <v>6947</v>
      </c>
      <c r="H1546" t="s">
        <v>4234</v>
      </c>
      <c r="I1546" t="b">
        <v>0</v>
      </c>
      <c r="J1546">
        <v>120</v>
      </c>
      <c r="K1546">
        <v>906</v>
      </c>
      <c r="L1546">
        <v>126</v>
      </c>
      <c r="M1546">
        <f>COUNTIF(H1546:$H$2581,H1546)</f>
        <v>41</v>
      </c>
    </row>
    <row r="1547" spans="1:13" x14ac:dyDescent="0.2">
      <c r="A1547">
        <v>1753</v>
      </c>
      <c r="B1547" t="s">
        <v>1403</v>
      </c>
      <c r="C1547" t="s">
        <v>7001</v>
      </c>
      <c r="D1547" t="s">
        <v>13</v>
      </c>
      <c r="E1547" t="s">
        <v>7002</v>
      </c>
      <c r="F1547" t="s">
        <v>1406</v>
      </c>
      <c r="G1547" t="s">
        <v>7003</v>
      </c>
      <c r="H1547" t="s">
        <v>4234</v>
      </c>
      <c r="I1547" t="b">
        <v>1</v>
      </c>
      <c r="J1547">
        <v>207</v>
      </c>
      <c r="K1547">
        <v>1754</v>
      </c>
      <c r="L1547">
        <v>107</v>
      </c>
      <c r="M1547">
        <f>COUNTIF(H1547:$H$2581,H1547)</f>
        <v>40</v>
      </c>
    </row>
    <row r="1548" spans="1:13" x14ac:dyDescent="0.2">
      <c r="A1548">
        <v>2483</v>
      </c>
      <c r="B1548" t="s">
        <v>1626</v>
      </c>
      <c r="C1548" t="s">
        <v>7118</v>
      </c>
      <c r="D1548" t="s">
        <v>33</v>
      </c>
      <c r="E1548" t="s">
        <v>7119</v>
      </c>
      <c r="F1548" t="s">
        <v>1629</v>
      </c>
      <c r="G1548" t="s">
        <v>7120</v>
      </c>
      <c r="H1548" t="s">
        <v>4234</v>
      </c>
      <c r="I1548" t="b">
        <v>0</v>
      </c>
      <c r="J1548">
        <v>287</v>
      </c>
      <c r="K1548">
        <v>2484</v>
      </c>
      <c r="L1548">
        <v>14</v>
      </c>
      <c r="M1548">
        <f>COUNTIF(H1548:$H$2581,H1548)</f>
        <v>39</v>
      </c>
    </row>
    <row r="1549" spans="1:13" x14ac:dyDescent="0.2">
      <c r="A1549">
        <v>1780</v>
      </c>
      <c r="B1549" t="s">
        <v>216</v>
      </c>
      <c r="C1549" t="s">
        <v>7165</v>
      </c>
      <c r="D1549" t="s">
        <v>54</v>
      </c>
      <c r="E1549" t="s">
        <v>7166</v>
      </c>
      <c r="F1549" t="s">
        <v>219</v>
      </c>
      <c r="G1549" t="s">
        <v>7167</v>
      </c>
      <c r="H1549" t="s">
        <v>4234</v>
      </c>
      <c r="I1549" t="b">
        <v>1</v>
      </c>
      <c r="J1549">
        <v>209</v>
      </c>
      <c r="K1549">
        <v>1781</v>
      </c>
      <c r="L1549">
        <v>281</v>
      </c>
      <c r="M1549">
        <f>COUNTIF(H1549:$H$2581,H1549)</f>
        <v>38</v>
      </c>
    </row>
    <row r="1550" spans="1:13" x14ac:dyDescent="0.2">
      <c r="A1550">
        <v>2408</v>
      </c>
      <c r="B1550" t="s">
        <v>793</v>
      </c>
      <c r="C1550" t="s">
        <v>7212</v>
      </c>
      <c r="D1550" t="s">
        <v>13</v>
      </c>
      <c r="E1550" t="s">
        <v>7213</v>
      </c>
      <c r="F1550" t="s">
        <v>796</v>
      </c>
      <c r="G1550" t="s">
        <v>7214</v>
      </c>
      <c r="H1550" t="s">
        <v>4234</v>
      </c>
      <c r="I1550" t="s">
        <v>24</v>
      </c>
      <c r="J1550">
        <v>282</v>
      </c>
      <c r="K1550">
        <v>2409</v>
      </c>
      <c r="L1550">
        <v>362</v>
      </c>
      <c r="M1550">
        <f>COUNTIF(H1550:$H$2581,H1550)</f>
        <v>37</v>
      </c>
    </row>
    <row r="1551" spans="1:13" x14ac:dyDescent="0.2">
      <c r="A1551">
        <v>1694</v>
      </c>
      <c r="B1551" t="s">
        <v>129</v>
      </c>
      <c r="C1551" t="s">
        <v>7232</v>
      </c>
      <c r="D1551" t="s">
        <v>54</v>
      </c>
      <c r="E1551" t="s">
        <v>7233</v>
      </c>
      <c r="F1551" t="s">
        <v>132</v>
      </c>
      <c r="G1551" t="s">
        <v>7234</v>
      </c>
      <c r="H1551" t="s">
        <v>4234</v>
      </c>
      <c r="I1551" t="b">
        <v>1</v>
      </c>
      <c r="J1551">
        <v>204</v>
      </c>
      <c r="K1551">
        <v>1695</v>
      </c>
      <c r="L1551">
        <v>559</v>
      </c>
      <c r="M1551">
        <f>COUNTIF(H1551:$H$2581,H1551)</f>
        <v>36</v>
      </c>
    </row>
    <row r="1552" spans="1:13" x14ac:dyDescent="0.2">
      <c r="A1552">
        <v>714</v>
      </c>
      <c r="B1552" t="s">
        <v>730</v>
      </c>
      <c r="C1552" t="s">
        <v>7256</v>
      </c>
      <c r="D1552" t="s">
        <v>13</v>
      </c>
      <c r="E1552" t="s">
        <v>7257</v>
      </c>
      <c r="F1552" t="s">
        <v>733</v>
      </c>
      <c r="G1552" t="s">
        <v>7258</v>
      </c>
      <c r="H1552" t="s">
        <v>4234</v>
      </c>
      <c r="I1552" t="s">
        <v>24</v>
      </c>
      <c r="J1552">
        <v>103</v>
      </c>
      <c r="K1552">
        <v>715</v>
      </c>
      <c r="L1552">
        <v>108</v>
      </c>
      <c r="M1552">
        <f>COUNTIF(H1552:$H$2581,H1552)</f>
        <v>35</v>
      </c>
    </row>
    <row r="1553" spans="1:13" x14ac:dyDescent="0.2">
      <c r="A1553">
        <v>1726</v>
      </c>
      <c r="B1553" t="s">
        <v>725</v>
      </c>
      <c r="C1553" t="s">
        <v>7302</v>
      </c>
      <c r="D1553" t="s">
        <v>54</v>
      </c>
      <c r="E1553" t="s">
        <v>7303</v>
      </c>
      <c r="F1553" t="s">
        <v>728</v>
      </c>
      <c r="G1553" t="s">
        <v>7304</v>
      </c>
      <c r="H1553" t="s">
        <v>4234</v>
      </c>
      <c r="I1553" t="b">
        <v>1</v>
      </c>
      <c r="J1553">
        <v>205</v>
      </c>
      <c r="K1553">
        <v>1727</v>
      </c>
      <c r="L1553">
        <v>341</v>
      </c>
      <c r="M1553">
        <f>COUNTIF(H1553:$H$2581,H1553)</f>
        <v>34</v>
      </c>
    </row>
    <row r="1554" spans="1:13" x14ac:dyDescent="0.2">
      <c r="A1554">
        <v>352</v>
      </c>
      <c r="B1554" t="s">
        <v>455</v>
      </c>
      <c r="C1554" t="s">
        <v>7315</v>
      </c>
      <c r="D1554" t="s">
        <v>33</v>
      </c>
      <c r="E1554" t="s">
        <v>7316</v>
      </c>
      <c r="F1554" t="s">
        <v>458</v>
      </c>
      <c r="G1554" t="s">
        <v>7317</v>
      </c>
      <c r="H1554" t="s">
        <v>4234</v>
      </c>
      <c r="I1554" t="b">
        <v>0</v>
      </c>
      <c r="J1554">
        <v>49</v>
      </c>
      <c r="K1554">
        <v>353</v>
      </c>
      <c r="L1554">
        <v>163</v>
      </c>
      <c r="M1554">
        <f>COUNTIF(H1554:$H$2581,H1554)</f>
        <v>33</v>
      </c>
    </row>
    <row r="1555" spans="1:13" x14ac:dyDescent="0.2">
      <c r="A1555">
        <v>1975</v>
      </c>
      <c r="B1555" t="s">
        <v>608</v>
      </c>
      <c r="C1555" t="s">
        <v>7395</v>
      </c>
      <c r="D1555" t="s">
        <v>13</v>
      </c>
      <c r="E1555" s="1" t="s">
        <v>7396</v>
      </c>
      <c r="F1555" t="s">
        <v>611</v>
      </c>
      <c r="G1555" t="s">
        <v>7397</v>
      </c>
      <c r="H1555" t="s">
        <v>4234</v>
      </c>
      <c r="I1555" t="b">
        <v>1</v>
      </c>
      <c r="J1555">
        <v>227</v>
      </c>
      <c r="K1555">
        <v>1976</v>
      </c>
      <c r="L1555">
        <v>250</v>
      </c>
      <c r="M1555">
        <f>COUNTIF(H1555:$H$2581,H1555)</f>
        <v>32</v>
      </c>
    </row>
    <row r="1556" spans="1:13" x14ac:dyDescent="0.2">
      <c r="A1556">
        <v>584</v>
      </c>
      <c r="B1556" t="s">
        <v>3533</v>
      </c>
      <c r="C1556" t="s">
        <v>7466</v>
      </c>
      <c r="D1556" t="s">
        <v>54</v>
      </c>
      <c r="E1556" t="s">
        <v>7467</v>
      </c>
      <c r="F1556" t="s">
        <v>3536</v>
      </c>
      <c r="G1556" t="s">
        <v>7468</v>
      </c>
      <c r="H1556" t="s">
        <v>4234</v>
      </c>
      <c r="I1556" t="s">
        <v>24</v>
      </c>
      <c r="J1556">
        <v>87</v>
      </c>
      <c r="K1556">
        <v>585</v>
      </c>
      <c r="L1556">
        <v>53</v>
      </c>
      <c r="M1556">
        <f>COUNTIF(H1556:$H$2581,H1556)</f>
        <v>31</v>
      </c>
    </row>
    <row r="1557" spans="1:13" x14ac:dyDescent="0.2">
      <c r="A1557">
        <v>1728</v>
      </c>
      <c r="B1557" t="s">
        <v>725</v>
      </c>
      <c r="C1557" t="s">
        <v>7497</v>
      </c>
      <c r="D1557" t="s">
        <v>54</v>
      </c>
      <c r="E1557" t="s">
        <v>7498</v>
      </c>
      <c r="F1557" t="s">
        <v>728</v>
      </c>
      <c r="G1557" t="s">
        <v>7499</v>
      </c>
      <c r="H1557" t="s">
        <v>4234</v>
      </c>
      <c r="I1557" t="b">
        <v>1</v>
      </c>
      <c r="J1557">
        <v>205</v>
      </c>
      <c r="K1557">
        <v>1729</v>
      </c>
      <c r="L1557">
        <v>251</v>
      </c>
      <c r="M1557">
        <f>COUNTIF(H1557:$H$2581,H1557)</f>
        <v>30</v>
      </c>
    </row>
    <row r="1558" spans="1:13" x14ac:dyDescent="0.2">
      <c r="A1558">
        <v>2082</v>
      </c>
      <c r="B1558" t="s">
        <v>1970</v>
      </c>
      <c r="C1558" t="s">
        <v>7534</v>
      </c>
      <c r="D1558" t="s">
        <v>54</v>
      </c>
      <c r="E1558" t="s">
        <v>7535</v>
      </c>
      <c r="F1558" t="s">
        <v>1973</v>
      </c>
      <c r="G1558" t="s">
        <v>7536</v>
      </c>
      <c r="H1558" t="s">
        <v>4234</v>
      </c>
      <c r="I1558" t="s">
        <v>24</v>
      </c>
      <c r="J1558">
        <v>241</v>
      </c>
      <c r="K1558">
        <v>2083</v>
      </c>
      <c r="L1558">
        <v>26</v>
      </c>
      <c r="M1558">
        <f>COUNTIF(H1558:$H$2581,H1558)</f>
        <v>29</v>
      </c>
    </row>
    <row r="1559" spans="1:13" x14ac:dyDescent="0.2">
      <c r="A1559">
        <v>1806</v>
      </c>
      <c r="B1559" t="s">
        <v>1287</v>
      </c>
      <c r="C1559" t="s">
        <v>7576</v>
      </c>
      <c r="D1559" t="s">
        <v>54</v>
      </c>
      <c r="E1559" t="s">
        <v>7577</v>
      </c>
      <c r="F1559" t="s">
        <v>1290</v>
      </c>
      <c r="G1559" t="s">
        <v>7578</v>
      </c>
      <c r="H1559" t="s">
        <v>4234</v>
      </c>
      <c r="I1559" t="s">
        <v>24</v>
      </c>
      <c r="J1559">
        <v>210</v>
      </c>
      <c r="K1559">
        <v>1807</v>
      </c>
      <c r="L1559">
        <v>118</v>
      </c>
      <c r="M1559">
        <f>COUNTIF(H1559:$H$2581,H1559)</f>
        <v>28</v>
      </c>
    </row>
    <row r="1560" spans="1:13" x14ac:dyDescent="0.2">
      <c r="A1560">
        <v>1317</v>
      </c>
      <c r="B1560" t="s">
        <v>1915</v>
      </c>
      <c r="C1560" t="s">
        <v>7605</v>
      </c>
      <c r="D1560" t="s">
        <v>13</v>
      </c>
      <c r="E1560" t="s">
        <v>7606</v>
      </c>
      <c r="F1560" t="s">
        <v>1918</v>
      </c>
      <c r="G1560" t="s">
        <v>7607</v>
      </c>
      <c r="H1560" t="s">
        <v>4234</v>
      </c>
      <c r="I1560" t="s">
        <v>24</v>
      </c>
      <c r="J1560">
        <v>161</v>
      </c>
      <c r="K1560">
        <v>1318</v>
      </c>
      <c r="L1560">
        <v>448</v>
      </c>
      <c r="M1560">
        <f>COUNTIF(H1560:$H$2581,H1560)</f>
        <v>27</v>
      </c>
    </row>
    <row r="1561" spans="1:13" x14ac:dyDescent="0.2">
      <c r="A1561">
        <v>289</v>
      </c>
      <c r="B1561" t="s">
        <v>2105</v>
      </c>
      <c r="C1561" t="s">
        <v>7510</v>
      </c>
      <c r="D1561" t="s">
        <v>54</v>
      </c>
      <c r="E1561" t="s">
        <v>7635</v>
      </c>
      <c r="F1561" t="s">
        <v>2108</v>
      </c>
      <c r="G1561" t="s">
        <v>7636</v>
      </c>
      <c r="H1561" t="s">
        <v>4234</v>
      </c>
      <c r="I1561" t="s">
        <v>24</v>
      </c>
      <c r="J1561">
        <v>44</v>
      </c>
      <c r="K1561">
        <v>290</v>
      </c>
      <c r="L1561">
        <v>127</v>
      </c>
      <c r="M1561">
        <f>COUNTIF(H1561:$H$2581,H1561)</f>
        <v>26</v>
      </c>
    </row>
    <row r="1562" spans="1:13" x14ac:dyDescent="0.2">
      <c r="A1562">
        <v>1656</v>
      </c>
      <c r="B1562" t="s">
        <v>3361</v>
      </c>
      <c r="C1562" t="s">
        <v>7709</v>
      </c>
      <c r="D1562" t="s">
        <v>13</v>
      </c>
      <c r="E1562" t="s">
        <v>7710</v>
      </c>
      <c r="F1562" t="s">
        <v>3364</v>
      </c>
      <c r="G1562" t="s">
        <v>7711</v>
      </c>
      <c r="H1562" t="s">
        <v>4234</v>
      </c>
      <c r="I1562" t="b">
        <v>0</v>
      </c>
      <c r="J1562">
        <v>198</v>
      </c>
      <c r="K1562">
        <v>1657</v>
      </c>
      <c r="L1562">
        <v>54</v>
      </c>
      <c r="M1562">
        <f>COUNTIF(H1562:$H$2581,H1562)</f>
        <v>25</v>
      </c>
    </row>
    <row r="1563" spans="1:13" x14ac:dyDescent="0.2">
      <c r="A1563">
        <v>2445</v>
      </c>
      <c r="B1563" t="s">
        <v>1327</v>
      </c>
      <c r="C1563" t="s">
        <v>7852</v>
      </c>
      <c r="D1563" t="s">
        <v>54</v>
      </c>
      <c r="E1563" t="s">
        <v>7853</v>
      </c>
      <c r="F1563" t="s">
        <v>1330</v>
      </c>
      <c r="G1563" t="s">
        <v>7854</v>
      </c>
      <c r="H1563" t="s">
        <v>4234</v>
      </c>
      <c r="I1563" t="b">
        <v>0</v>
      </c>
      <c r="J1563">
        <v>283</v>
      </c>
      <c r="K1563">
        <v>2446</v>
      </c>
      <c r="L1563">
        <v>27</v>
      </c>
      <c r="M1563">
        <f>COUNTIF(H1563:$H$2581,H1563)</f>
        <v>24</v>
      </c>
    </row>
    <row r="1564" spans="1:13" x14ac:dyDescent="0.2">
      <c r="A1564">
        <v>826</v>
      </c>
      <c r="B1564" t="s">
        <v>594</v>
      </c>
      <c r="C1564" t="s">
        <v>7887</v>
      </c>
      <c r="D1564" t="s">
        <v>13</v>
      </c>
      <c r="E1564" t="s">
        <v>7888</v>
      </c>
      <c r="F1564" t="s">
        <v>597</v>
      </c>
      <c r="G1564" t="s">
        <v>7889</v>
      </c>
      <c r="H1564" t="s">
        <v>4234</v>
      </c>
      <c r="I1564" t="b">
        <v>1</v>
      </c>
      <c r="J1564">
        <v>114</v>
      </c>
      <c r="K1564">
        <v>827</v>
      </c>
      <c r="L1564">
        <v>28</v>
      </c>
      <c r="M1564">
        <f>COUNTIF(H1564:$H$2581,H1564)</f>
        <v>23</v>
      </c>
    </row>
    <row r="1565" spans="1:13" x14ac:dyDescent="0.2">
      <c r="A1565">
        <v>2101</v>
      </c>
      <c r="B1565" t="s">
        <v>255</v>
      </c>
      <c r="C1565" t="s">
        <v>7937</v>
      </c>
      <c r="D1565" t="s">
        <v>13</v>
      </c>
      <c r="E1565" t="s">
        <v>7938</v>
      </c>
      <c r="F1565" t="s">
        <v>258</v>
      </c>
      <c r="G1565" t="s">
        <v>7939</v>
      </c>
      <c r="H1565" t="s">
        <v>4234</v>
      </c>
      <c r="I1565" t="s">
        <v>24</v>
      </c>
      <c r="J1565">
        <v>242</v>
      </c>
      <c r="K1565">
        <v>2102</v>
      </c>
      <c r="L1565">
        <v>183</v>
      </c>
      <c r="M1565">
        <f>COUNTIF(H1565:$H$2581,H1565)</f>
        <v>22</v>
      </c>
    </row>
    <row r="1566" spans="1:13" x14ac:dyDescent="0.2">
      <c r="A1566">
        <v>1695</v>
      </c>
      <c r="B1566" t="s">
        <v>129</v>
      </c>
      <c r="C1566" t="s">
        <v>7989</v>
      </c>
      <c r="D1566" t="s">
        <v>13</v>
      </c>
      <c r="E1566" t="s">
        <v>7990</v>
      </c>
      <c r="F1566" t="s">
        <v>132</v>
      </c>
      <c r="G1566" t="s">
        <v>7991</v>
      </c>
      <c r="H1566" t="s">
        <v>4234</v>
      </c>
      <c r="I1566" t="b">
        <v>1</v>
      </c>
      <c r="J1566">
        <v>204</v>
      </c>
      <c r="K1566">
        <v>1696</v>
      </c>
      <c r="L1566">
        <v>284</v>
      </c>
      <c r="M1566">
        <f>COUNTIF(H1566:$H$2581,H1566)</f>
        <v>21</v>
      </c>
    </row>
    <row r="1567" spans="1:13" x14ac:dyDescent="0.2">
      <c r="A1567">
        <v>842</v>
      </c>
      <c r="B1567" t="s">
        <v>176</v>
      </c>
      <c r="C1567" t="s">
        <v>7997</v>
      </c>
      <c r="D1567" t="s">
        <v>54</v>
      </c>
      <c r="E1567" t="s">
        <v>7998</v>
      </c>
      <c r="F1567" t="s">
        <v>179</v>
      </c>
      <c r="G1567" t="s">
        <v>7999</v>
      </c>
      <c r="H1567" t="s">
        <v>4234</v>
      </c>
      <c r="I1567" t="s">
        <v>24</v>
      </c>
      <c r="J1567">
        <v>115</v>
      </c>
      <c r="K1567">
        <v>843</v>
      </c>
      <c r="L1567">
        <v>325</v>
      </c>
      <c r="M1567">
        <f>COUNTIF(H1567:$H$2581,H1567)</f>
        <v>20</v>
      </c>
    </row>
    <row r="1568" spans="1:13" x14ac:dyDescent="0.2">
      <c r="A1568">
        <v>2470</v>
      </c>
      <c r="B1568" t="s">
        <v>1411</v>
      </c>
      <c r="C1568" t="s">
        <v>8060</v>
      </c>
      <c r="D1568" t="s">
        <v>13</v>
      </c>
      <c r="E1568" t="s">
        <v>8061</v>
      </c>
      <c r="F1568" t="s">
        <v>1414</v>
      </c>
      <c r="G1568" t="s">
        <v>8062</v>
      </c>
      <c r="H1568" t="s">
        <v>4234</v>
      </c>
      <c r="I1568" t="b">
        <v>1</v>
      </c>
      <c r="J1568">
        <v>285</v>
      </c>
      <c r="K1568">
        <v>2471</v>
      </c>
      <c r="L1568">
        <v>128</v>
      </c>
      <c r="M1568">
        <f>COUNTIF(H1568:$H$2581,H1568)</f>
        <v>19</v>
      </c>
    </row>
    <row r="1569" spans="1:13" x14ac:dyDescent="0.2">
      <c r="A1569">
        <v>2261</v>
      </c>
      <c r="B1569" t="s">
        <v>1170</v>
      </c>
      <c r="C1569" t="s">
        <v>8087</v>
      </c>
      <c r="D1569" t="s">
        <v>54</v>
      </c>
      <c r="E1569" t="s">
        <v>8088</v>
      </c>
      <c r="F1569" t="s">
        <v>1173</v>
      </c>
      <c r="G1569" t="s">
        <v>8089</v>
      </c>
      <c r="H1569" t="s">
        <v>4234</v>
      </c>
      <c r="I1569" t="b">
        <v>0</v>
      </c>
      <c r="J1569">
        <v>263</v>
      </c>
      <c r="K1569">
        <v>2262</v>
      </c>
      <c r="L1569">
        <v>129</v>
      </c>
      <c r="M1569">
        <f>COUNTIF(H1569:$H$2581,H1569)</f>
        <v>18</v>
      </c>
    </row>
    <row r="1570" spans="1:13" x14ac:dyDescent="0.2">
      <c r="A1570">
        <v>1756</v>
      </c>
      <c r="B1570" t="s">
        <v>1403</v>
      </c>
      <c r="C1570" t="s">
        <v>8124</v>
      </c>
      <c r="D1570" t="s">
        <v>13</v>
      </c>
      <c r="E1570" t="s">
        <v>8125</v>
      </c>
      <c r="F1570" t="s">
        <v>1406</v>
      </c>
      <c r="G1570" t="s">
        <v>8126</v>
      </c>
      <c r="H1570" t="s">
        <v>4234</v>
      </c>
      <c r="I1570" t="b">
        <v>1</v>
      </c>
      <c r="J1570">
        <v>207</v>
      </c>
      <c r="K1570">
        <v>1757</v>
      </c>
      <c r="L1570">
        <v>29</v>
      </c>
      <c r="M1570">
        <f>COUNTIF(H1570:$H$2581,H1570)</f>
        <v>17</v>
      </c>
    </row>
    <row r="1571" spans="1:13" x14ac:dyDescent="0.2">
      <c r="A1571">
        <v>2385</v>
      </c>
      <c r="B1571" t="s">
        <v>812</v>
      </c>
      <c r="C1571" t="s">
        <v>8234</v>
      </c>
      <c r="D1571" t="s">
        <v>13</v>
      </c>
      <c r="E1571" t="s">
        <v>8235</v>
      </c>
      <c r="F1571" t="s">
        <v>815</v>
      </c>
      <c r="G1571" t="s">
        <v>8236</v>
      </c>
      <c r="H1571" t="s">
        <v>4234</v>
      </c>
      <c r="I1571" t="b">
        <v>1</v>
      </c>
      <c r="J1571">
        <v>277</v>
      </c>
      <c r="K1571">
        <v>2386</v>
      </c>
      <c r="L1571">
        <v>30</v>
      </c>
      <c r="M1571">
        <f>COUNTIF(H1571:$H$2581,H1571)</f>
        <v>16</v>
      </c>
    </row>
    <row r="1572" spans="1:13" x14ac:dyDescent="0.2">
      <c r="A1572">
        <v>1697</v>
      </c>
      <c r="B1572" t="s">
        <v>129</v>
      </c>
      <c r="C1572" t="s">
        <v>8338</v>
      </c>
      <c r="D1572" t="s">
        <v>54</v>
      </c>
      <c r="E1572" t="s">
        <v>8339</v>
      </c>
      <c r="F1572" t="s">
        <v>132</v>
      </c>
      <c r="G1572" t="s">
        <v>8340</v>
      </c>
      <c r="H1572" t="s">
        <v>4234</v>
      </c>
      <c r="I1572" t="b">
        <v>1</v>
      </c>
      <c r="J1572">
        <v>204</v>
      </c>
      <c r="K1572">
        <v>1698</v>
      </c>
      <c r="L1572">
        <v>42</v>
      </c>
      <c r="M1572">
        <f>COUNTIF(H1572:$H$2581,H1572)</f>
        <v>15</v>
      </c>
    </row>
    <row r="1573" spans="1:13" x14ac:dyDescent="0.2">
      <c r="A1573">
        <v>1101</v>
      </c>
      <c r="B1573" t="s">
        <v>1075</v>
      </c>
      <c r="C1573" t="s">
        <v>8358</v>
      </c>
      <c r="D1573" t="s">
        <v>54</v>
      </c>
      <c r="E1573" t="s">
        <v>8359</v>
      </c>
      <c r="F1573" t="s">
        <v>1078</v>
      </c>
      <c r="G1573" t="s">
        <v>8360</v>
      </c>
      <c r="H1573" t="s">
        <v>4234</v>
      </c>
      <c r="I1573" t="s">
        <v>24</v>
      </c>
      <c r="J1573">
        <v>133</v>
      </c>
      <c r="K1573">
        <v>1102</v>
      </c>
      <c r="L1573">
        <v>307</v>
      </c>
      <c r="M1573">
        <f>COUNTIF(H1573:$H$2581,H1573)</f>
        <v>14</v>
      </c>
    </row>
    <row r="1574" spans="1:13" x14ac:dyDescent="0.2">
      <c r="A1574">
        <v>989</v>
      </c>
      <c r="B1574" t="s">
        <v>203</v>
      </c>
      <c r="C1574" t="s">
        <v>8371</v>
      </c>
      <c r="D1574" t="s">
        <v>54</v>
      </c>
      <c r="E1574" t="s">
        <v>8372</v>
      </c>
      <c r="F1574" t="s">
        <v>206</v>
      </c>
      <c r="G1574" t="s">
        <v>8373</v>
      </c>
      <c r="H1574" t="s">
        <v>4234</v>
      </c>
      <c r="I1574" t="b">
        <v>1</v>
      </c>
      <c r="J1574">
        <v>123</v>
      </c>
      <c r="K1574">
        <v>990</v>
      </c>
      <c r="L1574">
        <v>171</v>
      </c>
      <c r="M1574">
        <f>COUNTIF(H1574:$H$2581,H1574)</f>
        <v>13</v>
      </c>
    </row>
    <row r="1575" spans="1:13" x14ac:dyDescent="0.2">
      <c r="A1575">
        <v>1642</v>
      </c>
      <c r="B1575" t="s">
        <v>720</v>
      </c>
      <c r="C1575" t="s">
        <v>8387</v>
      </c>
      <c r="D1575" t="s">
        <v>54</v>
      </c>
      <c r="E1575" t="s">
        <v>8388</v>
      </c>
      <c r="F1575" t="s">
        <v>723</v>
      </c>
      <c r="G1575" t="s">
        <v>8389</v>
      </c>
      <c r="H1575" t="s">
        <v>4234</v>
      </c>
      <c r="I1575" t="b">
        <v>1</v>
      </c>
      <c r="J1575">
        <v>197</v>
      </c>
      <c r="K1575">
        <v>1643</v>
      </c>
      <c r="L1575">
        <v>214</v>
      </c>
      <c r="M1575">
        <f>COUNTIF(H1575:$H$2581,H1575)</f>
        <v>12</v>
      </c>
    </row>
    <row r="1576" spans="1:13" x14ac:dyDescent="0.2">
      <c r="A1576">
        <v>355</v>
      </c>
      <c r="B1576" t="s">
        <v>455</v>
      </c>
      <c r="C1576" t="s">
        <v>8400</v>
      </c>
      <c r="D1576" t="s">
        <v>13</v>
      </c>
      <c r="E1576" t="s">
        <v>8401</v>
      </c>
      <c r="F1576" t="s">
        <v>458</v>
      </c>
      <c r="G1576" t="s">
        <v>8402</v>
      </c>
      <c r="H1576" t="s">
        <v>4234</v>
      </c>
      <c r="I1576" t="b">
        <v>0</v>
      </c>
      <c r="J1576">
        <v>49</v>
      </c>
      <c r="K1576">
        <v>356</v>
      </c>
      <c r="L1576">
        <v>165</v>
      </c>
      <c r="M1576">
        <f>COUNTIF(H1576:$H$2581,H1576)</f>
        <v>11</v>
      </c>
    </row>
    <row r="1577" spans="1:13" x14ac:dyDescent="0.2">
      <c r="A1577">
        <v>940</v>
      </c>
      <c r="B1577" t="s">
        <v>498</v>
      </c>
      <c r="C1577" t="s">
        <v>8423</v>
      </c>
      <c r="D1577" t="s">
        <v>54</v>
      </c>
      <c r="E1577" t="s">
        <v>8424</v>
      </c>
      <c r="F1577" t="s">
        <v>501</v>
      </c>
      <c r="G1577" t="s">
        <v>8425</v>
      </c>
      <c r="H1577" t="s">
        <v>4234</v>
      </c>
      <c r="I1577" t="b">
        <v>0</v>
      </c>
      <c r="J1577">
        <v>122</v>
      </c>
      <c r="K1577">
        <v>941</v>
      </c>
      <c r="L1577">
        <v>130</v>
      </c>
      <c r="M1577">
        <f>COUNTIF(H1577:$H$2581,H1577)</f>
        <v>10</v>
      </c>
    </row>
    <row r="1578" spans="1:13" x14ac:dyDescent="0.2">
      <c r="A1578">
        <v>366</v>
      </c>
      <c r="B1578" t="s">
        <v>975</v>
      </c>
      <c r="C1578" t="s">
        <v>2809</v>
      </c>
      <c r="D1578" t="s">
        <v>13</v>
      </c>
      <c r="E1578" t="s">
        <v>8432</v>
      </c>
      <c r="F1578" s="1" t="s">
        <v>978</v>
      </c>
      <c r="G1578" t="s">
        <v>8433</v>
      </c>
      <c r="H1578" t="s">
        <v>4234</v>
      </c>
      <c r="I1578" t="b">
        <v>1</v>
      </c>
      <c r="J1578">
        <v>50</v>
      </c>
      <c r="K1578">
        <v>367</v>
      </c>
      <c r="L1578">
        <v>168</v>
      </c>
      <c r="M1578">
        <f>COUNTIF(H1578:$H$2581,H1578)</f>
        <v>9</v>
      </c>
    </row>
    <row r="1579" spans="1:13" x14ac:dyDescent="0.2">
      <c r="A1579">
        <v>1834</v>
      </c>
      <c r="B1579" t="s">
        <v>1589</v>
      </c>
      <c r="C1579" t="s">
        <v>8289</v>
      </c>
      <c r="D1579" t="s">
        <v>13</v>
      </c>
      <c r="E1579" t="s">
        <v>8479</v>
      </c>
      <c r="F1579" t="s">
        <v>1592</v>
      </c>
      <c r="G1579" t="s">
        <v>8480</v>
      </c>
      <c r="H1579" t="s">
        <v>4234</v>
      </c>
      <c r="I1579" t="s">
        <v>24</v>
      </c>
      <c r="J1579">
        <v>213</v>
      </c>
      <c r="K1579">
        <v>1835</v>
      </c>
      <c r="L1579">
        <v>147</v>
      </c>
      <c r="M1579">
        <f>COUNTIF(H1579:$H$2581,H1579)</f>
        <v>8</v>
      </c>
    </row>
    <row r="1580" spans="1:13" x14ac:dyDescent="0.2">
      <c r="A1580">
        <v>651</v>
      </c>
      <c r="B1580" t="s">
        <v>2726</v>
      </c>
      <c r="C1580" t="s">
        <v>8511</v>
      </c>
      <c r="D1580" t="s">
        <v>54</v>
      </c>
      <c r="E1580" t="s">
        <v>8512</v>
      </c>
      <c r="F1580" t="s">
        <v>2729</v>
      </c>
      <c r="G1580" t="s">
        <v>8513</v>
      </c>
      <c r="H1580" t="s">
        <v>4234</v>
      </c>
      <c r="I1580" t="b">
        <v>0</v>
      </c>
      <c r="J1580">
        <v>93</v>
      </c>
      <c r="K1580">
        <v>652</v>
      </c>
      <c r="L1580">
        <v>58</v>
      </c>
      <c r="M1580">
        <f>COUNTIF(H1580:$H$2581,H1580)</f>
        <v>7</v>
      </c>
    </row>
    <row r="1581" spans="1:13" x14ac:dyDescent="0.2">
      <c r="A1581">
        <v>1814</v>
      </c>
      <c r="B1581" t="s">
        <v>1287</v>
      </c>
      <c r="C1581" t="s">
        <v>8537</v>
      </c>
      <c r="D1581" t="s">
        <v>13</v>
      </c>
      <c r="E1581" t="s">
        <v>8538</v>
      </c>
      <c r="F1581" t="s">
        <v>1290</v>
      </c>
      <c r="G1581" t="s">
        <v>8539</v>
      </c>
      <c r="H1581" t="s">
        <v>4234</v>
      </c>
      <c r="I1581" t="s">
        <v>24</v>
      </c>
      <c r="J1581">
        <v>210</v>
      </c>
      <c r="K1581">
        <v>1815</v>
      </c>
      <c r="L1581">
        <v>110</v>
      </c>
      <c r="M1581">
        <f>COUNTIF(H1581:$H$2581,H1581)</f>
        <v>6</v>
      </c>
    </row>
    <row r="1582" spans="1:13" x14ac:dyDescent="0.2">
      <c r="A1582">
        <v>2452</v>
      </c>
      <c r="B1582" t="s">
        <v>1327</v>
      </c>
      <c r="C1582" t="s">
        <v>8606</v>
      </c>
      <c r="D1582" t="s">
        <v>54</v>
      </c>
      <c r="E1582" t="s">
        <v>8607</v>
      </c>
      <c r="F1582" t="s">
        <v>1330</v>
      </c>
      <c r="G1582" t="s">
        <v>8608</v>
      </c>
      <c r="H1582" t="s">
        <v>4234</v>
      </c>
      <c r="I1582" t="b">
        <v>0</v>
      </c>
      <c r="J1582">
        <v>283</v>
      </c>
      <c r="K1582">
        <v>2453</v>
      </c>
      <c r="L1582">
        <v>56</v>
      </c>
      <c r="M1582">
        <f>COUNTIF(H1582:$H$2581,H1582)</f>
        <v>5</v>
      </c>
    </row>
    <row r="1583" spans="1:13" x14ac:dyDescent="0.2">
      <c r="A1583">
        <v>479</v>
      </c>
      <c r="B1583" t="s">
        <v>928</v>
      </c>
      <c r="C1583" t="s">
        <v>8615</v>
      </c>
      <c r="D1583" t="s">
        <v>54</v>
      </c>
      <c r="E1583" t="s">
        <v>8616</v>
      </c>
      <c r="F1583" t="s">
        <v>931</v>
      </c>
      <c r="G1583" t="s">
        <v>8617</v>
      </c>
      <c r="H1583" t="s">
        <v>4234</v>
      </c>
      <c r="I1583" t="b">
        <v>0</v>
      </c>
      <c r="J1583">
        <v>67</v>
      </c>
      <c r="K1583">
        <v>480</v>
      </c>
      <c r="L1583">
        <v>215</v>
      </c>
      <c r="M1583">
        <f>COUNTIF(H1583:$H$2581,H1583)</f>
        <v>4</v>
      </c>
    </row>
    <row r="1584" spans="1:13" x14ac:dyDescent="0.2">
      <c r="A1584">
        <v>1198</v>
      </c>
      <c r="B1584" t="s">
        <v>2485</v>
      </c>
      <c r="C1584" t="s">
        <v>8629</v>
      </c>
      <c r="D1584" t="s">
        <v>33</v>
      </c>
      <c r="E1584" t="s">
        <v>8630</v>
      </c>
      <c r="F1584" t="s">
        <v>2488</v>
      </c>
      <c r="G1584" t="s">
        <v>8631</v>
      </c>
      <c r="H1584" t="s">
        <v>4234</v>
      </c>
      <c r="I1584" t="b">
        <v>0</v>
      </c>
      <c r="J1584">
        <v>146</v>
      </c>
      <c r="K1584">
        <v>1199</v>
      </c>
      <c r="L1584">
        <v>242</v>
      </c>
      <c r="M1584">
        <f>COUNTIF(H1584:$H$2581,H1584)</f>
        <v>3</v>
      </c>
    </row>
    <row r="1585" spans="1:13" x14ac:dyDescent="0.2">
      <c r="A1585">
        <v>717</v>
      </c>
      <c r="B1585" t="s">
        <v>730</v>
      </c>
      <c r="C1585" t="s">
        <v>8668</v>
      </c>
      <c r="D1585" t="s">
        <v>33</v>
      </c>
      <c r="E1585" t="s">
        <v>8669</v>
      </c>
      <c r="F1585" t="s">
        <v>733</v>
      </c>
      <c r="G1585" t="s">
        <v>8670</v>
      </c>
      <c r="H1585" t="s">
        <v>4234</v>
      </c>
      <c r="I1585" t="s">
        <v>24</v>
      </c>
      <c r="J1585">
        <v>103</v>
      </c>
      <c r="K1585">
        <v>718</v>
      </c>
      <c r="L1585">
        <v>298</v>
      </c>
      <c r="M1585">
        <f>COUNTIF(H1585:$H$2581,H1585)</f>
        <v>2</v>
      </c>
    </row>
    <row r="1586" spans="1:13" x14ac:dyDescent="0.2">
      <c r="A1586">
        <v>2563</v>
      </c>
      <c r="B1586" t="s">
        <v>636</v>
      </c>
      <c r="C1586" t="s">
        <v>8799</v>
      </c>
      <c r="D1586" t="s">
        <v>33</v>
      </c>
      <c r="E1586" t="s">
        <v>8800</v>
      </c>
      <c r="F1586" t="s">
        <v>639</v>
      </c>
      <c r="G1586" t="s">
        <v>8801</v>
      </c>
      <c r="H1586" t="s">
        <v>4234</v>
      </c>
      <c r="I1586" t="b">
        <v>0</v>
      </c>
      <c r="J1586">
        <v>297</v>
      </c>
      <c r="K1586">
        <v>2564</v>
      </c>
      <c r="L1586">
        <v>31</v>
      </c>
      <c r="M1586">
        <f>COUNTIF(H1586:$H$2581,H1586)</f>
        <v>1</v>
      </c>
    </row>
    <row r="1587" spans="1:13" x14ac:dyDescent="0.2">
      <c r="A1587">
        <v>1835</v>
      </c>
      <c r="B1587" t="s">
        <v>1589</v>
      </c>
      <c r="C1587" t="s">
        <v>8829</v>
      </c>
      <c r="D1587" t="s">
        <v>54</v>
      </c>
      <c r="E1587" t="s">
        <v>8830</v>
      </c>
      <c r="F1587" t="s">
        <v>1592</v>
      </c>
      <c r="G1587" t="s">
        <v>8831</v>
      </c>
      <c r="H1587" t="s">
        <v>4639</v>
      </c>
      <c r="I1587" t="s">
        <v>24</v>
      </c>
      <c r="J1587">
        <v>213</v>
      </c>
      <c r="K1587">
        <v>1836</v>
      </c>
      <c r="L1587">
        <v>254</v>
      </c>
      <c r="M1587">
        <f>COUNTIF(H1587:$H$2581,H1587)</f>
        <v>1</v>
      </c>
    </row>
    <row r="1588" spans="1:13" x14ac:dyDescent="0.2">
      <c r="A1588">
        <v>399</v>
      </c>
      <c r="B1588" t="s">
        <v>1568</v>
      </c>
      <c r="C1588" t="s">
        <v>8885</v>
      </c>
      <c r="D1588" t="s">
        <v>13</v>
      </c>
      <c r="E1588" t="s">
        <v>8886</v>
      </c>
      <c r="F1588" t="s">
        <v>1571</v>
      </c>
      <c r="G1588" t="s">
        <v>8887</v>
      </c>
      <c r="H1588" t="s">
        <v>4646</v>
      </c>
      <c r="I1588" t="s">
        <v>24</v>
      </c>
      <c r="J1588">
        <v>55</v>
      </c>
      <c r="K1588">
        <v>400</v>
      </c>
      <c r="L1588">
        <v>180</v>
      </c>
      <c r="M1588">
        <f>COUNTIF(H1588:$H$2581,H1588)</f>
        <v>2</v>
      </c>
    </row>
    <row r="1589" spans="1:13" x14ac:dyDescent="0.2">
      <c r="A1589">
        <v>1790</v>
      </c>
      <c r="B1589" t="s">
        <v>216</v>
      </c>
      <c r="C1589" t="s">
        <v>8906</v>
      </c>
      <c r="D1589" t="s">
        <v>54</v>
      </c>
      <c r="E1589" t="s">
        <v>8907</v>
      </c>
      <c r="F1589" t="s">
        <v>219</v>
      </c>
      <c r="G1589" t="s">
        <v>8908</v>
      </c>
      <c r="H1589" t="s">
        <v>4646</v>
      </c>
      <c r="I1589" t="b">
        <v>1</v>
      </c>
      <c r="J1589">
        <v>209</v>
      </c>
      <c r="K1589">
        <v>1791</v>
      </c>
      <c r="L1589">
        <v>571</v>
      </c>
      <c r="M1589">
        <f>COUNTIF(H1589:$H$2581,H1589)</f>
        <v>1</v>
      </c>
    </row>
    <row r="1590" spans="1:13" x14ac:dyDescent="0.2">
      <c r="A1590">
        <v>320</v>
      </c>
      <c r="B1590" t="s">
        <v>98</v>
      </c>
      <c r="C1590" t="s">
        <v>8923</v>
      </c>
      <c r="D1590" t="s">
        <v>54</v>
      </c>
      <c r="E1590" t="s">
        <v>8924</v>
      </c>
      <c r="F1590" t="s">
        <v>101</v>
      </c>
      <c r="G1590" t="s">
        <v>8925</v>
      </c>
      <c r="H1590" t="s">
        <v>4656</v>
      </c>
      <c r="I1590" t="s">
        <v>24</v>
      </c>
      <c r="J1590">
        <v>46</v>
      </c>
      <c r="K1590">
        <v>321</v>
      </c>
      <c r="L1590">
        <v>150</v>
      </c>
      <c r="M1590">
        <f>COUNTIF(H1590:$H$2581,H1590)</f>
        <v>13</v>
      </c>
    </row>
    <row r="1591" spans="1:13" x14ac:dyDescent="0.2">
      <c r="A1591">
        <v>1005</v>
      </c>
      <c r="B1591" t="s">
        <v>424</v>
      </c>
      <c r="C1591" t="s">
        <v>8950</v>
      </c>
      <c r="D1591" t="s">
        <v>13</v>
      </c>
      <c r="E1591" t="s">
        <v>8951</v>
      </c>
      <c r="F1591" t="s">
        <v>427</v>
      </c>
      <c r="G1591" t="s">
        <v>8952</v>
      </c>
      <c r="H1591" t="s">
        <v>4656</v>
      </c>
      <c r="I1591" t="s">
        <v>24</v>
      </c>
      <c r="J1591">
        <v>125</v>
      </c>
      <c r="K1591">
        <v>1006</v>
      </c>
      <c r="L1591">
        <v>268</v>
      </c>
      <c r="M1591">
        <f>COUNTIF(H1591:$H$2581,H1591)</f>
        <v>12</v>
      </c>
    </row>
    <row r="1592" spans="1:13" x14ac:dyDescent="0.2">
      <c r="A1592">
        <v>809</v>
      </c>
      <c r="B1592" t="s">
        <v>492</v>
      </c>
      <c r="C1592" t="s">
        <v>8963</v>
      </c>
      <c r="D1592" t="s">
        <v>13</v>
      </c>
      <c r="E1592" t="s">
        <v>8964</v>
      </c>
      <c r="F1592" t="s">
        <v>495</v>
      </c>
      <c r="G1592" t="s">
        <v>8965</v>
      </c>
      <c r="H1592" t="s">
        <v>4656</v>
      </c>
      <c r="I1592" t="b">
        <v>0</v>
      </c>
      <c r="J1592">
        <v>113</v>
      </c>
      <c r="K1592">
        <v>810</v>
      </c>
      <c r="L1592">
        <v>320</v>
      </c>
      <c r="M1592">
        <f>COUNTIF(H1592:$H$2581,H1592)</f>
        <v>11</v>
      </c>
    </row>
    <row r="1593" spans="1:13" x14ac:dyDescent="0.2">
      <c r="A1593">
        <v>78</v>
      </c>
      <c r="B1593" t="s">
        <v>31</v>
      </c>
      <c r="C1593" t="s">
        <v>32</v>
      </c>
      <c r="D1593" t="s">
        <v>33</v>
      </c>
      <c r="E1593" t="s">
        <v>34</v>
      </c>
      <c r="F1593" t="s">
        <v>35</v>
      </c>
      <c r="G1593" t="s">
        <v>36</v>
      </c>
      <c r="H1593" t="s">
        <v>4656</v>
      </c>
      <c r="I1593" t="b">
        <v>0</v>
      </c>
      <c r="J1593">
        <v>13</v>
      </c>
      <c r="K1593">
        <v>79</v>
      </c>
      <c r="L1593">
        <v>45</v>
      </c>
      <c r="M1593">
        <f>COUNTIF(H1593:$H$2581,H1593)</f>
        <v>10</v>
      </c>
    </row>
    <row r="1594" spans="1:13" x14ac:dyDescent="0.2">
      <c r="A1594">
        <v>532</v>
      </c>
      <c r="B1594" t="s">
        <v>188</v>
      </c>
      <c r="C1594" t="s">
        <v>189</v>
      </c>
      <c r="D1594" t="s">
        <v>54</v>
      </c>
      <c r="E1594" t="s">
        <v>190</v>
      </c>
      <c r="F1594" t="s">
        <v>191</v>
      </c>
      <c r="G1594" t="s">
        <v>192</v>
      </c>
      <c r="H1594" t="s">
        <v>4656</v>
      </c>
      <c r="I1594" t="b">
        <v>0</v>
      </c>
      <c r="J1594">
        <v>80</v>
      </c>
      <c r="K1594">
        <v>533</v>
      </c>
      <c r="L1594">
        <v>217</v>
      </c>
      <c r="M1594">
        <f>COUNTIF(H1594:$H$2581,H1594)</f>
        <v>9</v>
      </c>
    </row>
    <row r="1595" spans="1:13" x14ac:dyDescent="0.2">
      <c r="A1595">
        <v>1298</v>
      </c>
      <c r="B1595" t="s">
        <v>277</v>
      </c>
      <c r="C1595" t="s">
        <v>278</v>
      </c>
      <c r="D1595" t="s">
        <v>54</v>
      </c>
      <c r="E1595" t="s">
        <v>279</v>
      </c>
      <c r="F1595" t="s">
        <v>280</v>
      </c>
      <c r="G1595" t="s">
        <v>281</v>
      </c>
      <c r="H1595" t="s">
        <v>4656</v>
      </c>
      <c r="I1595" t="s">
        <v>24</v>
      </c>
      <c r="J1595">
        <v>160</v>
      </c>
      <c r="K1595">
        <v>1299</v>
      </c>
      <c r="L1595">
        <v>343</v>
      </c>
      <c r="M1595">
        <f>COUNTIF(H1595:$H$2581,H1595)</f>
        <v>8</v>
      </c>
    </row>
    <row r="1596" spans="1:13" x14ac:dyDescent="0.2">
      <c r="A1596">
        <v>9</v>
      </c>
      <c r="B1596" t="s">
        <v>303</v>
      </c>
      <c r="C1596" t="s">
        <v>304</v>
      </c>
      <c r="D1596" t="s">
        <v>54</v>
      </c>
      <c r="E1596" t="s">
        <v>305</v>
      </c>
      <c r="F1596" t="s">
        <v>306</v>
      </c>
      <c r="G1596" t="s">
        <v>307</v>
      </c>
      <c r="H1596" t="s">
        <v>4656</v>
      </c>
      <c r="I1596" t="s">
        <v>24</v>
      </c>
      <c r="J1596">
        <v>3</v>
      </c>
      <c r="K1596">
        <v>10</v>
      </c>
      <c r="L1596">
        <v>1</v>
      </c>
      <c r="M1596">
        <f>COUNTIF(H1596:$H$2581,H1596)</f>
        <v>7</v>
      </c>
    </row>
    <row r="1597" spans="1:13" x14ac:dyDescent="0.2">
      <c r="A1597">
        <v>2137</v>
      </c>
      <c r="B1597" t="s">
        <v>147</v>
      </c>
      <c r="C1597" t="s">
        <v>405</v>
      </c>
      <c r="D1597" t="s">
        <v>13</v>
      </c>
      <c r="E1597" t="s">
        <v>406</v>
      </c>
      <c r="F1597" t="s">
        <v>150</v>
      </c>
      <c r="G1597" t="s">
        <v>407</v>
      </c>
      <c r="H1597" t="s">
        <v>4656</v>
      </c>
      <c r="I1597" t="b">
        <v>1</v>
      </c>
      <c r="J1597">
        <v>248</v>
      </c>
      <c r="K1597">
        <v>2138</v>
      </c>
      <c r="L1597">
        <v>189</v>
      </c>
      <c r="M1597">
        <f>COUNTIF(H1597:$H$2581,H1597)</f>
        <v>6</v>
      </c>
    </row>
    <row r="1598" spans="1:13" x14ac:dyDescent="0.2">
      <c r="A1598">
        <v>999</v>
      </c>
      <c r="B1598" t="s">
        <v>424</v>
      </c>
      <c r="C1598" t="s">
        <v>425</v>
      </c>
      <c r="D1598" t="s">
        <v>13</v>
      </c>
      <c r="E1598" t="s">
        <v>426</v>
      </c>
      <c r="F1598" t="s">
        <v>427</v>
      </c>
      <c r="G1598" t="s">
        <v>428</v>
      </c>
      <c r="H1598" t="s">
        <v>4656</v>
      </c>
      <c r="I1598" t="s">
        <v>24</v>
      </c>
      <c r="J1598">
        <v>125</v>
      </c>
      <c r="K1598">
        <v>1000</v>
      </c>
      <c r="L1598">
        <v>90</v>
      </c>
      <c r="M1598">
        <f>COUNTIF(H1598:$H$2581,H1598)</f>
        <v>5</v>
      </c>
    </row>
    <row r="1599" spans="1:13" x14ac:dyDescent="0.2">
      <c r="A1599">
        <v>1432</v>
      </c>
      <c r="B1599" t="s">
        <v>461</v>
      </c>
      <c r="C1599" t="s">
        <v>462</v>
      </c>
      <c r="D1599" t="s">
        <v>13</v>
      </c>
      <c r="E1599" t="s">
        <v>463</v>
      </c>
      <c r="F1599" t="s">
        <v>464</v>
      </c>
      <c r="G1599" t="s">
        <v>465</v>
      </c>
      <c r="H1599" t="s">
        <v>4656</v>
      </c>
      <c r="I1599" t="s">
        <v>24</v>
      </c>
      <c r="J1599">
        <v>173</v>
      </c>
      <c r="K1599">
        <v>1433</v>
      </c>
      <c r="L1599">
        <v>155</v>
      </c>
      <c r="M1599">
        <f>COUNTIF(H1599:$H$2581,H1599)</f>
        <v>4</v>
      </c>
    </row>
    <row r="1600" spans="1:13" x14ac:dyDescent="0.2">
      <c r="A1600">
        <v>2352</v>
      </c>
      <c r="B1600" t="s">
        <v>504</v>
      </c>
      <c r="C1600" t="s">
        <v>505</v>
      </c>
      <c r="D1600" t="s">
        <v>13</v>
      </c>
      <c r="E1600" t="s">
        <v>506</v>
      </c>
      <c r="F1600" t="s">
        <v>507</v>
      </c>
      <c r="G1600" t="s">
        <v>508</v>
      </c>
      <c r="H1600" t="s">
        <v>4656</v>
      </c>
      <c r="I1600" t="s">
        <v>24</v>
      </c>
      <c r="J1600">
        <v>275</v>
      </c>
      <c r="K1600">
        <v>2353</v>
      </c>
      <c r="L1600">
        <v>346</v>
      </c>
      <c r="M1600">
        <f>COUNTIF(H1600:$H$2581,H1600)</f>
        <v>3</v>
      </c>
    </row>
    <row r="1601" spans="1:13" x14ac:dyDescent="0.2">
      <c r="A1601">
        <v>1561</v>
      </c>
      <c r="B1601" t="s">
        <v>519</v>
      </c>
      <c r="C1601" t="s">
        <v>520</v>
      </c>
      <c r="D1601" t="s">
        <v>54</v>
      </c>
      <c r="E1601" t="s">
        <v>521</v>
      </c>
      <c r="F1601" t="s">
        <v>522</v>
      </c>
      <c r="G1601" t="s">
        <v>523</v>
      </c>
      <c r="H1601" t="s">
        <v>4656</v>
      </c>
      <c r="I1601" t="b">
        <v>0</v>
      </c>
      <c r="J1601">
        <v>191</v>
      </c>
      <c r="K1601">
        <v>1562</v>
      </c>
      <c r="L1601">
        <v>315</v>
      </c>
      <c r="M1601">
        <f>COUNTIF(H1601:$H$2581,H1601)</f>
        <v>2</v>
      </c>
    </row>
    <row r="1602" spans="1:13" x14ac:dyDescent="0.2">
      <c r="A1602">
        <v>80</v>
      </c>
      <c r="B1602" t="s">
        <v>31</v>
      </c>
      <c r="C1602" t="s">
        <v>532</v>
      </c>
      <c r="D1602" t="s">
        <v>54</v>
      </c>
      <c r="E1602" t="s">
        <v>533</v>
      </c>
      <c r="F1602" t="s">
        <v>35</v>
      </c>
      <c r="G1602" t="s">
        <v>534</v>
      </c>
      <c r="H1602" t="s">
        <v>4656</v>
      </c>
      <c r="I1602" t="b">
        <v>0</v>
      </c>
      <c r="J1602">
        <v>13</v>
      </c>
      <c r="K1602">
        <v>81</v>
      </c>
      <c r="L1602">
        <v>46</v>
      </c>
      <c r="M1602">
        <f>COUNTIF(H1602:$H$2581,H1602)</f>
        <v>1</v>
      </c>
    </row>
    <row r="1603" spans="1:13" x14ac:dyDescent="0.2">
      <c r="A1603">
        <v>810</v>
      </c>
      <c r="B1603" t="s">
        <v>594</v>
      </c>
      <c r="C1603" t="s">
        <v>595</v>
      </c>
      <c r="D1603" t="s">
        <v>13</v>
      </c>
      <c r="E1603" t="s">
        <v>596</v>
      </c>
      <c r="F1603" t="s">
        <v>597</v>
      </c>
      <c r="G1603" t="s">
        <v>598</v>
      </c>
      <c r="H1603" t="s">
        <v>4717</v>
      </c>
      <c r="I1603" t="b">
        <v>1</v>
      </c>
      <c r="J1603">
        <v>114</v>
      </c>
      <c r="K1603">
        <v>811</v>
      </c>
      <c r="L1603">
        <v>321</v>
      </c>
      <c r="M1603">
        <f>COUNTIF(H1603:$H$2581,H1603)</f>
        <v>3</v>
      </c>
    </row>
    <row r="1604" spans="1:13" x14ac:dyDescent="0.2">
      <c r="A1604">
        <v>1847</v>
      </c>
      <c r="B1604" t="s">
        <v>631</v>
      </c>
      <c r="C1604" t="s">
        <v>632</v>
      </c>
      <c r="D1604" t="s">
        <v>13</v>
      </c>
      <c r="E1604" t="s">
        <v>633</v>
      </c>
      <c r="F1604" t="s">
        <v>634</v>
      </c>
      <c r="G1604" t="s">
        <v>635</v>
      </c>
      <c r="H1604" t="s">
        <v>4717</v>
      </c>
      <c r="I1604" t="s">
        <v>24</v>
      </c>
      <c r="J1604">
        <v>215</v>
      </c>
      <c r="K1604">
        <v>1848</v>
      </c>
      <c r="L1604">
        <v>383</v>
      </c>
      <c r="M1604">
        <f>COUNTIF(H1604:$H$2581,H1604)</f>
        <v>2</v>
      </c>
    </row>
    <row r="1605" spans="1:13" x14ac:dyDescent="0.2">
      <c r="A1605">
        <v>139</v>
      </c>
      <c r="B1605" t="s">
        <v>648</v>
      </c>
      <c r="C1605" t="s">
        <v>649</v>
      </c>
      <c r="D1605" t="s">
        <v>54</v>
      </c>
      <c r="E1605" t="s">
        <v>650</v>
      </c>
      <c r="F1605" t="s">
        <v>651</v>
      </c>
      <c r="G1605" t="s">
        <v>652</v>
      </c>
      <c r="H1605" t="s">
        <v>4717</v>
      </c>
      <c r="I1605" t="b">
        <v>0</v>
      </c>
      <c r="J1605">
        <v>25</v>
      </c>
      <c r="K1605">
        <v>140</v>
      </c>
      <c r="L1605">
        <v>76</v>
      </c>
      <c r="M1605">
        <f>COUNTIF(H1605:$H$2581,H1605)</f>
        <v>1</v>
      </c>
    </row>
    <row r="1606" spans="1:13" x14ac:dyDescent="0.2">
      <c r="A1606">
        <v>555</v>
      </c>
      <c r="B1606" t="s">
        <v>675</v>
      </c>
      <c r="C1606" t="s">
        <v>676</v>
      </c>
      <c r="D1606" t="s">
        <v>13</v>
      </c>
      <c r="E1606" t="s">
        <v>677</v>
      </c>
      <c r="F1606" t="s">
        <v>678</v>
      </c>
      <c r="G1606" t="s">
        <v>679</v>
      </c>
      <c r="H1606" t="s">
        <v>4730</v>
      </c>
      <c r="I1606" t="s">
        <v>24</v>
      </c>
      <c r="J1606">
        <v>82</v>
      </c>
      <c r="K1606">
        <v>556</v>
      </c>
      <c r="L1606">
        <v>244</v>
      </c>
      <c r="M1606">
        <f>COUNTIF(H1606:$H$2581,H1606)</f>
        <v>1</v>
      </c>
    </row>
    <row r="1607" spans="1:13" x14ac:dyDescent="0.2">
      <c r="A1607">
        <v>1916</v>
      </c>
      <c r="B1607" t="s">
        <v>439</v>
      </c>
      <c r="C1607" t="s">
        <v>693</v>
      </c>
      <c r="D1607" t="s">
        <v>13</v>
      </c>
      <c r="E1607" t="s">
        <v>694</v>
      </c>
      <c r="F1607" t="s">
        <v>442</v>
      </c>
      <c r="G1607" t="s">
        <v>695</v>
      </c>
      <c r="H1607" t="s">
        <v>4745</v>
      </c>
      <c r="I1607" t="b">
        <v>0</v>
      </c>
      <c r="J1607">
        <v>224</v>
      </c>
      <c r="K1607">
        <v>1917</v>
      </c>
      <c r="L1607">
        <v>190</v>
      </c>
      <c r="M1607">
        <f>COUNTIF(H1607:$H$2581,H1607)</f>
        <v>1</v>
      </c>
    </row>
    <row r="1608" spans="1:13" x14ac:dyDescent="0.2">
      <c r="A1608">
        <v>1613</v>
      </c>
      <c r="B1608" t="s">
        <v>720</v>
      </c>
      <c r="C1608" t="s">
        <v>721</v>
      </c>
      <c r="D1608" t="s">
        <v>54</v>
      </c>
      <c r="E1608" t="s">
        <v>722</v>
      </c>
      <c r="F1608" t="s">
        <v>723</v>
      </c>
      <c r="G1608" t="s">
        <v>724</v>
      </c>
      <c r="H1608" t="s">
        <v>4766</v>
      </c>
      <c r="I1608" t="b">
        <v>1</v>
      </c>
      <c r="J1608">
        <v>197</v>
      </c>
      <c r="K1608">
        <v>1614</v>
      </c>
      <c r="L1608">
        <v>430</v>
      </c>
      <c r="M1608">
        <f>COUNTIF(H1608:$H$2581,H1608)</f>
        <v>1</v>
      </c>
    </row>
    <row r="1609" spans="1:13" x14ac:dyDescent="0.2">
      <c r="A1609">
        <v>1868</v>
      </c>
      <c r="B1609" t="s">
        <v>749</v>
      </c>
      <c r="C1609" t="s">
        <v>750</v>
      </c>
      <c r="D1609" t="s">
        <v>13</v>
      </c>
      <c r="E1609" t="s">
        <v>751</v>
      </c>
      <c r="F1609" t="s">
        <v>752</v>
      </c>
      <c r="G1609" t="s">
        <v>753</v>
      </c>
      <c r="H1609" t="s">
        <v>4777</v>
      </c>
      <c r="I1609" t="s">
        <v>24</v>
      </c>
      <c r="J1609">
        <v>218</v>
      </c>
      <c r="K1609">
        <v>1869</v>
      </c>
      <c r="L1609">
        <v>293</v>
      </c>
      <c r="M1609">
        <f>COUNTIF(H1609:$H$2581,H1609)</f>
        <v>1</v>
      </c>
    </row>
    <row r="1610" spans="1:13" x14ac:dyDescent="0.2">
      <c r="A1610">
        <v>198</v>
      </c>
      <c r="B1610" t="s">
        <v>346</v>
      </c>
      <c r="C1610" t="s">
        <v>759</v>
      </c>
      <c r="D1610" t="s">
        <v>54</v>
      </c>
      <c r="E1610" t="s">
        <v>760</v>
      </c>
      <c r="F1610" t="s">
        <v>349</v>
      </c>
      <c r="G1610" t="s">
        <v>761</v>
      </c>
      <c r="H1610" t="s">
        <v>4790</v>
      </c>
      <c r="I1610" t="b">
        <v>0</v>
      </c>
      <c r="J1610">
        <v>36</v>
      </c>
      <c r="K1610">
        <v>199</v>
      </c>
      <c r="L1610">
        <v>92</v>
      </c>
      <c r="M1610">
        <f>COUNTIF(H1610:$H$2581,H1610)</f>
        <v>2</v>
      </c>
    </row>
    <row r="1611" spans="1:13" x14ac:dyDescent="0.2">
      <c r="A1611">
        <v>293</v>
      </c>
      <c r="B1611" t="s">
        <v>784</v>
      </c>
      <c r="C1611" t="s">
        <v>785</v>
      </c>
      <c r="D1611" t="s">
        <v>54</v>
      </c>
      <c r="E1611" t="s">
        <v>786</v>
      </c>
      <c r="F1611" t="s">
        <v>787</v>
      </c>
      <c r="G1611" t="s">
        <v>788</v>
      </c>
      <c r="H1611" t="s">
        <v>4790</v>
      </c>
      <c r="I1611" t="b">
        <v>0</v>
      </c>
      <c r="J1611">
        <v>45</v>
      </c>
      <c r="K1611">
        <v>294</v>
      </c>
      <c r="L1611">
        <v>131</v>
      </c>
      <c r="M1611">
        <f>COUNTIF(H1611:$H$2581,H1611)</f>
        <v>1</v>
      </c>
    </row>
    <row r="1612" spans="1:13" x14ac:dyDescent="0.2">
      <c r="A1612">
        <v>944</v>
      </c>
      <c r="B1612" t="s">
        <v>203</v>
      </c>
      <c r="C1612" t="s">
        <v>803</v>
      </c>
      <c r="D1612" t="s">
        <v>54</v>
      </c>
      <c r="E1612" t="s">
        <v>804</v>
      </c>
      <c r="F1612" t="s">
        <v>206</v>
      </c>
      <c r="G1612" t="s">
        <v>805</v>
      </c>
      <c r="H1612" t="s">
        <v>4824</v>
      </c>
      <c r="I1612" t="b">
        <v>1</v>
      </c>
      <c r="J1612">
        <v>123</v>
      </c>
      <c r="K1612">
        <v>945</v>
      </c>
      <c r="L1612">
        <v>355</v>
      </c>
      <c r="M1612">
        <f>COUNTIF(H1612:$H$2581,H1612)</f>
        <v>6</v>
      </c>
    </row>
    <row r="1613" spans="1:13" x14ac:dyDescent="0.2">
      <c r="A1613">
        <v>295</v>
      </c>
      <c r="B1613" t="s">
        <v>784</v>
      </c>
      <c r="C1613" t="s">
        <v>828</v>
      </c>
      <c r="D1613" t="s">
        <v>54</v>
      </c>
      <c r="E1613" t="s">
        <v>829</v>
      </c>
      <c r="F1613" t="s">
        <v>787</v>
      </c>
      <c r="G1613" t="s">
        <v>830</v>
      </c>
      <c r="H1613" t="s">
        <v>4824</v>
      </c>
      <c r="I1613" t="b">
        <v>0</v>
      </c>
      <c r="J1613">
        <v>45</v>
      </c>
      <c r="K1613">
        <v>296</v>
      </c>
      <c r="L1613">
        <v>132</v>
      </c>
      <c r="M1613">
        <f>COUNTIF(H1613:$H$2581,H1613)</f>
        <v>5</v>
      </c>
    </row>
    <row r="1614" spans="1:13" x14ac:dyDescent="0.2">
      <c r="A1614">
        <v>2242</v>
      </c>
      <c r="B1614" t="s">
        <v>411</v>
      </c>
      <c r="C1614" t="s">
        <v>839</v>
      </c>
      <c r="D1614" t="s">
        <v>54</v>
      </c>
      <c r="E1614" t="s">
        <v>840</v>
      </c>
      <c r="F1614" t="s">
        <v>414</v>
      </c>
      <c r="G1614" t="s">
        <v>841</v>
      </c>
      <c r="H1614" t="s">
        <v>4824</v>
      </c>
      <c r="I1614" t="s">
        <v>24</v>
      </c>
      <c r="J1614">
        <v>262</v>
      </c>
      <c r="K1614">
        <v>2243</v>
      </c>
      <c r="L1614">
        <v>654</v>
      </c>
      <c r="M1614">
        <f>COUNTIF(H1614:$H$2581,H1614)</f>
        <v>4</v>
      </c>
    </row>
    <row r="1615" spans="1:13" x14ac:dyDescent="0.2">
      <c r="A1615">
        <v>1562</v>
      </c>
      <c r="B1615" t="s">
        <v>519</v>
      </c>
      <c r="C1615" t="s">
        <v>869</v>
      </c>
      <c r="D1615" t="s">
        <v>13</v>
      </c>
      <c r="E1615" t="s">
        <v>870</v>
      </c>
      <c r="F1615" t="s">
        <v>522</v>
      </c>
      <c r="G1615" t="s">
        <v>871</v>
      </c>
      <c r="H1615" t="s">
        <v>4824</v>
      </c>
      <c r="I1615" t="b">
        <v>0</v>
      </c>
      <c r="J1615">
        <v>191</v>
      </c>
      <c r="K1615">
        <v>1563</v>
      </c>
      <c r="L1615">
        <v>428</v>
      </c>
      <c r="M1615">
        <f>COUNTIF(H1615:$H$2581,H1615)</f>
        <v>3</v>
      </c>
    </row>
    <row r="1616" spans="1:13" x14ac:dyDescent="0.2">
      <c r="A1616">
        <v>2321</v>
      </c>
      <c r="B1616" t="s">
        <v>900</v>
      </c>
      <c r="C1616" t="s">
        <v>901</v>
      </c>
      <c r="D1616" t="s">
        <v>54</v>
      </c>
      <c r="E1616" t="s">
        <v>902</v>
      </c>
      <c r="F1616" t="s">
        <v>903</v>
      </c>
      <c r="G1616" t="s">
        <v>904</v>
      </c>
      <c r="H1616" t="s">
        <v>4824</v>
      </c>
      <c r="I1616" t="b">
        <v>0</v>
      </c>
      <c r="J1616">
        <v>274</v>
      </c>
      <c r="K1616">
        <v>2322</v>
      </c>
      <c r="L1616">
        <v>156</v>
      </c>
      <c r="M1616">
        <f>COUNTIF(H1616:$H$2581,H1616)</f>
        <v>2</v>
      </c>
    </row>
    <row r="1617" spans="1:13" x14ac:dyDescent="0.2">
      <c r="A1617">
        <v>1138</v>
      </c>
      <c r="B1617" t="s">
        <v>938</v>
      </c>
      <c r="C1617" t="s">
        <v>939</v>
      </c>
      <c r="D1617" t="s">
        <v>33</v>
      </c>
      <c r="E1617" t="s">
        <v>940</v>
      </c>
      <c r="F1617" t="s">
        <v>941</v>
      </c>
      <c r="G1617" t="s">
        <v>942</v>
      </c>
      <c r="H1617" t="s">
        <v>4824</v>
      </c>
      <c r="I1617" t="b">
        <v>0</v>
      </c>
      <c r="J1617">
        <v>139</v>
      </c>
      <c r="K1617">
        <v>1139</v>
      </c>
      <c r="L1617">
        <v>227</v>
      </c>
      <c r="M1617">
        <f>COUNTIF(H1617:$H$2581,H1617)</f>
        <v>1</v>
      </c>
    </row>
    <row r="1618" spans="1:13" x14ac:dyDescent="0.2">
      <c r="A1618">
        <v>297</v>
      </c>
      <c r="B1618" t="s">
        <v>784</v>
      </c>
      <c r="C1618" t="s">
        <v>950</v>
      </c>
      <c r="D1618" t="s">
        <v>54</v>
      </c>
      <c r="E1618" t="s">
        <v>951</v>
      </c>
      <c r="F1618" t="s">
        <v>787</v>
      </c>
      <c r="G1618" t="s">
        <v>952</v>
      </c>
      <c r="H1618" t="s">
        <v>4852</v>
      </c>
      <c r="I1618" t="b">
        <v>0</v>
      </c>
      <c r="J1618">
        <v>45</v>
      </c>
      <c r="K1618">
        <v>298</v>
      </c>
      <c r="L1618">
        <v>133</v>
      </c>
      <c r="M1618">
        <f>COUNTIF(H1618:$H$2581,H1618)</f>
        <v>7</v>
      </c>
    </row>
    <row r="1619" spans="1:13" x14ac:dyDescent="0.2">
      <c r="A1619">
        <v>356</v>
      </c>
      <c r="B1619" t="s">
        <v>975</v>
      </c>
      <c r="C1619" t="s">
        <v>976</v>
      </c>
      <c r="D1619" t="s">
        <v>13</v>
      </c>
      <c r="E1619" t="s">
        <v>977</v>
      </c>
      <c r="F1619" s="1" t="s">
        <v>978</v>
      </c>
      <c r="G1619" t="s">
        <v>979</v>
      </c>
      <c r="H1619" t="s">
        <v>4852</v>
      </c>
      <c r="I1619" t="b">
        <v>1</v>
      </c>
      <c r="J1619">
        <v>50</v>
      </c>
      <c r="K1619">
        <v>357</v>
      </c>
      <c r="L1619">
        <v>166</v>
      </c>
      <c r="M1619">
        <f>COUNTIF(H1619:$H$2581,H1619)</f>
        <v>6</v>
      </c>
    </row>
    <row r="1620" spans="1:13" x14ac:dyDescent="0.2">
      <c r="A1620">
        <v>577</v>
      </c>
      <c r="B1620" t="s">
        <v>613</v>
      </c>
      <c r="C1620" t="s">
        <v>1001</v>
      </c>
      <c r="D1620" t="s">
        <v>13</v>
      </c>
      <c r="E1620" t="s">
        <v>1002</v>
      </c>
      <c r="F1620" t="s">
        <v>616</v>
      </c>
      <c r="G1620" t="s">
        <v>1003</v>
      </c>
      <c r="H1620" t="s">
        <v>4852</v>
      </c>
      <c r="I1620" t="b">
        <v>0</v>
      </c>
      <c r="J1620">
        <v>85</v>
      </c>
      <c r="K1620">
        <v>578</v>
      </c>
      <c r="L1620">
        <v>181</v>
      </c>
      <c r="M1620">
        <f>COUNTIF(H1620:$H$2581,H1620)</f>
        <v>5</v>
      </c>
    </row>
    <row r="1621" spans="1:13" x14ac:dyDescent="0.2">
      <c r="A1621">
        <v>2032</v>
      </c>
      <c r="B1621" t="s">
        <v>1019</v>
      </c>
      <c r="C1621" t="s">
        <v>1020</v>
      </c>
      <c r="D1621" t="s">
        <v>33</v>
      </c>
      <c r="E1621" t="s">
        <v>1021</v>
      </c>
      <c r="F1621" t="s">
        <v>1022</v>
      </c>
      <c r="G1621" t="s">
        <v>1023</v>
      </c>
      <c r="H1621" t="s">
        <v>4852</v>
      </c>
      <c r="I1621" t="b">
        <v>0</v>
      </c>
      <c r="J1621">
        <v>236</v>
      </c>
      <c r="K1621">
        <v>2033</v>
      </c>
      <c r="L1621">
        <v>396</v>
      </c>
      <c r="M1621">
        <f>COUNTIF(H1621:$H$2581,H1621)</f>
        <v>4</v>
      </c>
    </row>
    <row r="1622" spans="1:13" x14ac:dyDescent="0.2">
      <c r="A1622">
        <v>2276</v>
      </c>
      <c r="B1622" t="s">
        <v>11</v>
      </c>
      <c r="C1622" t="s">
        <v>1067</v>
      </c>
      <c r="D1622" t="s">
        <v>54</v>
      </c>
      <c r="E1622" t="s">
        <v>1068</v>
      </c>
      <c r="F1622" t="s">
        <v>15</v>
      </c>
      <c r="G1622" t="s">
        <v>1069</v>
      </c>
      <c r="H1622" t="s">
        <v>4852</v>
      </c>
      <c r="I1622" t="b">
        <v>0</v>
      </c>
      <c r="J1622">
        <v>267</v>
      </c>
      <c r="K1622">
        <v>2277</v>
      </c>
      <c r="L1622">
        <v>203</v>
      </c>
      <c r="M1622">
        <f>COUNTIF(H1622:$H$2581,H1622)</f>
        <v>3</v>
      </c>
    </row>
    <row r="1623" spans="1:13" x14ac:dyDescent="0.2">
      <c r="A1623">
        <v>592</v>
      </c>
      <c r="B1623" t="s">
        <v>1097</v>
      </c>
      <c r="C1623" t="s">
        <v>1098</v>
      </c>
      <c r="D1623" t="s">
        <v>13</v>
      </c>
      <c r="E1623" t="s">
        <v>1099</v>
      </c>
      <c r="F1623" t="s">
        <v>1100</v>
      </c>
      <c r="G1623" t="s">
        <v>1101</v>
      </c>
      <c r="H1623" t="s">
        <v>4852</v>
      </c>
      <c r="I1623" t="b">
        <v>0</v>
      </c>
      <c r="J1623">
        <v>90</v>
      </c>
      <c r="K1623">
        <v>593</v>
      </c>
      <c r="L1623">
        <v>260</v>
      </c>
      <c r="M1623">
        <f>COUNTIF(H1623:$H$2581,H1623)</f>
        <v>2</v>
      </c>
    </row>
    <row r="1624" spans="1:13" x14ac:dyDescent="0.2">
      <c r="A1624">
        <v>1675</v>
      </c>
      <c r="B1624" t="s">
        <v>1112</v>
      </c>
      <c r="C1624" t="s">
        <v>1113</v>
      </c>
      <c r="D1624" t="s">
        <v>13</v>
      </c>
      <c r="E1624" t="s">
        <v>1114</v>
      </c>
      <c r="F1624" t="s">
        <v>1115</v>
      </c>
      <c r="G1624" t="s">
        <v>1116</v>
      </c>
      <c r="H1624" t="s">
        <v>4852</v>
      </c>
      <c r="I1624" t="b">
        <v>1</v>
      </c>
      <c r="J1624">
        <v>202</v>
      </c>
      <c r="K1624">
        <v>1676</v>
      </c>
      <c r="L1624">
        <v>385</v>
      </c>
      <c r="M1624">
        <f>COUNTIF(H1624:$H$2581,H1624)</f>
        <v>1</v>
      </c>
    </row>
    <row r="1625" spans="1:13" x14ac:dyDescent="0.2">
      <c r="A1625">
        <v>266</v>
      </c>
      <c r="B1625" t="s">
        <v>1126</v>
      </c>
      <c r="C1625" t="s">
        <v>1127</v>
      </c>
      <c r="D1625" t="s">
        <v>33</v>
      </c>
      <c r="E1625" t="s">
        <v>1128</v>
      </c>
      <c r="F1625" t="s">
        <v>1129</v>
      </c>
      <c r="G1625" t="s">
        <v>1130</v>
      </c>
      <c r="H1625" t="s">
        <v>4877</v>
      </c>
      <c r="I1625" t="b">
        <v>0</v>
      </c>
      <c r="J1625">
        <v>43</v>
      </c>
      <c r="K1625">
        <v>267</v>
      </c>
      <c r="L1625">
        <v>95</v>
      </c>
      <c r="M1625">
        <f>COUNTIF(H1625:$H$2581,H1625)</f>
        <v>16</v>
      </c>
    </row>
    <row r="1626" spans="1:13" x14ac:dyDescent="0.2">
      <c r="A1626">
        <v>430</v>
      </c>
      <c r="B1626" t="s">
        <v>399</v>
      </c>
      <c r="C1626" t="s">
        <v>1140</v>
      </c>
      <c r="D1626" t="s">
        <v>13</v>
      </c>
      <c r="E1626" t="s">
        <v>1141</v>
      </c>
      <c r="F1626" t="s">
        <v>402</v>
      </c>
      <c r="G1626" t="s">
        <v>1142</v>
      </c>
      <c r="H1626" t="s">
        <v>4877</v>
      </c>
      <c r="I1626" t="b">
        <v>0</v>
      </c>
      <c r="J1626">
        <v>63</v>
      </c>
      <c r="K1626">
        <v>431</v>
      </c>
      <c r="L1626">
        <v>192</v>
      </c>
      <c r="M1626">
        <f>COUNTIF(H1626:$H$2581,H1626)</f>
        <v>15</v>
      </c>
    </row>
    <row r="1627" spans="1:13" x14ac:dyDescent="0.2">
      <c r="A1627">
        <v>530</v>
      </c>
      <c r="B1627" t="s">
        <v>665</v>
      </c>
      <c r="C1627" t="s">
        <v>1153</v>
      </c>
      <c r="D1627" t="s">
        <v>33</v>
      </c>
      <c r="E1627" t="s">
        <v>1154</v>
      </c>
      <c r="F1627" t="s">
        <v>668</v>
      </c>
      <c r="G1627" t="s">
        <v>1155</v>
      </c>
      <c r="H1627" t="s">
        <v>4877</v>
      </c>
      <c r="I1627" t="b">
        <v>0</v>
      </c>
      <c r="J1627">
        <v>78</v>
      </c>
      <c r="K1627">
        <v>531</v>
      </c>
      <c r="L1627">
        <v>236</v>
      </c>
      <c r="M1627">
        <f>COUNTIF(H1627:$H$2581,H1627)</f>
        <v>14</v>
      </c>
    </row>
    <row r="1628" spans="1:13" x14ac:dyDescent="0.2">
      <c r="A1628">
        <v>2088</v>
      </c>
      <c r="B1628" t="s">
        <v>255</v>
      </c>
      <c r="C1628" t="s">
        <v>1203</v>
      </c>
      <c r="D1628" t="s">
        <v>13</v>
      </c>
      <c r="E1628" t="s">
        <v>1204</v>
      </c>
      <c r="F1628" t="s">
        <v>258</v>
      </c>
      <c r="G1628" t="s">
        <v>1205</v>
      </c>
      <c r="H1628" t="s">
        <v>4877</v>
      </c>
      <c r="I1628" t="s">
        <v>24</v>
      </c>
      <c r="J1628">
        <v>242</v>
      </c>
      <c r="K1628">
        <v>2089</v>
      </c>
      <c r="L1628">
        <v>335</v>
      </c>
      <c r="M1628">
        <f>COUNTIF(H1628:$H$2581,H1628)</f>
        <v>13</v>
      </c>
    </row>
    <row r="1629" spans="1:13" x14ac:dyDescent="0.2">
      <c r="A1629">
        <v>1028</v>
      </c>
      <c r="B1629" t="s">
        <v>1215</v>
      </c>
      <c r="C1629" t="s">
        <v>1216</v>
      </c>
      <c r="D1629" t="s">
        <v>13</v>
      </c>
      <c r="E1629" t="s">
        <v>1217</v>
      </c>
      <c r="F1629" t="s">
        <v>1218</v>
      </c>
      <c r="G1629" t="s">
        <v>1219</v>
      </c>
      <c r="H1629" t="s">
        <v>4877</v>
      </c>
      <c r="I1629" t="b">
        <v>1</v>
      </c>
      <c r="J1629">
        <v>129</v>
      </c>
      <c r="K1629">
        <v>1029</v>
      </c>
      <c r="L1629">
        <v>366</v>
      </c>
      <c r="M1629">
        <f>COUNTIF(H1629:$H$2581,H1629)</f>
        <v>12</v>
      </c>
    </row>
    <row r="1630" spans="1:13" x14ac:dyDescent="0.2">
      <c r="A1630">
        <v>163</v>
      </c>
      <c r="B1630" t="s">
        <v>335</v>
      </c>
      <c r="C1630" t="s">
        <v>1234</v>
      </c>
      <c r="D1630" t="s">
        <v>54</v>
      </c>
      <c r="E1630" t="s">
        <v>1235</v>
      </c>
      <c r="F1630" t="s">
        <v>338</v>
      </c>
      <c r="G1630" t="s">
        <v>1236</v>
      </c>
      <c r="H1630" t="s">
        <v>4877</v>
      </c>
      <c r="I1630" t="s">
        <v>24</v>
      </c>
      <c r="J1630">
        <v>30</v>
      </c>
      <c r="K1630">
        <v>164</v>
      </c>
      <c r="L1630">
        <v>79</v>
      </c>
      <c r="M1630">
        <f>COUNTIF(H1630:$H$2581,H1630)</f>
        <v>11</v>
      </c>
    </row>
    <row r="1631" spans="1:13" x14ac:dyDescent="0.2">
      <c r="A1631">
        <v>2416</v>
      </c>
      <c r="B1631" t="s">
        <v>1327</v>
      </c>
      <c r="C1631" t="s">
        <v>1332</v>
      </c>
      <c r="D1631" t="s">
        <v>54</v>
      </c>
      <c r="E1631" t="s">
        <v>1333</v>
      </c>
      <c r="F1631" t="s">
        <v>1330</v>
      </c>
      <c r="G1631" t="s">
        <v>1334</v>
      </c>
      <c r="H1631" t="s">
        <v>4877</v>
      </c>
      <c r="I1631" t="b">
        <v>0</v>
      </c>
      <c r="J1631">
        <v>283</v>
      </c>
      <c r="K1631">
        <v>2417</v>
      </c>
      <c r="L1631">
        <v>157</v>
      </c>
      <c r="M1631">
        <f>COUNTIF(H1631:$H$2581,H1631)</f>
        <v>10</v>
      </c>
    </row>
    <row r="1632" spans="1:13" x14ac:dyDescent="0.2">
      <c r="A1632">
        <v>720</v>
      </c>
      <c r="B1632" t="s">
        <v>1349</v>
      </c>
      <c r="C1632" t="s">
        <v>1350</v>
      </c>
      <c r="D1632" t="s">
        <v>54</v>
      </c>
      <c r="E1632" t="s">
        <v>1351</v>
      </c>
      <c r="F1632" t="s">
        <v>1352</v>
      </c>
      <c r="G1632" t="s">
        <v>1353</v>
      </c>
      <c r="H1632" t="s">
        <v>4877</v>
      </c>
      <c r="I1632" t="b">
        <v>1</v>
      </c>
      <c r="J1632">
        <v>104</v>
      </c>
      <c r="K1632">
        <v>721</v>
      </c>
      <c r="L1632">
        <v>68</v>
      </c>
      <c r="M1632">
        <f>COUNTIF(H1632:$H$2581,H1632)</f>
        <v>9</v>
      </c>
    </row>
    <row r="1633" spans="1:13" x14ac:dyDescent="0.2">
      <c r="A1633">
        <v>2221</v>
      </c>
      <c r="B1633" t="s">
        <v>165</v>
      </c>
      <c r="C1633" t="s">
        <v>1391</v>
      </c>
      <c r="D1633" t="s">
        <v>54</v>
      </c>
      <c r="E1633" t="s">
        <v>1392</v>
      </c>
      <c r="F1633" t="s">
        <v>168</v>
      </c>
      <c r="G1633" t="s">
        <v>1393</v>
      </c>
      <c r="H1633" t="s">
        <v>4877</v>
      </c>
      <c r="I1633" t="s">
        <v>24</v>
      </c>
      <c r="J1633">
        <v>261</v>
      </c>
      <c r="K1633">
        <v>2222</v>
      </c>
      <c r="L1633">
        <v>37</v>
      </c>
      <c r="M1633">
        <f>COUNTIF(H1633:$H$2581,H1633)</f>
        <v>8</v>
      </c>
    </row>
    <row r="1634" spans="1:13" x14ac:dyDescent="0.2">
      <c r="A1634">
        <v>1760</v>
      </c>
      <c r="B1634" t="s">
        <v>216</v>
      </c>
      <c r="C1634" t="s">
        <v>1408</v>
      </c>
      <c r="D1634" t="s">
        <v>54</v>
      </c>
      <c r="E1634" t="s">
        <v>1409</v>
      </c>
      <c r="F1634" t="s">
        <v>219</v>
      </c>
      <c r="G1634" t="s">
        <v>1410</v>
      </c>
      <c r="H1634" t="s">
        <v>4877</v>
      </c>
      <c r="I1634" t="b">
        <v>1</v>
      </c>
      <c r="J1634">
        <v>209</v>
      </c>
      <c r="K1634">
        <v>1761</v>
      </c>
      <c r="L1634">
        <v>470</v>
      </c>
      <c r="M1634">
        <f>COUNTIF(H1634:$H$2581,H1634)</f>
        <v>7</v>
      </c>
    </row>
    <row r="1635" spans="1:13" x14ac:dyDescent="0.2">
      <c r="A1635">
        <v>1869</v>
      </c>
      <c r="B1635" t="s">
        <v>749</v>
      </c>
      <c r="C1635" t="s">
        <v>1466</v>
      </c>
      <c r="D1635" t="s">
        <v>13</v>
      </c>
      <c r="E1635" t="s">
        <v>1467</v>
      </c>
      <c r="F1635" t="s">
        <v>752</v>
      </c>
      <c r="G1635" t="s">
        <v>1468</v>
      </c>
      <c r="H1635" t="s">
        <v>4877</v>
      </c>
      <c r="I1635" t="s">
        <v>24</v>
      </c>
      <c r="J1635">
        <v>218</v>
      </c>
      <c r="K1635">
        <v>1870</v>
      </c>
      <c r="L1635">
        <v>299</v>
      </c>
      <c r="M1635">
        <f>COUNTIF(H1635:$H$2581,H1635)</f>
        <v>6</v>
      </c>
    </row>
    <row r="1636" spans="1:13" x14ac:dyDescent="0.2">
      <c r="A1636">
        <v>557</v>
      </c>
      <c r="B1636" t="s">
        <v>1254</v>
      </c>
      <c r="C1636" t="s">
        <v>1478</v>
      </c>
      <c r="D1636" t="s">
        <v>54</v>
      </c>
      <c r="E1636" t="s">
        <v>1479</v>
      </c>
      <c r="F1636" t="s">
        <v>1257</v>
      </c>
      <c r="G1636" t="s">
        <v>1480</v>
      </c>
      <c r="H1636" t="s">
        <v>4877</v>
      </c>
      <c r="I1636" t="s">
        <v>24</v>
      </c>
      <c r="J1636">
        <v>83</v>
      </c>
      <c r="K1636">
        <v>558</v>
      </c>
      <c r="L1636">
        <v>245</v>
      </c>
      <c r="M1636">
        <f>COUNTIF(H1636:$H$2581,H1636)</f>
        <v>5</v>
      </c>
    </row>
    <row r="1637" spans="1:13" x14ac:dyDescent="0.2">
      <c r="A1637">
        <v>1199</v>
      </c>
      <c r="B1637" t="s">
        <v>1509</v>
      </c>
      <c r="C1637" t="s">
        <v>1510</v>
      </c>
      <c r="D1637" t="s">
        <v>13</v>
      </c>
      <c r="E1637" t="s">
        <v>1511</v>
      </c>
      <c r="F1637" t="s">
        <v>1512</v>
      </c>
      <c r="G1637" t="s">
        <v>1513</v>
      </c>
      <c r="H1637" t="s">
        <v>4877</v>
      </c>
      <c r="I1637" t="b">
        <v>1</v>
      </c>
      <c r="J1637">
        <v>147</v>
      </c>
      <c r="K1637">
        <v>1200</v>
      </c>
      <c r="L1637">
        <v>112</v>
      </c>
      <c r="M1637">
        <f>COUNTIF(H1637:$H$2581,H1637)</f>
        <v>4</v>
      </c>
    </row>
    <row r="1638" spans="1:13" x14ac:dyDescent="0.2">
      <c r="A1638">
        <v>2119</v>
      </c>
      <c r="B1638" t="s">
        <v>576</v>
      </c>
      <c r="C1638" t="s">
        <v>1533</v>
      </c>
      <c r="D1638" t="s">
        <v>54</v>
      </c>
      <c r="E1638" t="s">
        <v>1534</v>
      </c>
      <c r="F1638" t="s">
        <v>579</v>
      </c>
      <c r="G1638" t="s">
        <v>1535</v>
      </c>
      <c r="H1638" t="s">
        <v>4877</v>
      </c>
      <c r="I1638" t="s">
        <v>24</v>
      </c>
      <c r="J1638">
        <v>244</v>
      </c>
      <c r="K1638">
        <v>2120</v>
      </c>
      <c r="L1638">
        <v>640</v>
      </c>
      <c r="M1638">
        <f>COUNTIF(H1638:$H$2581,H1638)</f>
        <v>3</v>
      </c>
    </row>
    <row r="1639" spans="1:13" x14ac:dyDescent="0.2">
      <c r="A1639">
        <v>2503</v>
      </c>
      <c r="B1639" t="s">
        <v>481</v>
      </c>
      <c r="C1639" t="s">
        <v>1556</v>
      </c>
      <c r="D1639" t="s">
        <v>13</v>
      </c>
      <c r="E1639" t="s">
        <v>1557</v>
      </c>
      <c r="F1639" t="s">
        <v>484</v>
      </c>
      <c r="G1639" t="s">
        <v>1558</v>
      </c>
      <c r="H1639" t="s">
        <v>4877</v>
      </c>
      <c r="I1639" t="s">
        <v>24</v>
      </c>
      <c r="J1639">
        <v>291</v>
      </c>
      <c r="K1639">
        <v>2504</v>
      </c>
      <c r="L1639">
        <v>377</v>
      </c>
      <c r="M1639">
        <f>COUNTIF(H1639:$H$2581,H1639)</f>
        <v>2</v>
      </c>
    </row>
    <row r="1640" spans="1:13" x14ac:dyDescent="0.2">
      <c r="A1640">
        <v>1828</v>
      </c>
      <c r="B1640" t="s">
        <v>1589</v>
      </c>
      <c r="C1640" t="s">
        <v>1590</v>
      </c>
      <c r="D1640" t="s">
        <v>13</v>
      </c>
      <c r="E1640" t="s">
        <v>1591</v>
      </c>
      <c r="F1640" t="s">
        <v>1592</v>
      </c>
      <c r="G1640" t="s">
        <v>1593</v>
      </c>
      <c r="H1640" t="s">
        <v>4877</v>
      </c>
      <c r="I1640" t="s">
        <v>24</v>
      </c>
      <c r="J1640">
        <v>213</v>
      </c>
      <c r="K1640">
        <v>1829</v>
      </c>
      <c r="L1640">
        <v>408</v>
      </c>
      <c r="M1640">
        <f>COUNTIF(H1640:$H$2581,H1640)</f>
        <v>1</v>
      </c>
    </row>
    <row r="1641" spans="1:13" x14ac:dyDescent="0.2">
      <c r="A1641">
        <v>2477</v>
      </c>
      <c r="B1641" t="s">
        <v>1626</v>
      </c>
      <c r="C1641" t="s">
        <v>1627</v>
      </c>
      <c r="D1641" t="s">
        <v>33</v>
      </c>
      <c r="E1641" t="s">
        <v>1628</v>
      </c>
      <c r="F1641" t="s">
        <v>1629</v>
      </c>
      <c r="G1641" t="s">
        <v>1630</v>
      </c>
      <c r="H1641" t="s">
        <v>4937</v>
      </c>
      <c r="I1641" t="b">
        <v>0</v>
      </c>
      <c r="J1641">
        <v>287</v>
      </c>
      <c r="K1641">
        <v>2478</v>
      </c>
      <c r="L1641">
        <v>97</v>
      </c>
      <c r="M1641">
        <f>COUNTIF(H1641:$H$2581,H1641)</f>
        <v>2</v>
      </c>
    </row>
    <row r="1642" spans="1:13" x14ac:dyDescent="0.2">
      <c r="A1642">
        <v>1351</v>
      </c>
      <c r="B1642" t="s">
        <v>571</v>
      </c>
      <c r="C1642" t="s">
        <v>1640</v>
      </c>
      <c r="D1642" t="s">
        <v>33</v>
      </c>
      <c r="E1642" t="s">
        <v>1641</v>
      </c>
      <c r="F1642" t="s">
        <v>574</v>
      </c>
      <c r="G1642" t="s">
        <v>1642</v>
      </c>
      <c r="H1642" t="s">
        <v>4937</v>
      </c>
      <c r="I1642" t="b">
        <v>0</v>
      </c>
      <c r="J1642">
        <v>165</v>
      </c>
      <c r="K1642">
        <v>1352</v>
      </c>
      <c r="L1642">
        <v>452</v>
      </c>
      <c r="M1642">
        <f>COUNTIF(H1642:$H$2581,H1642)</f>
        <v>1</v>
      </c>
    </row>
    <row r="1643" spans="1:13" x14ac:dyDescent="0.2">
      <c r="A1643">
        <v>1817</v>
      </c>
      <c r="B1643" t="s">
        <v>654</v>
      </c>
      <c r="C1643" t="s">
        <v>1717</v>
      </c>
      <c r="D1643" t="s">
        <v>54</v>
      </c>
      <c r="E1643" t="s">
        <v>1721</v>
      </c>
      <c r="F1643" t="s">
        <v>656</v>
      </c>
      <c r="G1643" t="s">
        <v>1719</v>
      </c>
      <c r="H1643" t="s">
        <v>4951</v>
      </c>
      <c r="I1643" t="b">
        <v>1</v>
      </c>
      <c r="J1643">
        <v>211</v>
      </c>
      <c r="K1643">
        <v>1818</v>
      </c>
      <c r="L1643">
        <v>77</v>
      </c>
      <c r="M1643">
        <f>COUNTIF(H1643:$H$2581,H1643)</f>
        <v>2</v>
      </c>
    </row>
    <row r="1644" spans="1:13" x14ac:dyDescent="0.2">
      <c r="A1644">
        <v>2363</v>
      </c>
      <c r="B1644" t="s">
        <v>1816</v>
      </c>
      <c r="C1644" t="s">
        <v>1817</v>
      </c>
      <c r="D1644" t="s">
        <v>54</v>
      </c>
      <c r="E1644" t="s">
        <v>1818</v>
      </c>
      <c r="F1644" t="s">
        <v>1819</v>
      </c>
      <c r="G1644" t="s">
        <v>1820</v>
      </c>
      <c r="H1644" t="s">
        <v>4951</v>
      </c>
      <c r="I1644" t="s">
        <v>24</v>
      </c>
      <c r="J1644">
        <v>276</v>
      </c>
      <c r="K1644">
        <v>2364</v>
      </c>
      <c r="L1644">
        <v>84</v>
      </c>
      <c r="M1644">
        <f>COUNTIF(H1644:$H$2581,H1644)</f>
        <v>1</v>
      </c>
    </row>
    <row r="1645" spans="1:13" x14ac:dyDescent="0.2">
      <c r="A1645">
        <v>2526</v>
      </c>
      <c r="B1645" t="s">
        <v>2001</v>
      </c>
      <c r="C1645" t="s">
        <v>2002</v>
      </c>
      <c r="D1645" t="s">
        <v>13</v>
      </c>
      <c r="E1645" t="s">
        <v>2003</v>
      </c>
      <c r="F1645" t="s">
        <v>2004</v>
      </c>
      <c r="G1645" t="s">
        <v>2005</v>
      </c>
      <c r="H1645" t="s">
        <v>4961</v>
      </c>
      <c r="I1645" t="s">
        <v>24</v>
      </c>
      <c r="J1645">
        <v>293</v>
      </c>
      <c r="K1645">
        <v>2527</v>
      </c>
      <c r="L1645">
        <v>10</v>
      </c>
      <c r="M1645">
        <f>COUNTIF(H1645:$H$2581,H1645)</f>
        <v>1</v>
      </c>
    </row>
    <row r="1646" spans="1:13" x14ac:dyDescent="0.2">
      <c r="A1646">
        <v>669</v>
      </c>
      <c r="B1646" t="s">
        <v>822</v>
      </c>
      <c r="C1646" t="s">
        <v>2019</v>
      </c>
      <c r="D1646" t="s">
        <v>13</v>
      </c>
      <c r="E1646" t="s">
        <v>2020</v>
      </c>
      <c r="F1646" t="s">
        <v>825</v>
      </c>
      <c r="G1646" t="s">
        <v>2021</v>
      </c>
      <c r="H1646" t="s">
        <v>4968</v>
      </c>
      <c r="I1646" t="s">
        <v>24</v>
      </c>
      <c r="J1646">
        <v>99</v>
      </c>
      <c r="K1646">
        <v>670</v>
      </c>
      <c r="L1646">
        <v>98</v>
      </c>
      <c r="M1646">
        <f>COUNTIF(H1646:$H$2581,H1646)</f>
        <v>22</v>
      </c>
    </row>
    <row r="1647" spans="1:13" x14ac:dyDescent="0.2">
      <c r="A1647">
        <v>662</v>
      </c>
      <c r="B1647" t="s">
        <v>2053</v>
      </c>
      <c r="C1647" t="s">
        <v>2054</v>
      </c>
      <c r="D1647" t="s">
        <v>54</v>
      </c>
      <c r="E1647" t="s">
        <v>2055</v>
      </c>
      <c r="F1647" s="1" t="s">
        <v>2056</v>
      </c>
      <c r="G1647" t="s">
        <v>2057</v>
      </c>
      <c r="H1647" t="s">
        <v>4968</v>
      </c>
      <c r="I1647" t="s">
        <v>24</v>
      </c>
      <c r="J1647">
        <v>98</v>
      </c>
      <c r="K1647">
        <v>663</v>
      </c>
      <c r="L1647">
        <v>282</v>
      </c>
      <c r="M1647">
        <f>COUNTIF(H1647:$H$2581,H1647)</f>
        <v>21</v>
      </c>
    </row>
    <row r="1648" spans="1:13" x14ac:dyDescent="0.2">
      <c r="A1648">
        <v>1234</v>
      </c>
      <c r="B1648" t="s">
        <v>1461</v>
      </c>
      <c r="C1648" t="s">
        <v>2082</v>
      </c>
      <c r="D1648" t="s">
        <v>13</v>
      </c>
      <c r="E1648" t="s">
        <v>2083</v>
      </c>
      <c r="F1648" t="s">
        <v>1464</v>
      </c>
      <c r="G1648" t="s">
        <v>2084</v>
      </c>
      <c r="H1648" t="s">
        <v>4968</v>
      </c>
      <c r="I1648" t="b">
        <v>0</v>
      </c>
      <c r="J1648">
        <v>152</v>
      </c>
      <c r="K1648">
        <v>1235</v>
      </c>
      <c r="L1648">
        <v>422</v>
      </c>
      <c r="M1648">
        <f>COUNTIF(H1648:$H$2581,H1648)</f>
        <v>20</v>
      </c>
    </row>
    <row r="1649" spans="1:13" x14ac:dyDescent="0.2">
      <c r="A1649">
        <v>503</v>
      </c>
      <c r="B1649" t="s">
        <v>2129</v>
      </c>
      <c r="C1649" t="s">
        <v>2130</v>
      </c>
      <c r="D1649" t="s">
        <v>13</v>
      </c>
      <c r="E1649" t="s">
        <v>2131</v>
      </c>
      <c r="F1649" t="s">
        <v>2132</v>
      </c>
      <c r="G1649" t="s">
        <v>2133</v>
      </c>
      <c r="H1649" t="s">
        <v>4968</v>
      </c>
      <c r="I1649" t="b">
        <v>0</v>
      </c>
      <c r="J1649">
        <v>72</v>
      </c>
      <c r="K1649">
        <v>504</v>
      </c>
      <c r="L1649">
        <v>43</v>
      </c>
      <c r="M1649">
        <f>COUNTIF(H1649:$H$2581,H1649)</f>
        <v>19</v>
      </c>
    </row>
    <row r="1650" spans="1:13" x14ac:dyDescent="0.2">
      <c r="A1650">
        <v>2181</v>
      </c>
      <c r="B1650" t="s">
        <v>1180</v>
      </c>
      <c r="C1650" t="s">
        <v>2193</v>
      </c>
      <c r="D1650" t="s">
        <v>13</v>
      </c>
      <c r="E1650" t="s">
        <v>2194</v>
      </c>
      <c r="F1650" t="s">
        <v>1183</v>
      </c>
      <c r="G1650" t="s">
        <v>2195</v>
      </c>
      <c r="H1650" t="s">
        <v>4968</v>
      </c>
      <c r="I1650" t="b">
        <v>1</v>
      </c>
      <c r="J1650">
        <v>256</v>
      </c>
      <c r="K1650">
        <v>2182</v>
      </c>
      <c r="L1650">
        <v>204</v>
      </c>
      <c r="M1650">
        <f>COUNTIF(H1650:$H$2581,H1650)</f>
        <v>18</v>
      </c>
    </row>
    <row r="1651" spans="1:13" x14ac:dyDescent="0.2">
      <c r="A1651">
        <v>859</v>
      </c>
      <c r="B1651" t="s">
        <v>1091</v>
      </c>
      <c r="C1651" t="s">
        <v>2205</v>
      </c>
      <c r="D1651" t="s">
        <v>13</v>
      </c>
      <c r="E1651" t="s">
        <v>2206</v>
      </c>
      <c r="F1651" t="s">
        <v>1094</v>
      </c>
      <c r="G1651" t="s">
        <v>2207</v>
      </c>
      <c r="H1651" t="s">
        <v>4968</v>
      </c>
      <c r="I1651" t="b">
        <v>1</v>
      </c>
      <c r="J1651">
        <v>118</v>
      </c>
      <c r="K1651">
        <v>860</v>
      </c>
      <c r="L1651">
        <v>32</v>
      </c>
      <c r="M1651">
        <f>COUNTIF(H1651:$H$2581,H1651)</f>
        <v>17</v>
      </c>
    </row>
    <row r="1652" spans="1:13" x14ac:dyDescent="0.2">
      <c r="A1652">
        <v>815</v>
      </c>
      <c r="B1652" t="s">
        <v>594</v>
      </c>
      <c r="C1652" t="s">
        <v>2211</v>
      </c>
      <c r="D1652" t="s">
        <v>54</v>
      </c>
      <c r="E1652" t="s">
        <v>2212</v>
      </c>
      <c r="F1652" t="s">
        <v>597</v>
      </c>
      <c r="G1652" t="s">
        <v>2213</v>
      </c>
      <c r="H1652" t="s">
        <v>4968</v>
      </c>
      <c r="I1652" t="b">
        <v>1</v>
      </c>
      <c r="J1652">
        <v>114</v>
      </c>
      <c r="K1652">
        <v>816</v>
      </c>
      <c r="L1652">
        <v>323</v>
      </c>
      <c r="M1652">
        <f>COUNTIF(H1652:$H$2581,H1652)</f>
        <v>16</v>
      </c>
    </row>
    <row r="1653" spans="1:13" x14ac:dyDescent="0.2">
      <c r="A1653">
        <v>2419</v>
      </c>
      <c r="B1653" t="s">
        <v>1327</v>
      </c>
      <c r="C1653" t="s">
        <v>2252</v>
      </c>
      <c r="D1653" t="s">
        <v>54</v>
      </c>
      <c r="E1653" t="s">
        <v>2253</v>
      </c>
      <c r="F1653" t="s">
        <v>1330</v>
      </c>
      <c r="G1653" t="s">
        <v>2254</v>
      </c>
      <c r="H1653" t="s">
        <v>4968</v>
      </c>
      <c r="I1653" t="b">
        <v>0</v>
      </c>
      <c r="J1653">
        <v>283</v>
      </c>
      <c r="K1653">
        <v>2420</v>
      </c>
      <c r="L1653">
        <v>289</v>
      </c>
      <c r="M1653">
        <f>COUNTIF(H1653:$H$2581,H1653)</f>
        <v>15</v>
      </c>
    </row>
    <row r="1654" spans="1:13" x14ac:dyDescent="0.2">
      <c r="A1654">
        <v>300</v>
      </c>
      <c r="B1654" t="s">
        <v>784</v>
      </c>
      <c r="C1654" t="s">
        <v>2275</v>
      </c>
      <c r="D1654" t="s">
        <v>54</v>
      </c>
      <c r="E1654" t="s">
        <v>2276</v>
      </c>
      <c r="F1654" t="s">
        <v>787</v>
      </c>
      <c r="G1654" t="s">
        <v>2277</v>
      </c>
      <c r="H1654" t="s">
        <v>4968</v>
      </c>
      <c r="I1654" t="b">
        <v>0</v>
      </c>
      <c r="J1654">
        <v>45</v>
      </c>
      <c r="K1654">
        <v>301</v>
      </c>
      <c r="L1654">
        <v>136</v>
      </c>
      <c r="M1654">
        <f>COUNTIF(H1654:$H$2581,H1654)</f>
        <v>14</v>
      </c>
    </row>
    <row r="1655" spans="1:13" x14ac:dyDescent="0.2">
      <c r="A1655">
        <v>2420</v>
      </c>
      <c r="B1655" t="s">
        <v>1327</v>
      </c>
      <c r="C1655" t="s">
        <v>2321</v>
      </c>
      <c r="D1655" t="s">
        <v>54</v>
      </c>
      <c r="E1655" t="s">
        <v>2322</v>
      </c>
      <c r="F1655" t="s">
        <v>1330</v>
      </c>
      <c r="G1655" t="s">
        <v>2323</v>
      </c>
      <c r="H1655" t="s">
        <v>4968</v>
      </c>
      <c r="I1655" t="b">
        <v>0</v>
      </c>
      <c r="J1655">
        <v>283</v>
      </c>
      <c r="K1655">
        <v>2421</v>
      </c>
      <c r="L1655">
        <v>120</v>
      </c>
      <c r="M1655">
        <f>COUNTIF(H1655:$H$2581,H1655)</f>
        <v>13</v>
      </c>
    </row>
    <row r="1656" spans="1:13" x14ac:dyDescent="0.2">
      <c r="A1656">
        <v>2400</v>
      </c>
      <c r="B1656" t="s">
        <v>1987</v>
      </c>
      <c r="C1656" t="s">
        <v>2411</v>
      </c>
      <c r="D1656" t="s">
        <v>13</v>
      </c>
      <c r="E1656" t="s">
        <v>2412</v>
      </c>
      <c r="F1656" t="s">
        <v>1990</v>
      </c>
      <c r="G1656" t="s">
        <v>2413</v>
      </c>
      <c r="H1656" t="s">
        <v>4968</v>
      </c>
      <c r="I1656" t="b">
        <v>1</v>
      </c>
      <c r="J1656">
        <v>281</v>
      </c>
      <c r="K1656">
        <v>2401</v>
      </c>
      <c r="L1656">
        <v>121</v>
      </c>
      <c r="M1656">
        <f>COUNTIF(H1656:$H$2581,H1656)</f>
        <v>12</v>
      </c>
    </row>
    <row r="1657" spans="1:13" x14ac:dyDescent="0.2">
      <c r="A1657">
        <v>1928</v>
      </c>
      <c r="B1657" t="s">
        <v>439</v>
      </c>
      <c r="C1657" t="s">
        <v>2428</v>
      </c>
      <c r="D1657" t="s">
        <v>54</v>
      </c>
      <c r="E1657" t="s">
        <v>2429</v>
      </c>
      <c r="F1657" t="s">
        <v>442</v>
      </c>
      <c r="G1657" t="s">
        <v>2430</v>
      </c>
      <c r="H1657" t="s">
        <v>4968</v>
      </c>
      <c r="I1657" t="b">
        <v>0</v>
      </c>
      <c r="J1657">
        <v>224</v>
      </c>
      <c r="K1657">
        <v>1929</v>
      </c>
      <c r="L1657">
        <v>453</v>
      </c>
      <c r="M1657">
        <f>COUNTIF(H1657:$H$2581,H1657)</f>
        <v>11</v>
      </c>
    </row>
    <row r="1658" spans="1:13" x14ac:dyDescent="0.2">
      <c r="A1658">
        <v>1880</v>
      </c>
      <c r="B1658" t="s">
        <v>619</v>
      </c>
      <c r="C1658" t="s">
        <v>2472</v>
      </c>
      <c r="D1658" t="s">
        <v>13</v>
      </c>
      <c r="E1658" t="s">
        <v>2473</v>
      </c>
      <c r="F1658" t="s">
        <v>622</v>
      </c>
      <c r="G1658" t="s">
        <v>2474</v>
      </c>
      <c r="H1658" t="s">
        <v>4968</v>
      </c>
      <c r="I1658" t="b">
        <v>1</v>
      </c>
      <c r="J1658">
        <v>219</v>
      </c>
      <c r="K1658">
        <v>1881</v>
      </c>
      <c r="L1658">
        <v>16</v>
      </c>
      <c r="M1658">
        <f>COUNTIF(H1658:$H$2581,H1658)</f>
        <v>10</v>
      </c>
    </row>
    <row r="1659" spans="1:13" x14ac:dyDescent="0.2">
      <c r="A1659">
        <v>2010</v>
      </c>
      <c r="B1659" t="s">
        <v>444</v>
      </c>
      <c r="C1659" t="s">
        <v>2493</v>
      </c>
      <c r="D1659" t="s">
        <v>13</v>
      </c>
      <c r="E1659" t="s">
        <v>2494</v>
      </c>
      <c r="F1659" t="s">
        <v>447</v>
      </c>
      <c r="G1659" t="s">
        <v>2495</v>
      </c>
      <c r="H1659" t="s">
        <v>4968</v>
      </c>
      <c r="I1659" t="s">
        <v>24</v>
      </c>
      <c r="J1659">
        <v>233</v>
      </c>
      <c r="K1659">
        <v>2011</v>
      </c>
      <c r="L1659">
        <v>182</v>
      </c>
      <c r="M1659">
        <f>COUNTIF(H1659:$H$2581,H1659)</f>
        <v>9</v>
      </c>
    </row>
    <row r="1660" spans="1:13" x14ac:dyDescent="0.2">
      <c r="A1660">
        <v>88</v>
      </c>
      <c r="B1660" t="s">
        <v>311</v>
      </c>
      <c r="C1660" t="s">
        <v>2503</v>
      </c>
      <c r="D1660" t="s">
        <v>54</v>
      </c>
      <c r="E1660" t="s">
        <v>2504</v>
      </c>
      <c r="F1660" s="1" t="s">
        <v>314</v>
      </c>
      <c r="G1660" t="s">
        <v>2505</v>
      </c>
      <c r="H1660" t="s">
        <v>4968</v>
      </c>
      <c r="I1660" t="s">
        <v>24</v>
      </c>
      <c r="J1660">
        <v>14</v>
      </c>
      <c r="K1660">
        <v>89</v>
      </c>
      <c r="L1660">
        <v>60</v>
      </c>
      <c r="M1660">
        <f>COUNTIF(H1660:$H$2581,H1660)</f>
        <v>8</v>
      </c>
    </row>
    <row r="1661" spans="1:13" x14ac:dyDescent="0.2">
      <c r="A1661">
        <v>1618</v>
      </c>
      <c r="B1661" t="s">
        <v>720</v>
      </c>
      <c r="C1661" t="s">
        <v>2519</v>
      </c>
      <c r="D1661" t="s">
        <v>54</v>
      </c>
      <c r="E1661" t="s">
        <v>2520</v>
      </c>
      <c r="F1661" t="s">
        <v>723</v>
      </c>
      <c r="G1661" t="s">
        <v>2521</v>
      </c>
      <c r="H1661" t="s">
        <v>4968</v>
      </c>
      <c r="I1661" t="b">
        <v>1</v>
      </c>
      <c r="J1661">
        <v>197</v>
      </c>
      <c r="K1661">
        <v>1619</v>
      </c>
      <c r="L1661">
        <v>99</v>
      </c>
      <c r="M1661">
        <f>COUNTIF(H1661:$H$2581,H1661)</f>
        <v>7</v>
      </c>
    </row>
    <row r="1662" spans="1:13" x14ac:dyDescent="0.2">
      <c r="A1662">
        <v>389</v>
      </c>
      <c r="B1662" t="s">
        <v>1568</v>
      </c>
      <c r="C1662" t="s">
        <v>2525</v>
      </c>
      <c r="D1662" t="s">
        <v>33</v>
      </c>
      <c r="E1662" t="s">
        <v>2526</v>
      </c>
      <c r="F1662" t="s">
        <v>1571</v>
      </c>
      <c r="G1662" t="s">
        <v>2527</v>
      </c>
      <c r="H1662" t="s">
        <v>4968</v>
      </c>
      <c r="I1662" t="s">
        <v>24</v>
      </c>
      <c r="J1662">
        <v>55</v>
      </c>
      <c r="K1662">
        <v>390</v>
      </c>
      <c r="L1662">
        <v>175</v>
      </c>
      <c r="M1662">
        <f>COUNTIF(H1662:$H$2581,H1662)</f>
        <v>6</v>
      </c>
    </row>
    <row r="1663" spans="1:13" x14ac:dyDescent="0.2">
      <c r="A1663">
        <v>457</v>
      </c>
      <c r="B1663" t="s">
        <v>1039</v>
      </c>
      <c r="C1663" t="s">
        <v>2532</v>
      </c>
      <c r="D1663" t="s">
        <v>54</v>
      </c>
      <c r="E1663" t="s">
        <v>2533</v>
      </c>
      <c r="F1663" t="s">
        <v>1042</v>
      </c>
      <c r="G1663" t="s">
        <v>2534</v>
      </c>
      <c r="H1663" t="s">
        <v>4968</v>
      </c>
      <c r="I1663" t="s">
        <v>24</v>
      </c>
      <c r="J1663">
        <v>65</v>
      </c>
      <c r="K1663">
        <v>458</v>
      </c>
      <c r="L1663">
        <v>205</v>
      </c>
      <c r="M1663">
        <f>COUNTIF(H1663:$H$2581,H1663)</f>
        <v>5</v>
      </c>
    </row>
    <row r="1664" spans="1:13" x14ac:dyDescent="0.2">
      <c r="A1664">
        <v>1529</v>
      </c>
      <c r="B1664" t="s">
        <v>715</v>
      </c>
      <c r="C1664" t="s">
        <v>2543</v>
      </c>
      <c r="D1664" t="s">
        <v>13</v>
      </c>
      <c r="E1664" t="s">
        <v>2544</v>
      </c>
      <c r="F1664" t="s">
        <v>718</v>
      </c>
      <c r="G1664" t="s">
        <v>2545</v>
      </c>
      <c r="H1664" t="s">
        <v>4968</v>
      </c>
      <c r="I1664" t="s">
        <v>24</v>
      </c>
      <c r="J1664">
        <v>186</v>
      </c>
      <c r="K1664">
        <v>1530</v>
      </c>
      <c r="L1664">
        <v>511</v>
      </c>
      <c r="M1664">
        <f>COUNTIF(H1664:$H$2581,H1664)</f>
        <v>4</v>
      </c>
    </row>
    <row r="1665" spans="1:13" x14ac:dyDescent="0.2">
      <c r="A1665">
        <v>2516</v>
      </c>
      <c r="B1665" t="s">
        <v>2029</v>
      </c>
      <c r="C1665" t="s">
        <v>2561</v>
      </c>
      <c r="D1665" t="s">
        <v>13</v>
      </c>
      <c r="E1665" t="s">
        <v>2562</v>
      </c>
      <c r="F1665" t="s">
        <v>2032</v>
      </c>
      <c r="G1665" t="s">
        <v>2563</v>
      </c>
      <c r="H1665" t="s">
        <v>4968</v>
      </c>
      <c r="I1665" t="s">
        <v>24</v>
      </c>
      <c r="J1665">
        <v>292</v>
      </c>
      <c r="K1665">
        <v>2517</v>
      </c>
      <c r="L1665">
        <v>286</v>
      </c>
      <c r="M1665">
        <f>COUNTIF(H1665:$H$2581,H1665)</f>
        <v>3</v>
      </c>
    </row>
    <row r="1666" spans="1:13" x14ac:dyDescent="0.2">
      <c r="A1666">
        <v>2013</v>
      </c>
      <c r="B1666" t="s">
        <v>444</v>
      </c>
      <c r="C1666" t="s">
        <v>2584</v>
      </c>
      <c r="D1666" t="s">
        <v>13</v>
      </c>
      <c r="E1666" t="s">
        <v>2585</v>
      </c>
      <c r="F1666" t="s">
        <v>447</v>
      </c>
      <c r="G1666" t="s">
        <v>2586</v>
      </c>
      <c r="H1666" t="s">
        <v>4968</v>
      </c>
      <c r="I1666" t="s">
        <v>24</v>
      </c>
      <c r="J1666">
        <v>233</v>
      </c>
      <c r="K1666">
        <v>2014</v>
      </c>
      <c r="L1666">
        <v>546</v>
      </c>
      <c r="M1666">
        <f>COUNTIF(H1666:$H$2581,H1666)</f>
        <v>2</v>
      </c>
    </row>
    <row r="1667" spans="1:13" x14ac:dyDescent="0.2">
      <c r="A1667">
        <v>110</v>
      </c>
      <c r="B1667" t="s">
        <v>42</v>
      </c>
      <c r="C1667" t="s">
        <v>2598</v>
      </c>
      <c r="D1667" t="s">
        <v>13</v>
      </c>
      <c r="E1667" t="s">
        <v>2599</v>
      </c>
      <c r="F1667" t="s">
        <v>45</v>
      </c>
      <c r="G1667" t="s">
        <v>2600</v>
      </c>
      <c r="H1667" t="s">
        <v>4968</v>
      </c>
      <c r="I1667" t="b">
        <v>1</v>
      </c>
      <c r="J1667">
        <v>19</v>
      </c>
      <c r="K1667">
        <v>111</v>
      </c>
      <c r="L1667">
        <v>66</v>
      </c>
      <c r="M1667">
        <f>COUNTIF(H1667:$H$2581,H1667)</f>
        <v>1</v>
      </c>
    </row>
    <row r="1668" spans="1:13" x14ac:dyDescent="0.2">
      <c r="A1668">
        <v>1359</v>
      </c>
      <c r="B1668" t="s">
        <v>603</v>
      </c>
      <c r="C1668" t="s">
        <v>2625</v>
      </c>
      <c r="D1668" t="s">
        <v>54</v>
      </c>
      <c r="E1668" t="s">
        <v>2626</v>
      </c>
      <c r="F1668" t="s">
        <v>606</v>
      </c>
      <c r="G1668" t="s">
        <v>2627</v>
      </c>
      <c r="H1668" t="s">
        <v>5048</v>
      </c>
      <c r="I1668" t="s">
        <v>24</v>
      </c>
      <c r="J1668">
        <v>166</v>
      </c>
      <c r="K1668">
        <v>1360</v>
      </c>
      <c r="L1668">
        <v>262</v>
      </c>
      <c r="M1668">
        <f>COUNTIF(H1668:$H$2581,H1668)</f>
        <v>2</v>
      </c>
    </row>
    <row r="1669" spans="1:13" x14ac:dyDescent="0.2">
      <c r="A1669">
        <v>1793</v>
      </c>
      <c r="B1669" t="s">
        <v>1287</v>
      </c>
      <c r="C1669" t="s">
        <v>2661</v>
      </c>
      <c r="D1669" t="s">
        <v>13</v>
      </c>
      <c r="E1669" t="s">
        <v>2662</v>
      </c>
      <c r="F1669" t="s">
        <v>1290</v>
      </c>
      <c r="G1669" t="s">
        <v>2663</v>
      </c>
      <c r="H1669" t="s">
        <v>5048</v>
      </c>
      <c r="I1669" t="s">
        <v>24</v>
      </c>
      <c r="J1669">
        <v>210</v>
      </c>
      <c r="K1669">
        <v>1794</v>
      </c>
      <c r="L1669">
        <v>423</v>
      </c>
      <c r="M1669">
        <f>COUNTIF(H1669:$H$2581,H1669)</f>
        <v>1</v>
      </c>
    </row>
    <row r="1670" spans="1:13" x14ac:dyDescent="0.2">
      <c r="A1670">
        <v>1711</v>
      </c>
      <c r="B1670" t="s">
        <v>725</v>
      </c>
      <c r="C1670" t="s">
        <v>2685</v>
      </c>
      <c r="D1670" t="s">
        <v>54</v>
      </c>
      <c r="E1670" t="s">
        <v>2686</v>
      </c>
      <c r="F1670" t="s">
        <v>728</v>
      </c>
      <c r="G1670" t="s">
        <v>2687</v>
      </c>
      <c r="H1670" t="s">
        <v>5062</v>
      </c>
      <c r="I1670" t="b">
        <v>1</v>
      </c>
      <c r="J1670">
        <v>205</v>
      </c>
      <c r="K1670">
        <v>1712</v>
      </c>
      <c r="L1670">
        <v>563</v>
      </c>
      <c r="M1670">
        <f>COUNTIF(H1670:$H$2581,H1670)</f>
        <v>2</v>
      </c>
    </row>
    <row r="1671" spans="1:13" x14ac:dyDescent="0.2">
      <c r="A1671">
        <v>1712</v>
      </c>
      <c r="B1671" t="s">
        <v>725</v>
      </c>
      <c r="C1671" t="s">
        <v>2696</v>
      </c>
      <c r="D1671" t="s">
        <v>54</v>
      </c>
      <c r="E1671" t="s">
        <v>2697</v>
      </c>
      <c r="F1671" t="s">
        <v>728</v>
      </c>
      <c r="G1671" t="s">
        <v>2698</v>
      </c>
      <c r="H1671" t="s">
        <v>5062</v>
      </c>
      <c r="I1671" t="b">
        <v>1</v>
      </c>
      <c r="J1671">
        <v>205</v>
      </c>
      <c r="K1671">
        <v>1713</v>
      </c>
      <c r="L1671">
        <v>564</v>
      </c>
      <c r="M1671">
        <f>COUNTIF(H1671:$H$2581,H1671)</f>
        <v>1</v>
      </c>
    </row>
    <row r="1672" spans="1:13" x14ac:dyDescent="0.2">
      <c r="A1672">
        <v>1929</v>
      </c>
      <c r="B1672" t="s">
        <v>439</v>
      </c>
      <c r="C1672" t="s">
        <v>2703</v>
      </c>
      <c r="D1672" t="s">
        <v>13</v>
      </c>
      <c r="E1672" t="s">
        <v>2704</v>
      </c>
      <c r="F1672" t="s">
        <v>442</v>
      </c>
      <c r="G1672" t="s">
        <v>2705</v>
      </c>
      <c r="H1672" t="s">
        <v>5102</v>
      </c>
      <c r="I1672" t="b">
        <v>0</v>
      </c>
      <c r="J1672">
        <v>224</v>
      </c>
      <c r="K1672">
        <v>1930</v>
      </c>
      <c r="L1672">
        <v>600</v>
      </c>
      <c r="M1672">
        <f>COUNTIF(H1672:$H$2581,H1672)</f>
        <v>2</v>
      </c>
    </row>
    <row r="1673" spans="1:13" x14ac:dyDescent="0.2">
      <c r="A1673">
        <v>332</v>
      </c>
      <c r="B1673" t="s">
        <v>2721</v>
      </c>
      <c r="C1673" t="s">
        <v>2722</v>
      </c>
      <c r="D1673" t="s">
        <v>13</v>
      </c>
      <c r="E1673" t="s">
        <v>2723</v>
      </c>
      <c r="F1673" t="s">
        <v>2724</v>
      </c>
      <c r="G1673" t="s">
        <v>2725</v>
      </c>
      <c r="H1673" t="s">
        <v>5102</v>
      </c>
      <c r="I1673" t="b">
        <v>1</v>
      </c>
      <c r="J1673">
        <v>48</v>
      </c>
      <c r="K1673">
        <v>333</v>
      </c>
      <c r="L1673">
        <v>47</v>
      </c>
      <c r="M1673">
        <f>COUNTIF(H1673:$H$2581,H1673)</f>
        <v>1</v>
      </c>
    </row>
    <row r="1674" spans="1:13" x14ac:dyDescent="0.2">
      <c r="A1674">
        <v>1123</v>
      </c>
      <c r="B1674" t="s">
        <v>625</v>
      </c>
      <c r="C1674" t="s">
        <v>2741</v>
      </c>
      <c r="D1674" t="s">
        <v>13</v>
      </c>
      <c r="E1674" t="s">
        <v>2742</v>
      </c>
      <c r="F1674" t="s">
        <v>628</v>
      </c>
      <c r="G1674" t="s">
        <v>2743</v>
      </c>
      <c r="H1674" t="s">
        <v>5120</v>
      </c>
      <c r="I1674" t="b">
        <v>1</v>
      </c>
      <c r="J1674">
        <v>136</v>
      </c>
      <c r="K1674">
        <v>1124</v>
      </c>
      <c r="L1674">
        <v>387</v>
      </c>
      <c r="M1674">
        <f>COUNTIF(H1674:$H$2581,H1674)</f>
        <v>4</v>
      </c>
    </row>
    <row r="1675" spans="1:13" x14ac:dyDescent="0.2">
      <c r="A1675">
        <v>155</v>
      </c>
      <c r="B1675" t="s">
        <v>68</v>
      </c>
      <c r="C1675" t="s">
        <v>2768</v>
      </c>
      <c r="D1675" t="s">
        <v>13</v>
      </c>
      <c r="E1675" t="s">
        <v>2769</v>
      </c>
      <c r="F1675" t="s">
        <v>71</v>
      </c>
      <c r="G1675" t="s">
        <v>2770</v>
      </c>
      <c r="H1675" t="s">
        <v>5120</v>
      </c>
      <c r="I1675" t="b">
        <v>1</v>
      </c>
      <c r="J1675">
        <v>28</v>
      </c>
      <c r="K1675">
        <v>156</v>
      </c>
      <c r="L1675">
        <v>81</v>
      </c>
      <c r="M1675">
        <f>COUNTIF(H1675:$H$2581,H1675)</f>
        <v>3</v>
      </c>
    </row>
    <row r="1676" spans="1:13" x14ac:dyDescent="0.2">
      <c r="A1676">
        <v>559</v>
      </c>
      <c r="B1676" t="s">
        <v>2797</v>
      </c>
      <c r="C1676" t="s">
        <v>2798</v>
      </c>
      <c r="D1676" t="s">
        <v>33</v>
      </c>
      <c r="E1676" t="s">
        <v>2799</v>
      </c>
      <c r="F1676" t="s">
        <v>2800</v>
      </c>
      <c r="G1676" t="s">
        <v>2801</v>
      </c>
      <c r="H1676" t="s">
        <v>5120</v>
      </c>
      <c r="I1676" t="s">
        <v>24</v>
      </c>
      <c r="J1676">
        <v>84</v>
      </c>
      <c r="K1676">
        <v>560</v>
      </c>
      <c r="L1676">
        <v>38</v>
      </c>
      <c r="M1676">
        <f>COUNTIF(H1676:$H$2581,H1676)</f>
        <v>2</v>
      </c>
    </row>
    <row r="1677" spans="1:13" x14ac:dyDescent="0.2">
      <c r="A1677">
        <v>2223</v>
      </c>
      <c r="B1677" t="s">
        <v>165</v>
      </c>
      <c r="C1677" t="s">
        <v>2851</v>
      </c>
      <c r="D1677" t="s">
        <v>13</v>
      </c>
      <c r="E1677" t="s">
        <v>2852</v>
      </c>
      <c r="F1677" t="s">
        <v>168</v>
      </c>
      <c r="G1677" t="s">
        <v>2853</v>
      </c>
      <c r="H1677" t="s">
        <v>5120</v>
      </c>
      <c r="I1677" t="s">
        <v>24</v>
      </c>
      <c r="J1677">
        <v>261</v>
      </c>
      <c r="K1677">
        <v>2224</v>
      </c>
      <c r="L1677">
        <v>17</v>
      </c>
      <c r="M1677">
        <f>COUNTIF(H1677:$H$2581,H1677)</f>
        <v>1</v>
      </c>
    </row>
    <row r="1678" spans="1:13" x14ac:dyDescent="0.2">
      <c r="A1678">
        <v>1737</v>
      </c>
      <c r="B1678" t="s">
        <v>1497</v>
      </c>
      <c r="C1678" t="s">
        <v>2867</v>
      </c>
      <c r="D1678" t="s">
        <v>33</v>
      </c>
      <c r="E1678" t="s">
        <v>2868</v>
      </c>
      <c r="F1678" t="s">
        <v>1500</v>
      </c>
      <c r="G1678" t="s">
        <v>2869</v>
      </c>
      <c r="H1678" t="s">
        <v>5144</v>
      </c>
      <c r="I1678" t="b">
        <v>0</v>
      </c>
      <c r="J1678">
        <v>206</v>
      </c>
      <c r="K1678">
        <v>1738</v>
      </c>
      <c r="L1678">
        <v>18</v>
      </c>
      <c r="M1678">
        <f>COUNTIF(H1678:$H$2581,H1678)</f>
        <v>1</v>
      </c>
    </row>
    <row r="1679" spans="1:13" x14ac:dyDescent="0.2">
      <c r="A1679">
        <v>932</v>
      </c>
      <c r="B1679" t="s">
        <v>498</v>
      </c>
      <c r="C1679" t="s">
        <v>2875</v>
      </c>
      <c r="D1679" t="s">
        <v>33</v>
      </c>
      <c r="E1679" t="s">
        <v>2876</v>
      </c>
      <c r="F1679" t="s">
        <v>501</v>
      </c>
      <c r="G1679" t="s">
        <v>2877</v>
      </c>
      <c r="H1679" t="s">
        <v>5151</v>
      </c>
      <c r="I1679" t="b">
        <v>0</v>
      </c>
      <c r="J1679">
        <v>122</v>
      </c>
      <c r="K1679">
        <v>933</v>
      </c>
      <c r="L1679">
        <v>350</v>
      </c>
      <c r="M1679">
        <f>COUNTIF(H1679:$H$2581,H1679)</f>
        <v>5</v>
      </c>
    </row>
    <row r="1680" spans="1:13" x14ac:dyDescent="0.2">
      <c r="A1680">
        <v>961</v>
      </c>
      <c r="B1680" t="s">
        <v>203</v>
      </c>
      <c r="C1680" t="s">
        <v>2896</v>
      </c>
      <c r="D1680" t="s">
        <v>54</v>
      </c>
      <c r="E1680" t="s">
        <v>2897</v>
      </c>
      <c r="F1680" t="s">
        <v>206</v>
      </c>
      <c r="G1680" t="s">
        <v>2898</v>
      </c>
      <c r="H1680" t="s">
        <v>5151</v>
      </c>
      <c r="I1680" t="b">
        <v>1</v>
      </c>
      <c r="J1680">
        <v>123</v>
      </c>
      <c r="K1680">
        <v>962</v>
      </c>
      <c r="L1680">
        <v>246</v>
      </c>
      <c r="M1680">
        <f>COUNTIF(H1680:$H$2581,H1680)</f>
        <v>4</v>
      </c>
    </row>
    <row r="1681" spans="1:13" x14ac:dyDescent="0.2">
      <c r="A1681">
        <v>1763</v>
      </c>
      <c r="B1681" t="s">
        <v>216</v>
      </c>
      <c r="C1681" t="s">
        <v>2918</v>
      </c>
      <c r="D1681" t="s">
        <v>54</v>
      </c>
      <c r="E1681" t="s">
        <v>2919</v>
      </c>
      <c r="F1681" t="s">
        <v>219</v>
      </c>
      <c r="G1681" t="s">
        <v>2920</v>
      </c>
      <c r="H1681" t="s">
        <v>5151</v>
      </c>
      <c r="I1681" t="b">
        <v>1</v>
      </c>
      <c r="J1681">
        <v>209</v>
      </c>
      <c r="K1681">
        <v>1764</v>
      </c>
      <c r="L1681">
        <v>357</v>
      </c>
      <c r="M1681">
        <f>COUNTIF(H1681:$H$2581,H1681)</f>
        <v>3</v>
      </c>
    </row>
    <row r="1682" spans="1:13" x14ac:dyDescent="0.2">
      <c r="A1682">
        <v>2535</v>
      </c>
      <c r="B1682" t="s">
        <v>754</v>
      </c>
      <c r="C1682" t="s">
        <v>2971</v>
      </c>
      <c r="D1682" t="s">
        <v>54</v>
      </c>
      <c r="E1682" t="s">
        <v>2972</v>
      </c>
      <c r="F1682" t="s">
        <v>757</v>
      </c>
      <c r="G1682" t="s">
        <v>2973</v>
      </c>
      <c r="H1682" t="s">
        <v>5151</v>
      </c>
      <c r="I1682" t="b">
        <v>0</v>
      </c>
      <c r="J1682">
        <v>294</v>
      </c>
      <c r="K1682">
        <v>2536</v>
      </c>
      <c r="L1682">
        <v>100</v>
      </c>
      <c r="M1682">
        <f>COUNTIF(H1682:$H$2581,H1682)</f>
        <v>2</v>
      </c>
    </row>
    <row r="1683" spans="1:13" x14ac:dyDescent="0.2">
      <c r="A1683">
        <v>1543</v>
      </c>
      <c r="B1683" t="s">
        <v>282</v>
      </c>
      <c r="C1683" t="s">
        <v>2985</v>
      </c>
      <c r="D1683" t="s">
        <v>13</v>
      </c>
      <c r="E1683" t="s">
        <v>2986</v>
      </c>
      <c r="F1683" t="s">
        <v>285</v>
      </c>
      <c r="G1683" t="s">
        <v>2987</v>
      </c>
      <c r="H1683" t="s">
        <v>5151</v>
      </c>
      <c r="I1683" t="b">
        <v>0</v>
      </c>
      <c r="J1683">
        <v>188</v>
      </c>
      <c r="K1683">
        <v>1544</v>
      </c>
      <c r="L1683">
        <v>513</v>
      </c>
      <c r="M1683">
        <f>COUNTIF(H1683:$H$2581,H1683)</f>
        <v>1</v>
      </c>
    </row>
    <row r="1684" spans="1:13" x14ac:dyDescent="0.2">
      <c r="A1684">
        <v>89</v>
      </c>
      <c r="B1684" t="s">
        <v>311</v>
      </c>
      <c r="C1684" t="s">
        <v>2992</v>
      </c>
      <c r="D1684" t="s">
        <v>54</v>
      </c>
      <c r="E1684" t="s">
        <v>2993</v>
      </c>
      <c r="F1684" s="1" t="s">
        <v>314</v>
      </c>
      <c r="G1684" t="s">
        <v>2994</v>
      </c>
      <c r="H1684" t="s">
        <v>5185</v>
      </c>
      <c r="I1684" t="s">
        <v>24</v>
      </c>
      <c r="J1684">
        <v>14</v>
      </c>
      <c r="K1684">
        <v>90</v>
      </c>
      <c r="L1684">
        <v>61</v>
      </c>
      <c r="M1684">
        <f>COUNTIF(H1684:$H$2581,H1684)</f>
        <v>3</v>
      </c>
    </row>
    <row r="1685" spans="1:13" x14ac:dyDescent="0.2">
      <c r="A1685">
        <v>2224</v>
      </c>
      <c r="B1685" t="s">
        <v>165</v>
      </c>
      <c r="C1685" t="s">
        <v>3006</v>
      </c>
      <c r="D1685" t="s">
        <v>33</v>
      </c>
      <c r="E1685" t="s">
        <v>3007</v>
      </c>
      <c r="F1685" t="s">
        <v>168</v>
      </c>
      <c r="G1685" t="s">
        <v>3008</v>
      </c>
      <c r="H1685" t="s">
        <v>5185</v>
      </c>
      <c r="I1685" t="s">
        <v>24</v>
      </c>
      <c r="J1685">
        <v>261</v>
      </c>
      <c r="K1685">
        <v>2225</v>
      </c>
      <c r="L1685">
        <v>151</v>
      </c>
      <c r="M1685">
        <f>COUNTIF(H1685:$H$2581,H1685)</f>
        <v>2</v>
      </c>
    </row>
    <row r="1686" spans="1:13" x14ac:dyDescent="0.2">
      <c r="A1686">
        <v>722</v>
      </c>
      <c r="B1686" t="s">
        <v>1349</v>
      </c>
      <c r="C1686" t="s">
        <v>3016</v>
      </c>
      <c r="D1686" t="s">
        <v>54</v>
      </c>
      <c r="E1686" t="s">
        <v>3017</v>
      </c>
      <c r="F1686" t="s">
        <v>1352</v>
      </c>
      <c r="G1686" t="s">
        <v>3018</v>
      </c>
      <c r="H1686" t="s">
        <v>5185</v>
      </c>
      <c r="I1686" t="b">
        <v>1</v>
      </c>
      <c r="J1686">
        <v>104</v>
      </c>
      <c r="K1686">
        <v>723</v>
      </c>
      <c r="L1686">
        <v>219</v>
      </c>
      <c r="M1686">
        <f>COUNTIF(H1686:$H$2581,H1686)</f>
        <v>1</v>
      </c>
    </row>
    <row r="1687" spans="1:13" x14ac:dyDescent="0.2">
      <c r="A1687">
        <v>1422</v>
      </c>
      <c r="B1687" t="s">
        <v>3035</v>
      </c>
      <c r="C1687" t="s">
        <v>3036</v>
      </c>
      <c r="D1687" t="s">
        <v>54</v>
      </c>
      <c r="E1687" t="s">
        <v>3037</v>
      </c>
      <c r="F1687" t="s">
        <v>3038</v>
      </c>
      <c r="G1687" t="s">
        <v>3039</v>
      </c>
      <c r="H1687" t="s">
        <v>5204</v>
      </c>
      <c r="I1687" t="b">
        <v>0</v>
      </c>
      <c r="J1687">
        <v>170</v>
      </c>
      <c r="K1687">
        <v>1423</v>
      </c>
      <c r="L1687">
        <v>477</v>
      </c>
      <c r="M1687">
        <f>COUNTIF(H1687:$H$2581,H1687)</f>
        <v>6</v>
      </c>
    </row>
    <row r="1688" spans="1:13" x14ac:dyDescent="0.2">
      <c r="A1688">
        <v>889</v>
      </c>
      <c r="B1688" t="s">
        <v>198</v>
      </c>
      <c r="C1688" t="s">
        <v>3050</v>
      </c>
      <c r="D1688" t="s">
        <v>54</v>
      </c>
      <c r="E1688" s="1" t="s">
        <v>3051</v>
      </c>
      <c r="F1688" t="s">
        <v>201</v>
      </c>
      <c r="G1688" t="s">
        <v>3052</v>
      </c>
      <c r="H1688" t="s">
        <v>5204</v>
      </c>
      <c r="I1688" t="b">
        <v>0</v>
      </c>
      <c r="J1688">
        <v>120</v>
      </c>
      <c r="K1688">
        <v>890</v>
      </c>
      <c r="L1688">
        <v>338</v>
      </c>
      <c r="M1688">
        <f>COUNTIF(H1688:$H$2581,H1688)</f>
        <v>5</v>
      </c>
    </row>
    <row r="1689" spans="1:13" x14ac:dyDescent="0.2">
      <c r="A1689">
        <v>1090</v>
      </c>
      <c r="B1689" t="s">
        <v>1075</v>
      </c>
      <c r="C1689" t="s">
        <v>3064</v>
      </c>
      <c r="D1689" t="s">
        <v>13</v>
      </c>
      <c r="E1689" t="s">
        <v>3065</v>
      </c>
      <c r="F1689" t="s">
        <v>1078</v>
      </c>
      <c r="G1689" t="s">
        <v>3066</v>
      </c>
      <c r="H1689" t="s">
        <v>5204</v>
      </c>
      <c r="I1689" t="s">
        <v>24</v>
      </c>
      <c r="J1689">
        <v>133</v>
      </c>
      <c r="K1689">
        <v>1091</v>
      </c>
      <c r="L1689">
        <v>379</v>
      </c>
      <c r="M1689">
        <f>COUNTIF(H1689:$H$2581,H1689)</f>
        <v>4</v>
      </c>
    </row>
    <row r="1690" spans="1:13" x14ac:dyDescent="0.2">
      <c r="A1690">
        <v>2038</v>
      </c>
      <c r="B1690" t="s">
        <v>1147</v>
      </c>
      <c r="C1690" t="s">
        <v>3092</v>
      </c>
      <c r="D1690" t="s">
        <v>13</v>
      </c>
      <c r="E1690" t="s">
        <v>3093</v>
      </c>
      <c r="F1690" t="s">
        <v>1150</v>
      </c>
      <c r="G1690" t="s">
        <v>3094</v>
      </c>
      <c r="H1690" t="s">
        <v>5204</v>
      </c>
      <c r="I1690" t="b">
        <v>0</v>
      </c>
      <c r="J1690">
        <v>237</v>
      </c>
      <c r="K1690">
        <v>2039</v>
      </c>
      <c r="L1690">
        <v>15</v>
      </c>
      <c r="M1690">
        <f>COUNTIF(H1690:$H$2581,H1690)</f>
        <v>3</v>
      </c>
    </row>
    <row r="1691" spans="1:13" x14ac:dyDescent="0.2">
      <c r="A1691">
        <v>1124</v>
      </c>
      <c r="B1691" t="s">
        <v>625</v>
      </c>
      <c r="C1691" t="s">
        <v>3115</v>
      </c>
      <c r="D1691" t="s">
        <v>13</v>
      </c>
      <c r="E1691" t="s">
        <v>3116</v>
      </c>
      <c r="F1691" t="s">
        <v>628</v>
      </c>
      <c r="G1691" t="s">
        <v>3117</v>
      </c>
      <c r="H1691" t="s">
        <v>5204</v>
      </c>
      <c r="I1691" t="b">
        <v>1</v>
      </c>
      <c r="J1691">
        <v>136</v>
      </c>
      <c r="K1691">
        <v>1125</v>
      </c>
      <c r="L1691">
        <v>388</v>
      </c>
      <c r="M1691">
        <f>COUNTIF(H1691:$H$2581,H1691)</f>
        <v>2</v>
      </c>
    </row>
    <row r="1692" spans="1:13" x14ac:dyDescent="0.2">
      <c r="A1692">
        <v>915</v>
      </c>
      <c r="B1692" t="s">
        <v>271</v>
      </c>
      <c r="C1692" t="s">
        <v>3150</v>
      </c>
      <c r="D1692" t="s">
        <v>13</v>
      </c>
      <c r="E1692" t="s">
        <v>3151</v>
      </c>
      <c r="F1692" t="s">
        <v>274</v>
      </c>
      <c r="G1692" t="s">
        <v>3152</v>
      </c>
      <c r="H1692" t="s">
        <v>5204</v>
      </c>
      <c r="I1692" t="s">
        <v>24</v>
      </c>
      <c r="J1692">
        <v>121</v>
      </c>
      <c r="K1692">
        <v>916</v>
      </c>
      <c r="L1692">
        <v>344</v>
      </c>
      <c r="M1692">
        <f>COUNTIF(H1692:$H$2581,H1692)</f>
        <v>1</v>
      </c>
    </row>
    <row r="1693" spans="1:13" x14ac:dyDescent="0.2">
      <c r="A1693">
        <v>843</v>
      </c>
      <c r="B1693" t="s">
        <v>3157</v>
      </c>
      <c r="C1693" t="s">
        <v>3158</v>
      </c>
      <c r="D1693" t="s">
        <v>54</v>
      </c>
      <c r="E1693" t="s">
        <v>3159</v>
      </c>
      <c r="F1693" t="s">
        <v>3160</v>
      </c>
      <c r="G1693" t="s">
        <v>3161</v>
      </c>
      <c r="H1693" t="s">
        <v>5226</v>
      </c>
      <c r="I1693" t="s">
        <v>24</v>
      </c>
      <c r="J1693">
        <v>116</v>
      </c>
      <c r="K1693">
        <v>844</v>
      </c>
      <c r="L1693">
        <v>326</v>
      </c>
      <c r="M1693">
        <f>COUNTIF(H1693:$H$2581,H1693)</f>
        <v>4</v>
      </c>
    </row>
    <row r="1694" spans="1:13" x14ac:dyDescent="0.2">
      <c r="A1694">
        <v>1362</v>
      </c>
      <c r="B1694" t="s">
        <v>603</v>
      </c>
      <c r="C1694" t="s">
        <v>3176</v>
      </c>
      <c r="D1694" t="s">
        <v>33</v>
      </c>
      <c r="E1694" t="s">
        <v>3177</v>
      </c>
      <c r="F1694" t="s">
        <v>606</v>
      </c>
      <c r="G1694" t="s">
        <v>3178</v>
      </c>
      <c r="H1694" t="s">
        <v>5226</v>
      </c>
      <c r="I1694" t="s">
        <v>24</v>
      </c>
      <c r="J1694">
        <v>166</v>
      </c>
      <c r="K1694">
        <v>1363</v>
      </c>
      <c r="L1694">
        <v>19</v>
      </c>
      <c r="M1694">
        <f>COUNTIF(H1694:$H$2581,H1694)</f>
        <v>3</v>
      </c>
    </row>
    <row r="1695" spans="1:13" x14ac:dyDescent="0.2">
      <c r="A1695">
        <v>890</v>
      </c>
      <c r="B1695" t="s">
        <v>198</v>
      </c>
      <c r="C1695" t="s">
        <v>3211</v>
      </c>
      <c r="D1695" t="s">
        <v>33</v>
      </c>
      <c r="E1695" t="s">
        <v>3212</v>
      </c>
      <c r="F1695" t="s">
        <v>201</v>
      </c>
      <c r="G1695" t="s">
        <v>3213</v>
      </c>
      <c r="H1695" t="s">
        <v>5226</v>
      </c>
      <c r="I1695" t="b">
        <v>0</v>
      </c>
      <c r="J1695">
        <v>120</v>
      </c>
      <c r="K1695">
        <v>891</v>
      </c>
      <c r="L1695">
        <v>197</v>
      </c>
      <c r="M1695">
        <f>COUNTIF(H1695:$H$2581,H1695)</f>
        <v>2</v>
      </c>
    </row>
    <row r="1696" spans="1:13" x14ac:dyDescent="0.2">
      <c r="A1696">
        <v>2426</v>
      </c>
      <c r="B1696" t="s">
        <v>1327</v>
      </c>
      <c r="C1696" t="s">
        <v>3314</v>
      </c>
      <c r="D1696" t="s">
        <v>54</v>
      </c>
      <c r="E1696" t="s">
        <v>3315</v>
      </c>
      <c r="F1696" t="s">
        <v>1330</v>
      </c>
      <c r="G1696" t="s">
        <v>3316</v>
      </c>
      <c r="H1696" t="s">
        <v>5226</v>
      </c>
      <c r="I1696" t="b">
        <v>0</v>
      </c>
      <c r="J1696">
        <v>283</v>
      </c>
      <c r="K1696">
        <v>2427</v>
      </c>
      <c r="L1696">
        <v>21</v>
      </c>
      <c r="M1696">
        <f>COUNTIF(H1696:$H$2581,H1696)</f>
        <v>1</v>
      </c>
    </row>
    <row r="1697" spans="1:13" x14ac:dyDescent="0.2">
      <c r="A1697">
        <v>1210</v>
      </c>
      <c r="B1697" t="s">
        <v>768</v>
      </c>
      <c r="C1697" t="s">
        <v>3324</v>
      </c>
      <c r="D1697" t="s">
        <v>54</v>
      </c>
      <c r="E1697" t="s">
        <v>3325</v>
      </c>
      <c r="F1697" t="s">
        <v>771</v>
      </c>
      <c r="G1697" t="s">
        <v>3326</v>
      </c>
      <c r="H1697" t="s">
        <v>5242</v>
      </c>
      <c r="I1697" t="s">
        <v>24</v>
      </c>
      <c r="J1697">
        <v>148</v>
      </c>
      <c r="K1697">
        <v>1211</v>
      </c>
      <c r="L1697">
        <v>411</v>
      </c>
      <c r="M1697">
        <f>COUNTIF(H1697:$H$2581,H1697)</f>
        <v>19</v>
      </c>
    </row>
    <row r="1698" spans="1:13" x14ac:dyDescent="0.2">
      <c r="A1698">
        <v>169</v>
      </c>
      <c r="B1698" t="s">
        <v>73</v>
      </c>
      <c r="C1698" t="s">
        <v>3339</v>
      </c>
      <c r="D1698" t="s">
        <v>54</v>
      </c>
      <c r="E1698" t="s">
        <v>3340</v>
      </c>
      <c r="F1698" t="s">
        <v>76</v>
      </c>
      <c r="G1698" t="s">
        <v>3341</v>
      </c>
      <c r="H1698" t="s">
        <v>5242</v>
      </c>
      <c r="I1698" t="s">
        <v>24</v>
      </c>
      <c r="J1698">
        <v>32</v>
      </c>
      <c r="K1698">
        <v>170</v>
      </c>
      <c r="L1698">
        <v>69</v>
      </c>
      <c r="M1698">
        <f>COUNTIF(H1698:$H$2581,H1698)</f>
        <v>18</v>
      </c>
    </row>
    <row r="1699" spans="1:13" x14ac:dyDescent="0.2">
      <c r="A1699">
        <v>2267</v>
      </c>
      <c r="B1699" t="s">
        <v>3366</v>
      </c>
      <c r="C1699" t="s">
        <v>3367</v>
      </c>
      <c r="D1699" t="s">
        <v>13</v>
      </c>
      <c r="E1699" t="s">
        <v>3368</v>
      </c>
      <c r="F1699" t="s">
        <v>3369</v>
      </c>
      <c r="G1699" t="s">
        <v>3370</v>
      </c>
      <c r="H1699" t="s">
        <v>5242</v>
      </c>
      <c r="I1699" t="b">
        <v>1</v>
      </c>
      <c r="J1699">
        <v>265</v>
      </c>
      <c r="K1699">
        <v>2268</v>
      </c>
      <c r="L1699">
        <v>62</v>
      </c>
      <c r="M1699">
        <f>COUNTIF(H1699:$H$2581,H1699)</f>
        <v>17</v>
      </c>
    </row>
    <row r="1700" spans="1:13" x14ac:dyDescent="0.2">
      <c r="A1700">
        <v>2428</v>
      </c>
      <c r="B1700" t="s">
        <v>1327</v>
      </c>
      <c r="C1700" t="s">
        <v>3394</v>
      </c>
      <c r="D1700" t="s">
        <v>54</v>
      </c>
      <c r="E1700" t="s">
        <v>3395</v>
      </c>
      <c r="F1700" t="s">
        <v>1330</v>
      </c>
      <c r="G1700" t="s">
        <v>3396</v>
      </c>
      <c r="H1700" t="s">
        <v>5242</v>
      </c>
      <c r="I1700" t="b">
        <v>0</v>
      </c>
      <c r="J1700">
        <v>283</v>
      </c>
      <c r="K1700">
        <v>2429</v>
      </c>
      <c r="L1700">
        <v>280</v>
      </c>
      <c r="M1700">
        <f>COUNTIF(H1700:$H$2581,H1700)</f>
        <v>16</v>
      </c>
    </row>
    <row r="1701" spans="1:13" x14ac:dyDescent="0.2">
      <c r="A1701">
        <v>2328</v>
      </c>
      <c r="B1701" t="s">
        <v>900</v>
      </c>
      <c r="C1701" t="s">
        <v>3460</v>
      </c>
      <c r="D1701" t="s">
        <v>54</v>
      </c>
      <c r="E1701" t="s">
        <v>3461</v>
      </c>
      <c r="F1701" t="s">
        <v>903</v>
      </c>
      <c r="G1701" t="s">
        <v>3462</v>
      </c>
      <c r="H1701" t="s">
        <v>5242</v>
      </c>
      <c r="I1701" t="b">
        <v>0</v>
      </c>
      <c r="J1701">
        <v>274</v>
      </c>
      <c r="K1701">
        <v>2329</v>
      </c>
      <c r="L1701">
        <v>240</v>
      </c>
      <c r="M1701">
        <f>COUNTIF(H1701:$H$2581,H1701)</f>
        <v>15</v>
      </c>
    </row>
    <row r="1702" spans="1:13" x14ac:dyDescent="0.2">
      <c r="A1702">
        <v>1995</v>
      </c>
      <c r="B1702" t="s">
        <v>1957</v>
      </c>
      <c r="C1702" t="s">
        <v>3466</v>
      </c>
      <c r="D1702" t="s">
        <v>13</v>
      </c>
      <c r="E1702" t="s">
        <v>3467</v>
      </c>
      <c r="F1702" t="s">
        <v>1960</v>
      </c>
      <c r="G1702" t="s">
        <v>3468</v>
      </c>
      <c r="H1702" t="s">
        <v>5242</v>
      </c>
      <c r="I1702" t="s">
        <v>24</v>
      </c>
      <c r="J1702">
        <v>231</v>
      </c>
      <c r="K1702">
        <v>1996</v>
      </c>
      <c r="L1702">
        <v>610</v>
      </c>
      <c r="M1702">
        <f>COUNTIF(H1702:$H$2581,H1702)</f>
        <v>14</v>
      </c>
    </row>
    <row r="1703" spans="1:13" x14ac:dyDescent="0.2">
      <c r="A1703">
        <v>2383</v>
      </c>
      <c r="B1703" t="s">
        <v>812</v>
      </c>
      <c r="C1703" t="s">
        <v>3637</v>
      </c>
      <c r="D1703" t="s">
        <v>13</v>
      </c>
      <c r="E1703" t="s">
        <v>3638</v>
      </c>
      <c r="F1703" t="s">
        <v>815</v>
      </c>
      <c r="G1703" t="s">
        <v>3639</v>
      </c>
      <c r="H1703" t="s">
        <v>5242</v>
      </c>
      <c r="I1703" t="b">
        <v>1</v>
      </c>
      <c r="J1703">
        <v>277</v>
      </c>
      <c r="K1703">
        <v>2384</v>
      </c>
      <c r="L1703">
        <v>39</v>
      </c>
      <c r="M1703">
        <f>COUNTIF(H1703:$H$2581,H1703)</f>
        <v>13</v>
      </c>
    </row>
    <row r="1704" spans="1:13" x14ac:dyDescent="0.2">
      <c r="A1704">
        <v>93</v>
      </c>
      <c r="B1704" t="s">
        <v>311</v>
      </c>
      <c r="C1704" t="s">
        <v>3647</v>
      </c>
      <c r="D1704" t="s">
        <v>54</v>
      </c>
      <c r="E1704" t="s">
        <v>3648</v>
      </c>
      <c r="F1704" s="1" t="s">
        <v>314</v>
      </c>
      <c r="G1704" t="s">
        <v>3649</v>
      </c>
      <c r="H1704" t="s">
        <v>5242</v>
      </c>
      <c r="I1704" t="s">
        <v>24</v>
      </c>
      <c r="J1704">
        <v>14</v>
      </c>
      <c r="K1704">
        <v>94</v>
      </c>
      <c r="L1704">
        <v>63</v>
      </c>
      <c r="M1704">
        <f>COUNTIF(H1704:$H$2581,H1704)</f>
        <v>12</v>
      </c>
    </row>
    <row r="1705" spans="1:13" x14ac:dyDescent="0.2">
      <c r="A1705">
        <v>2270</v>
      </c>
      <c r="B1705" t="s">
        <v>3366</v>
      </c>
      <c r="C1705" t="s">
        <v>3391</v>
      </c>
      <c r="D1705" t="s">
        <v>54</v>
      </c>
      <c r="E1705" t="s">
        <v>3654</v>
      </c>
      <c r="F1705" t="s">
        <v>3369</v>
      </c>
      <c r="G1705" t="s">
        <v>3655</v>
      </c>
      <c r="H1705" t="s">
        <v>5242</v>
      </c>
      <c r="I1705" t="b">
        <v>1</v>
      </c>
      <c r="J1705">
        <v>265</v>
      </c>
      <c r="K1705">
        <v>2271</v>
      </c>
      <c r="L1705">
        <v>666</v>
      </c>
      <c r="M1705">
        <f>COUNTIF(H1705:$H$2581,H1705)</f>
        <v>11</v>
      </c>
    </row>
    <row r="1706" spans="1:13" x14ac:dyDescent="0.2">
      <c r="A1706">
        <v>469</v>
      </c>
      <c r="B1706" t="s">
        <v>928</v>
      </c>
      <c r="C1706" t="s">
        <v>3664</v>
      </c>
      <c r="D1706" t="s">
        <v>54</v>
      </c>
      <c r="E1706" t="s">
        <v>3665</v>
      </c>
      <c r="F1706" t="s">
        <v>931</v>
      </c>
      <c r="G1706" t="s">
        <v>3666</v>
      </c>
      <c r="H1706" t="s">
        <v>5242</v>
      </c>
      <c r="I1706" t="b">
        <v>0</v>
      </c>
      <c r="J1706">
        <v>67</v>
      </c>
      <c r="K1706">
        <v>470</v>
      </c>
      <c r="L1706">
        <v>116</v>
      </c>
      <c r="M1706">
        <f>COUNTIF(H1706:$H$2581,H1706)</f>
        <v>10</v>
      </c>
    </row>
    <row r="1707" spans="1:13" x14ac:dyDescent="0.2">
      <c r="A1707">
        <v>2520</v>
      </c>
      <c r="B1707" t="s">
        <v>2029</v>
      </c>
      <c r="C1707" t="s">
        <v>3779</v>
      </c>
      <c r="D1707" t="s">
        <v>13</v>
      </c>
      <c r="E1707" t="s">
        <v>3780</v>
      </c>
      <c r="F1707" t="s">
        <v>2032</v>
      </c>
      <c r="G1707" t="s">
        <v>3781</v>
      </c>
      <c r="H1707" t="s">
        <v>5242</v>
      </c>
      <c r="I1707" t="s">
        <v>24</v>
      </c>
      <c r="J1707">
        <v>292</v>
      </c>
      <c r="K1707">
        <v>2521</v>
      </c>
      <c r="L1707">
        <v>22</v>
      </c>
      <c r="M1707">
        <f>COUNTIF(H1707:$H$2581,H1707)</f>
        <v>9</v>
      </c>
    </row>
    <row r="1708" spans="1:13" x14ac:dyDescent="0.2">
      <c r="A1708">
        <v>2401</v>
      </c>
      <c r="B1708" t="s">
        <v>1987</v>
      </c>
      <c r="C1708" t="s">
        <v>3857</v>
      </c>
      <c r="D1708" t="s">
        <v>13</v>
      </c>
      <c r="E1708" t="s">
        <v>3858</v>
      </c>
      <c r="F1708" t="s">
        <v>1990</v>
      </c>
      <c r="G1708" t="s">
        <v>3859</v>
      </c>
      <c r="H1708" t="s">
        <v>5242</v>
      </c>
      <c r="I1708" t="b">
        <v>1</v>
      </c>
      <c r="J1708">
        <v>281</v>
      </c>
      <c r="K1708">
        <v>2402</v>
      </c>
      <c r="L1708">
        <v>270</v>
      </c>
      <c r="M1708">
        <f>COUNTIF(H1708:$H$2581,H1708)</f>
        <v>8</v>
      </c>
    </row>
    <row r="1709" spans="1:13" x14ac:dyDescent="0.2">
      <c r="A1709">
        <v>2301</v>
      </c>
      <c r="B1709" t="s">
        <v>1808</v>
      </c>
      <c r="C1709" t="s">
        <v>3895</v>
      </c>
      <c r="D1709" t="s">
        <v>13</v>
      </c>
      <c r="E1709" t="s">
        <v>3896</v>
      </c>
      <c r="F1709" t="s">
        <v>1811</v>
      </c>
      <c r="G1709" t="s">
        <v>3897</v>
      </c>
      <c r="H1709" t="s">
        <v>5242</v>
      </c>
      <c r="I1709" t="b">
        <v>1</v>
      </c>
      <c r="J1709">
        <v>270</v>
      </c>
      <c r="K1709">
        <v>2302</v>
      </c>
      <c r="L1709">
        <v>101</v>
      </c>
      <c r="M1709">
        <f>COUNTIF(H1709:$H$2581,H1709)</f>
        <v>7</v>
      </c>
    </row>
    <row r="1710" spans="1:13" x14ac:dyDescent="0.2">
      <c r="A1710">
        <v>1574</v>
      </c>
      <c r="B1710" t="s">
        <v>744</v>
      </c>
      <c r="C1710" t="s">
        <v>3917</v>
      </c>
      <c r="D1710" t="s">
        <v>33</v>
      </c>
      <c r="E1710" t="s">
        <v>3918</v>
      </c>
      <c r="F1710" t="s">
        <v>747</v>
      </c>
      <c r="G1710" t="s">
        <v>3919</v>
      </c>
      <c r="H1710" t="s">
        <v>5242</v>
      </c>
      <c r="I1710" t="b">
        <v>0</v>
      </c>
      <c r="J1710">
        <v>193</v>
      </c>
      <c r="K1710">
        <v>1575</v>
      </c>
      <c r="L1710">
        <v>525</v>
      </c>
      <c r="M1710">
        <f>COUNTIF(H1710:$H$2581,H1710)</f>
        <v>6</v>
      </c>
    </row>
    <row r="1711" spans="1:13" x14ac:dyDescent="0.2">
      <c r="A1711">
        <v>2076</v>
      </c>
      <c r="B1711" t="s">
        <v>1970</v>
      </c>
      <c r="C1711" t="s">
        <v>3934</v>
      </c>
      <c r="D1711" t="s">
        <v>54</v>
      </c>
      <c r="E1711" t="s">
        <v>3935</v>
      </c>
      <c r="F1711" t="s">
        <v>1973</v>
      </c>
      <c r="G1711" t="s">
        <v>3936</v>
      </c>
      <c r="H1711" t="s">
        <v>5242</v>
      </c>
      <c r="I1711" t="s">
        <v>24</v>
      </c>
      <c r="J1711">
        <v>241</v>
      </c>
      <c r="K1711">
        <v>2077</v>
      </c>
      <c r="L1711">
        <v>206</v>
      </c>
      <c r="M1711">
        <f>COUNTIF(H1711:$H$2581,H1711)</f>
        <v>5</v>
      </c>
    </row>
    <row r="1712" spans="1:13" x14ac:dyDescent="0.2">
      <c r="A1712">
        <v>1884</v>
      </c>
      <c r="B1712" t="s">
        <v>619</v>
      </c>
      <c r="C1712" t="s">
        <v>3982</v>
      </c>
      <c r="D1712" t="s">
        <v>54</v>
      </c>
      <c r="E1712" t="s">
        <v>3983</v>
      </c>
      <c r="F1712" t="s">
        <v>622</v>
      </c>
      <c r="G1712" t="s">
        <v>3984</v>
      </c>
      <c r="H1712" t="s">
        <v>5242</v>
      </c>
      <c r="I1712" t="b">
        <v>1</v>
      </c>
      <c r="J1712">
        <v>219</v>
      </c>
      <c r="K1712">
        <v>1885</v>
      </c>
      <c r="L1712">
        <v>40</v>
      </c>
      <c r="M1712">
        <f>COUNTIF(H1712:$H$2581,H1712)</f>
        <v>4</v>
      </c>
    </row>
    <row r="1713" spans="1:13" x14ac:dyDescent="0.2">
      <c r="A1713">
        <v>770</v>
      </c>
      <c r="B1713" t="s">
        <v>368</v>
      </c>
      <c r="C1713" t="s">
        <v>4008</v>
      </c>
      <c r="D1713" t="s">
        <v>13</v>
      </c>
      <c r="E1713" t="s">
        <v>4009</v>
      </c>
      <c r="F1713" t="s">
        <v>371</v>
      </c>
      <c r="G1713" t="s">
        <v>4010</v>
      </c>
      <c r="H1713" t="s">
        <v>5242</v>
      </c>
      <c r="I1713" t="s">
        <v>24</v>
      </c>
      <c r="J1713">
        <v>109</v>
      </c>
      <c r="K1713">
        <v>771</v>
      </c>
      <c r="L1713">
        <v>71</v>
      </c>
      <c r="M1713">
        <f>COUNTIF(H1713:$H$2581,H1713)</f>
        <v>3</v>
      </c>
    </row>
    <row r="1714" spans="1:13" x14ac:dyDescent="0.2">
      <c r="A1714">
        <v>2431</v>
      </c>
      <c r="B1714" t="s">
        <v>1327</v>
      </c>
      <c r="C1714" t="s">
        <v>4067</v>
      </c>
      <c r="D1714" t="s">
        <v>54</v>
      </c>
      <c r="E1714" t="s">
        <v>4068</v>
      </c>
      <c r="F1714" t="s">
        <v>1330</v>
      </c>
      <c r="G1714" t="s">
        <v>4069</v>
      </c>
      <c r="H1714" t="s">
        <v>5242</v>
      </c>
      <c r="I1714" t="b">
        <v>0</v>
      </c>
      <c r="J1714">
        <v>283</v>
      </c>
      <c r="K1714">
        <v>2432</v>
      </c>
      <c r="L1714">
        <v>23</v>
      </c>
      <c r="M1714">
        <f>COUNTIF(H1714:$H$2581,H1714)</f>
        <v>2</v>
      </c>
    </row>
    <row r="1715" spans="1:13" x14ac:dyDescent="0.2">
      <c r="A1715">
        <v>391</v>
      </c>
      <c r="B1715" t="s">
        <v>1568</v>
      </c>
      <c r="C1715" t="s">
        <v>4101</v>
      </c>
      <c r="D1715" t="s">
        <v>13</v>
      </c>
      <c r="E1715" t="s">
        <v>4102</v>
      </c>
      <c r="F1715" t="s">
        <v>1571</v>
      </c>
      <c r="G1715" t="s">
        <v>4103</v>
      </c>
      <c r="H1715" t="s">
        <v>5242</v>
      </c>
      <c r="I1715" t="s">
        <v>24</v>
      </c>
      <c r="J1715">
        <v>55</v>
      </c>
      <c r="K1715">
        <v>392</v>
      </c>
      <c r="L1715">
        <v>177</v>
      </c>
      <c r="M1715">
        <f>COUNTIF(H1715:$H$2581,H1715)</f>
        <v>1</v>
      </c>
    </row>
    <row r="1716" spans="1:13" x14ac:dyDescent="0.2">
      <c r="A1716">
        <v>2402</v>
      </c>
      <c r="B1716" t="s">
        <v>1987</v>
      </c>
      <c r="C1716" t="s">
        <v>4115</v>
      </c>
      <c r="D1716" t="s">
        <v>13</v>
      </c>
      <c r="E1716" t="s">
        <v>4116</v>
      </c>
      <c r="F1716" t="s">
        <v>1990</v>
      </c>
      <c r="G1716" t="s">
        <v>4117</v>
      </c>
      <c r="H1716" t="s">
        <v>5303</v>
      </c>
      <c r="I1716" t="b">
        <v>1</v>
      </c>
      <c r="J1716">
        <v>281</v>
      </c>
      <c r="K1716">
        <v>2403</v>
      </c>
      <c r="L1716">
        <v>102</v>
      </c>
      <c r="M1716">
        <f>COUNTIF(H1716:$H$2581,H1716)</f>
        <v>40</v>
      </c>
    </row>
    <row r="1717" spans="1:13" x14ac:dyDescent="0.2">
      <c r="A1717">
        <v>2163</v>
      </c>
      <c r="B1717" t="s">
        <v>471</v>
      </c>
      <c r="C1717" t="s">
        <v>472</v>
      </c>
      <c r="D1717" t="s">
        <v>13</v>
      </c>
      <c r="E1717" t="s">
        <v>4129</v>
      </c>
      <c r="F1717" t="s">
        <v>474</v>
      </c>
      <c r="G1717" t="s">
        <v>4130</v>
      </c>
      <c r="H1717" t="s">
        <v>5303</v>
      </c>
      <c r="I1717" t="s">
        <v>24</v>
      </c>
      <c r="J1717">
        <v>253</v>
      </c>
      <c r="K1717">
        <v>2164</v>
      </c>
      <c r="L1717">
        <v>480</v>
      </c>
      <c r="M1717">
        <f>COUNTIF(H1717:$H$2581,H1717)</f>
        <v>39</v>
      </c>
    </row>
    <row r="1718" spans="1:13" x14ac:dyDescent="0.2">
      <c r="A1718">
        <v>672</v>
      </c>
      <c r="B1718" t="s">
        <v>822</v>
      </c>
      <c r="C1718" t="s">
        <v>4138</v>
      </c>
      <c r="D1718" t="s">
        <v>54</v>
      </c>
      <c r="E1718" t="s">
        <v>4139</v>
      </c>
      <c r="F1718" t="s">
        <v>825</v>
      </c>
      <c r="G1718" t="s">
        <v>4140</v>
      </c>
      <c r="H1718" t="s">
        <v>5303</v>
      </c>
      <c r="I1718" t="s">
        <v>24</v>
      </c>
      <c r="J1718">
        <v>99</v>
      </c>
      <c r="K1718">
        <v>673</v>
      </c>
      <c r="L1718">
        <v>247</v>
      </c>
      <c r="M1718">
        <f>COUNTIF(H1718:$H$2581,H1718)</f>
        <v>38</v>
      </c>
    </row>
    <row r="1719" spans="1:13" x14ac:dyDescent="0.2">
      <c r="A1719">
        <v>1747</v>
      </c>
      <c r="B1719" t="s">
        <v>1403</v>
      </c>
      <c r="C1719" t="s">
        <v>4154</v>
      </c>
      <c r="D1719" t="s">
        <v>13</v>
      </c>
      <c r="E1719" t="s">
        <v>4155</v>
      </c>
      <c r="F1719" t="s">
        <v>1406</v>
      </c>
      <c r="G1719" t="s">
        <v>4156</v>
      </c>
      <c r="H1719" t="s">
        <v>5303</v>
      </c>
      <c r="I1719" t="b">
        <v>1</v>
      </c>
      <c r="J1719">
        <v>207</v>
      </c>
      <c r="K1719">
        <v>1748</v>
      </c>
      <c r="L1719">
        <v>218</v>
      </c>
      <c r="M1719">
        <f>COUNTIF(H1719:$H$2581,H1719)</f>
        <v>37</v>
      </c>
    </row>
    <row r="1720" spans="1:13" x14ac:dyDescent="0.2">
      <c r="A1720">
        <v>2001</v>
      </c>
      <c r="B1720" t="s">
        <v>1009</v>
      </c>
      <c r="C1720" t="s">
        <v>4214</v>
      </c>
      <c r="D1720" t="s">
        <v>13</v>
      </c>
      <c r="E1720" t="s">
        <v>4215</v>
      </c>
      <c r="F1720" t="s">
        <v>1012</v>
      </c>
      <c r="G1720" t="s">
        <v>4216</v>
      </c>
      <c r="H1720" t="s">
        <v>5303</v>
      </c>
      <c r="I1720" t="s">
        <v>24</v>
      </c>
      <c r="J1720">
        <v>232</v>
      </c>
      <c r="K1720">
        <v>2002</v>
      </c>
      <c r="L1720">
        <v>64</v>
      </c>
      <c r="M1720">
        <f>COUNTIF(H1720:$H$2581,H1720)</f>
        <v>36</v>
      </c>
    </row>
    <row r="1721" spans="1:13" x14ac:dyDescent="0.2">
      <c r="A1721">
        <v>1967</v>
      </c>
      <c r="B1721" t="s">
        <v>381</v>
      </c>
      <c r="C1721" t="s">
        <v>4220</v>
      </c>
      <c r="D1721" t="s">
        <v>13</v>
      </c>
      <c r="E1721" t="s">
        <v>4221</v>
      </c>
      <c r="F1721" t="s">
        <v>384</v>
      </c>
      <c r="G1721" t="s">
        <v>4222</v>
      </c>
      <c r="H1721" t="s">
        <v>5303</v>
      </c>
      <c r="I1721" t="s">
        <v>24</v>
      </c>
      <c r="J1721">
        <v>226</v>
      </c>
      <c r="K1721">
        <v>1968</v>
      </c>
      <c r="L1721">
        <v>603</v>
      </c>
      <c r="M1721">
        <f>COUNTIF(H1721:$H$2581,H1721)</f>
        <v>35</v>
      </c>
    </row>
    <row r="1722" spans="1:13" x14ac:dyDescent="0.2">
      <c r="A1722">
        <v>2506</v>
      </c>
      <c r="B1722" t="s">
        <v>481</v>
      </c>
      <c r="C1722" t="s">
        <v>4630</v>
      </c>
      <c r="D1722" t="s">
        <v>13</v>
      </c>
      <c r="E1722" t="s">
        <v>4631</v>
      </c>
      <c r="F1722" t="s">
        <v>484</v>
      </c>
      <c r="G1722" t="s">
        <v>4632</v>
      </c>
      <c r="H1722" t="s">
        <v>5303</v>
      </c>
      <c r="I1722" t="s">
        <v>24</v>
      </c>
      <c r="J1722">
        <v>291</v>
      </c>
      <c r="K1722">
        <v>2507</v>
      </c>
      <c r="L1722">
        <v>4</v>
      </c>
      <c r="M1722">
        <f>COUNTIF(H1722:$H$2581,H1722)</f>
        <v>34</v>
      </c>
    </row>
    <row r="1723" spans="1:13" x14ac:dyDescent="0.2">
      <c r="A1723">
        <v>1480</v>
      </c>
      <c r="B1723" t="s">
        <v>1773</v>
      </c>
      <c r="C1723" t="s">
        <v>4636</v>
      </c>
      <c r="D1723" t="s">
        <v>54</v>
      </c>
      <c r="E1723" t="s">
        <v>4637</v>
      </c>
      <c r="F1723" t="s">
        <v>1776</v>
      </c>
      <c r="G1723" t="s">
        <v>4638</v>
      </c>
      <c r="H1723" t="s">
        <v>5303</v>
      </c>
      <c r="I1723" t="b">
        <v>0</v>
      </c>
      <c r="J1723">
        <v>180</v>
      </c>
      <c r="K1723">
        <v>1481</v>
      </c>
      <c r="L1723">
        <v>500</v>
      </c>
      <c r="M1723">
        <f>COUNTIF(H1723:$H$2581,H1723)</f>
        <v>33</v>
      </c>
    </row>
    <row r="1724" spans="1:13" x14ac:dyDescent="0.2">
      <c r="A1724">
        <v>860</v>
      </c>
      <c r="B1724" t="s">
        <v>1091</v>
      </c>
      <c r="C1724" t="s">
        <v>4647</v>
      </c>
      <c r="D1724" t="s">
        <v>13</v>
      </c>
      <c r="E1724" t="s">
        <v>4648</v>
      </c>
      <c r="F1724" t="s">
        <v>1094</v>
      </c>
      <c r="G1724" t="s">
        <v>4649</v>
      </c>
      <c r="H1724" t="s">
        <v>5303</v>
      </c>
      <c r="I1724" t="b">
        <v>1</v>
      </c>
      <c r="J1724">
        <v>118</v>
      </c>
      <c r="K1724">
        <v>861</v>
      </c>
      <c r="L1724">
        <v>264</v>
      </c>
      <c r="M1724">
        <f>COUNTIF(H1724:$H$2581,H1724)</f>
        <v>32</v>
      </c>
    </row>
    <row r="1725" spans="1:13" x14ac:dyDescent="0.2">
      <c r="A1725">
        <v>2367</v>
      </c>
      <c r="B1725" t="s">
        <v>1816</v>
      </c>
      <c r="C1725" t="s">
        <v>4692</v>
      </c>
      <c r="D1725" t="s">
        <v>54</v>
      </c>
      <c r="E1725" t="s">
        <v>4693</v>
      </c>
      <c r="F1725" t="s">
        <v>1819</v>
      </c>
      <c r="G1725" t="s">
        <v>4694</v>
      </c>
      <c r="H1725" t="s">
        <v>5303</v>
      </c>
      <c r="I1725" t="s">
        <v>24</v>
      </c>
      <c r="J1725">
        <v>276</v>
      </c>
      <c r="K1725">
        <v>2368</v>
      </c>
      <c r="L1725">
        <v>33</v>
      </c>
      <c r="M1725">
        <f>COUNTIF(H1725:$H$2581,H1725)</f>
        <v>31</v>
      </c>
    </row>
    <row r="1726" spans="1:13" x14ac:dyDescent="0.2">
      <c r="A1726">
        <v>2201</v>
      </c>
      <c r="B1726" t="s">
        <v>1803</v>
      </c>
      <c r="C1726" t="s">
        <v>4721</v>
      </c>
      <c r="D1726" t="s">
        <v>13</v>
      </c>
      <c r="E1726" t="s">
        <v>4722</v>
      </c>
      <c r="F1726" t="s">
        <v>1806</v>
      </c>
      <c r="G1726" t="s">
        <v>4723</v>
      </c>
      <c r="H1726" t="s">
        <v>5303</v>
      </c>
      <c r="I1726" t="b">
        <v>0</v>
      </c>
      <c r="J1726">
        <v>258</v>
      </c>
      <c r="K1726">
        <v>2202</v>
      </c>
      <c r="L1726">
        <v>212</v>
      </c>
      <c r="M1726">
        <f>COUNTIF(H1726:$H$2581,H1726)</f>
        <v>30</v>
      </c>
    </row>
    <row r="1727" spans="1:13" x14ac:dyDescent="0.2">
      <c r="A1727">
        <v>751</v>
      </c>
      <c r="B1727" t="s">
        <v>1868</v>
      </c>
      <c r="C1727" t="s">
        <v>4727</v>
      </c>
      <c r="D1727" t="s">
        <v>13</v>
      </c>
      <c r="E1727" t="s">
        <v>4728</v>
      </c>
      <c r="F1727" t="s">
        <v>1871</v>
      </c>
      <c r="G1727" t="s">
        <v>4729</v>
      </c>
      <c r="H1727" t="s">
        <v>5303</v>
      </c>
      <c r="I1727" t="s">
        <v>24</v>
      </c>
      <c r="J1727">
        <v>107</v>
      </c>
      <c r="K1727">
        <v>752</v>
      </c>
      <c r="L1727">
        <v>303</v>
      </c>
      <c r="M1727">
        <f>COUNTIF(H1727:$H$2581,H1727)</f>
        <v>29</v>
      </c>
    </row>
    <row r="1728" spans="1:13" x14ac:dyDescent="0.2">
      <c r="A1728">
        <v>1605</v>
      </c>
      <c r="B1728" t="s">
        <v>1548</v>
      </c>
      <c r="C1728" t="s">
        <v>4742</v>
      </c>
      <c r="D1728" t="s">
        <v>33</v>
      </c>
      <c r="E1728" t="s">
        <v>4743</v>
      </c>
      <c r="F1728" t="s">
        <v>1551</v>
      </c>
      <c r="G1728" t="s">
        <v>4744</v>
      </c>
      <c r="H1728" t="s">
        <v>5303</v>
      </c>
      <c r="I1728" t="b">
        <v>0</v>
      </c>
      <c r="J1728">
        <v>196</v>
      </c>
      <c r="K1728">
        <v>1606</v>
      </c>
      <c r="L1728">
        <v>540</v>
      </c>
      <c r="M1728">
        <f>COUNTIF(H1728:$H$2581,H1728)</f>
        <v>28</v>
      </c>
    </row>
    <row r="1729" spans="1:13" x14ac:dyDescent="0.2">
      <c r="A1729">
        <v>59</v>
      </c>
      <c r="B1729" t="s">
        <v>4761</v>
      </c>
      <c r="C1729" t="s">
        <v>4762</v>
      </c>
      <c r="D1729" t="s">
        <v>13</v>
      </c>
      <c r="E1729" t="s">
        <v>4763</v>
      </c>
      <c r="F1729" t="s">
        <v>4764</v>
      </c>
      <c r="G1729" t="s">
        <v>4765</v>
      </c>
      <c r="H1729" t="s">
        <v>5303</v>
      </c>
      <c r="I1729" t="s">
        <v>24</v>
      </c>
      <c r="J1729">
        <v>10</v>
      </c>
      <c r="K1729">
        <v>60</v>
      </c>
      <c r="L1729">
        <v>44</v>
      </c>
      <c r="M1729">
        <f>COUNTIF(H1729:$H$2581,H1729)</f>
        <v>27</v>
      </c>
    </row>
    <row r="1730" spans="1:13" x14ac:dyDescent="0.2">
      <c r="A1730">
        <v>1117</v>
      </c>
      <c r="B1730" t="s">
        <v>1892</v>
      </c>
      <c r="C1730" t="s">
        <v>4774</v>
      </c>
      <c r="D1730" t="s">
        <v>13</v>
      </c>
      <c r="E1730" t="s">
        <v>4775</v>
      </c>
      <c r="F1730" t="s">
        <v>1895</v>
      </c>
      <c r="G1730" t="s">
        <v>4776</v>
      </c>
      <c r="H1730" t="s">
        <v>5303</v>
      </c>
      <c r="I1730" t="s">
        <v>24</v>
      </c>
      <c r="J1730">
        <v>135</v>
      </c>
      <c r="K1730">
        <v>1118</v>
      </c>
      <c r="L1730">
        <v>381</v>
      </c>
      <c r="M1730">
        <f>COUNTIF(H1730:$H$2581,H1730)</f>
        <v>26</v>
      </c>
    </row>
    <row r="1731" spans="1:13" x14ac:dyDescent="0.2">
      <c r="A1731">
        <v>2434</v>
      </c>
      <c r="B1731" t="s">
        <v>1327</v>
      </c>
      <c r="C1731" t="s">
        <v>4791</v>
      </c>
      <c r="D1731" t="s">
        <v>13</v>
      </c>
      <c r="E1731" t="s">
        <v>4792</v>
      </c>
      <c r="F1731" t="s">
        <v>1330</v>
      </c>
      <c r="G1731" t="s">
        <v>4793</v>
      </c>
      <c r="H1731" t="s">
        <v>5303</v>
      </c>
      <c r="I1731" t="b">
        <v>0</v>
      </c>
      <c r="J1731">
        <v>283</v>
      </c>
      <c r="K1731">
        <v>2435</v>
      </c>
      <c r="L1731">
        <v>703</v>
      </c>
      <c r="M1731">
        <f>COUNTIF(H1731:$H$2581,H1731)</f>
        <v>25</v>
      </c>
    </row>
    <row r="1732" spans="1:13" x14ac:dyDescent="0.2">
      <c r="A1732">
        <v>2122</v>
      </c>
      <c r="B1732" t="s">
        <v>576</v>
      </c>
      <c r="C1732" t="s">
        <v>4837</v>
      </c>
      <c r="D1732" t="s">
        <v>54</v>
      </c>
      <c r="E1732" t="s">
        <v>4838</v>
      </c>
      <c r="F1732" t="s">
        <v>579</v>
      </c>
      <c r="G1732" t="s">
        <v>4839</v>
      </c>
      <c r="H1732" t="s">
        <v>5303</v>
      </c>
      <c r="I1732" t="s">
        <v>24</v>
      </c>
      <c r="J1732">
        <v>244</v>
      </c>
      <c r="K1732">
        <v>2123</v>
      </c>
      <c r="L1732">
        <v>41</v>
      </c>
      <c r="M1732">
        <f>COUNTIF(H1732:$H$2581,H1732)</f>
        <v>24</v>
      </c>
    </row>
    <row r="1733" spans="1:13" x14ac:dyDescent="0.2">
      <c r="A1733">
        <v>2212</v>
      </c>
      <c r="B1733" t="s">
        <v>2675</v>
      </c>
      <c r="C1733" t="s">
        <v>4868</v>
      </c>
      <c r="D1733" t="s">
        <v>13</v>
      </c>
      <c r="E1733" t="s">
        <v>4869</v>
      </c>
      <c r="F1733" t="s">
        <v>2678</v>
      </c>
      <c r="G1733" t="s">
        <v>4870</v>
      </c>
      <c r="H1733" t="s">
        <v>5303</v>
      </c>
      <c r="I1733" t="s">
        <v>24</v>
      </c>
      <c r="J1733">
        <v>260</v>
      </c>
      <c r="K1733">
        <v>2213</v>
      </c>
      <c r="L1733">
        <v>5</v>
      </c>
      <c r="M1733">
        <f>COUNTIF(H1733:$H$2581,H1733)</f>
        <v>23</v>
      </c>
    </row>
    <row r="1734" spans="1:13" x14ac:dyDescent="0.2">
      <c r="A1734">
        <v>2289</v>
      </c>
      <c r="B1734" t="s">
        <v>1070</v>
      </c>
      <c r="C1734" t="s">
        <v>4920</v>
      </c>
      <c r="D1734" t="s">
        <v>13</v>
      </c>
      <c r="E1734" t="s">
        <v>4921</v>
      </c>
      <c r="F1734" t="s">
        <v>1073</v>
      </c>
      <c r="G1734" t="s">
        <v>4922</v>
      </c>
      <c r="H1734" t="s">
        <v>5303</v>
      </c>
      <c r="I1734" t="b">
        <v>1</v>
      </c>
      <c r="J1734">
        <v>268</v>
      </c>
      <c r="K1734">
        <v>2290</v>
      </c>
      <c r="L1734">
        <v>34</v>
      </c>
      <c r="M1734">
        <f>COUNTIF(H1734:$H$2581,H1734)</f>
        <v>22</v>
      </c>
    </row>
    <row r="1735" spans="1:13" x14ac:dyDescent="0.2">
      <c r="A1735">
        <v>1718</v>
      </c>
      <c r="B1735" t="s">
        <v>725</v>
      </c>
      <c r="C1735" t="s">
        <v>4938</v>
      </c>
      <c r="D1735" t="s">
        <v>13</v>
      </c>
      <c r="E1735" t="s">
        <v>4939</v>
      </c>
      <c r="F1735" t="s">
        <v>728</v>
      </c>
      <c r="G1735" t="s">
        <v>4940</v>
      </c>
      <c r="H1735" t="s">
        <v>5303</v>
      </c>
      <c r="I1735" t="b">
        <v>1</v>
      </c>
      <c r="J1735">
        <v>205</v>
      </c>
      <c r="K1735">
        <v>1719</v>
      </c>
      <c r="L1735">
        <v>87</v>
      </c>
      <c r="M1735">
        <f>COUNTIF(H1735:$H$2581,H1735)</f>
        <v>21</v>
      </c>
    </row>
    <row r="1736" spans="1:13" x14ac:dyDescent="0.2">
      <c r="A1736">
        <v>143</v>
      </c>
      <c r="B1736" t="s">
        <v>546</v>
      </c>
      <c r="C1736" t="s">
        <v>4952</v>
      </c>
      <c r="D1736" t="s">
        <v>13</v>
      </c>
      <c r="E1736" t="s">
        <v>4953</v>
      </c>
      <c r="F1736" t="s">
        <v>549</v>
      </c>
      <c r="G1736" t="s">
        <v>4954</v>
      </c>
      <c r="H1736" t="s">
        <v>5303</v>
      </c>
      <c r="I1736" t="s">
        <v>24</v>
      </c>
      <c r="J1736">
        <v>26</v>
      </c>
      <c r="K1736">
        <v>144</v>
      </c>
      <c r="L1736">
        <v>48</v>
      </c>
      <c r="M1736">
        <f>COUNTIF(H1736:$H$2581,H1736)</f>
        <v>20</v>
      </c>
    </row>
    <row r="1737" spans="1:13" x14ac:dyDescent="0.2">
      <c r="A1737">
        <v>1510</v>
      </c>
      <c r="B1737" t="s">
        <v>2438</v>
      </c>
      <c r="C1737" t="s">
        <v>4958</v>
      </c>
      <c r="D1737" t="s">
        <v>54</v>
      </c>
      <c r="E1737" t="s">
        <v>4959</v>
      </c>
      <c r="F1737" t="s">
        <v>2441</v>
      </c>
      <c r="G1737" t="s">
        <v>4960</v>
      </c>
      <c r="H1737" t="s">
        <v>5303</v>
      </c>
      <c r="I1737" t="b">
        <v>0</v>
      </c>
      <c r="J1737">
        <v>183</v>
      </c>
      <c r="K1737">
        <v>1511</v>
      </c>
      <c r="L1737">
        <v>506</v>
      </c>
      <c r="M1737">
        <f>COUNTIF(H1737:$H$2581,H1737)</f>
        <v>19</v>
      </c>
    </row>
    <row r="1738" spans="1:13" x14ac:dyDescent="0.2">
      <c r="A1738">
        <v>2404</v>
      </c>
      <c r="B1738" t="s">
        <v>1987</v>
      </c>
      <c r="C1738" t="s">
        <v>5031</v>
      </c>
      <c r="D1738" t="s">
        <v>13</v>
      </c>
      <c r="E1738" t="s">
        <v>5032</v>
      </c>
      <c r="F1738" t="s">
        <v>1990</v>
      </c>
      <c r="G1738" t="s">
        <v>5033</v>
      </c>
      <c r="H1738" t="s">
        <v>5303</v>
      </c>
      <c r="I1738" t="b">
        <v>1</v>
      </c>
      <c r="J1738">
        <v>281</v>
      </c>
      <c r="K1738">
        <v>2405</v>
      </c>
      <c r="L1738">
        <v>123</v>
      </c>
      <c r="M1738">
        <f>COUNTIF(H1738:$H$2581,H1738)</f>
        <v>18</v>
      </c>
    </row>
    <row r="1739" spans="1:13" x14ac:dyDescent="0.2">
      <c r="A1739">
        <v>1454</v>
      </c>
      <c r="B1739" t="s">
        <v>2651</v>
      </c>
      <c r="C1739" t="s">
        <v>5049</v>
      </c>
      <c r="D1739" t="s">
        <v>33</v>
      </c>
      <c r="E1739" t="s">
        <v>5050</v>
      </c>
      <c r="F1739" t="s">
        <v>2654</v>
      </c>
      <c r="G1739" t="s">
        <v>5051</v>
      </c>
      <c r="H1739" t="s">
        <v>5303</v>
      </c>
      <c r="I1739" t="b">
        <v>0</v>
      </c>
      <c r="J1739">
        <v>176</v>
      </c>
      <c r="K1739">
        <v>1455</v>
      </c>
      <c r="L1739">
        <v>141</v>
      </c>
      <c r="M1739">
        <f>COUNTIF(H1739:$H$2581,H1739)</f>
        <v>17</v>
      </c>
    </row>
    <row r="1740" spans="1:13" x14ac:dyDescent="0.2">
      <c r="A1740">
        <v>969</v>
      </c>
      <c r="B1740" t="s">
        <v>203</v>
      </c>
      <c r="C1740" t="s">
        <v>5063</v>
      </c>
      <c r="D1740" t="s">
        <v>54</v>
      </c>
      <c r="E1740" t="s">
        <v>5064</v>
      </c>
      <c r="F1740" t="s">
        <v>206</v>
      </c>
      <c r="G1740" t="s">
        <v>5065</v>
      </c>
      <c r="H1740" t="s">
        <v>5303</v>
      </c>
      <c r="I1740" t="b">
        <v>1</v>
      </c>
      <c r="J1740">
        <v>123</v>
      </c>
      <c r="K1740">
        <v>970</v>
      </c>
      <c r="L1740">
        <v>329</v>
      </c>
      <c r="M1740">
        <f>COUNTIF(H1740:$H$2581,H1740)</f>
        <v>16</v>
      </c>
    </row>
    <row r="1741" spans="1:13" x14ac:dyDescent="0.2">
      <c r="A1741">
        <v>1334</v>
      </c>
      <c r="B1741" t="s">
        <v>2235</v>
      </c>
      <c r="C1741" t="s">
        <v>5103</v>
      </c>
      <c r="D1741" t="s">
        <v>33</v>
      </c>
      <c r="E1741" t="s">
        <v>5104</v>
      </c>
      <c r="F1741" t="s">
        <v>2238</v>
      </c>
      <c r="G1741" t="s">
        <v>5105</v>
      </c>
      <c r="H1741" t="s">
        <v>5303</v>
      </c>
      <c r="I1741" t="b">
        <v>0</v>
      </c>
      <c r="J1741">
        <v>163</v>
      </c>
      <c r="K1741">
        <v>1335</v>
      </c>
      <c r="L1741">
        <v>449</v>
      </c>
      <c r="M1741">
        <f>COUNTIF(H1741:$H$2581,H1741)</f>
        <v>15</v>
      </c>
    </row>
    <row r="1742" spans="1:13" x14ac:dyDescent="0.2">
      <c r="A1742">
        <v>2175</v>
      </c>
      <c r="B1742" t="s">
        <v>1024</v>
      </c>
      <c r="C1742" t="s">
        <v>5127</v>
      </c>
      <c r="D1742" t="s">
        <v>33</v>
      </c>
      <c r="E1742" t="s">
        <v>5128</v>
      </c>
      <c r="F1742" t="s">
        <v>1027</v>
      </c>
      <c r="G1742" t="s">
        <v>5129</v>
      </c>
      <c r="H1742" t="s">
        <v>5303</v>
      </c>
      <c r="I1742" t="b">
        <v>0</v>
      </c>
      <c r="J1742">
        <v>255</v>
      </c>
      <c r="K1742">
        <v>2176</v>
      </c>
      <c r="L1742">
        <v>421</v>
      </c>
      <c r="M1742">
        <f>COUNTIF(H1742:$H$2581,H1742)</f>
        <v>14</v>
      </c>
    </row>
    <row r="1743" spans="1:13" x14ac:dyDescent="0.2">
      <c r="A1743">
        <v>137</v>
      </c>
      <c r="B1743" t="s">
        <v>58</v>
      </c>
      <c r="C1743" t="s">
        <v>5141</v>
      </c>
      <c r="D1743" t="s">
        <v>13</v>
      </c>
      <c r="E1743" t="s">
        <v>5142</v>
      </c>
      <c r="F1743" t="s">
        <v>61</v>
      </c>
      <c r="G1743" t="s">
        <v>5143</v>
      </c>
      <c r="H1743" t="s">
        <v>5303</v>
      </c>
      <c r="I1743" t="b">
        <v>0</v>
      </c>
      <c r="J1743">
        <v>24</v>
      </c>
      <c r="K1743">
        <v>138</v>
      </c>
      <c r="L1743">
        <v>75</v>
      </c>
      <c r="M1743">
        <f>COUNTIF(H1743:$H$2581,H1743)</f>
        <v>13</v>
      </c>
    </row>
    <row r="1744" spans="1:13" x14ac:dyDescent="0.2">
      <c r="A1744">
        <v>616</v>
      </c>
      <c r="B1744" t="s">
        <v>1491</v>
      </c>
      <c r="C1744" t="s">
        <v>5161</v>
      </c>
      <c r="D1744" t="s">
        <v>54</v>
      </c>
      <c r="E1744" t="s">
        <v>5162</v>
      </c>
      <c r="F1744" t="s">
        <v>1494</v>
      </c>
      <c r="G1744" t="s">
        <v>5163</v>
      </c>
      <c r="H1744" t="s">
        <v>5303</v>
      </c>
      <c r="I1744" t="b">
        <v>0</v>
      </c>
      <c r="J1744">
        <v>91</v>
      </c>
      <c r="K1744">
        <v>617</v>
      </c>
      <c r="L1744">
        <v>103</v>
      </c>
      <c r="M1744">
        <f>COUNTIF(H1744:$H$2581,H1744)</f>
        <v>12</v>
      </c>
    </row>
    <row r="1745" spans="1:13" x14ac:dyDescent="0.2">
      <c r="A1745">
        <v>1518</v>
      </c>
      <c r="B1745" t="s">
        <v>1929</v>
      </c>
      <c r="C1745" t="s">
        <v>5189</v>
      </c>
      <c r="D1745" t="s">
        <v>33</v>
      </c>
      <c r="E1745" t="s">
        <v>5190</v>
      </c>
      <c r="F1745" t="s">
        <v>1932</v>
      </c>
      <c r="G1745" t="s">
        <v>5191</v>
      </c>
      <c r="H1745" t="s">
        <v>5303</v>
      </c>
      <c r="I1745" t="b">
        <v>0</v>
      </c>
      <c r="J1745">
        <v>184</v>
      </c>
      <c r="K1745">
        <v>1519</v>
      </c>
      <c r="L1745">
        <v>184</v>
      </c>
      <c r="M1745">
        <f>COUNTIF(H1745:$H$2581,H1745)</f>
        <v>11</v>
      </c>
    </row>
    <row r="1746" spans="1:13" x14ac:dyDescent="0.2">
      <c r="A1746">
        <v>2230</v>
      </c>
      <c r="B1746" t="s">
        <v>165</v>
      </c>
      <c r="C1746" t="s">
        <v>5217</v>
      </c>
      <c r="D1746" t="s">
        <v>54</v>
      </c>
      <c r="E1746" t="s">
        <v>5218</v>
      </c>
      <c r="F1746" t="s">
        <v>168</v>
      </c>
      <c r="G1746" t="s">
        <v>5219</v>
      </c>
      <c r="H1746" t="s">
        <v>5303</v>
      </c>
      <c r="I1746" t="s">
        <v>24</v>
      </c>
      <c r="J1746">
        <v>261</v>
      </c>
      <c r="K1746">
        <v>2231</v>
      </c>
      <c r="L1746">
        <v>425</v>
      </c>
      <c r="M1746">
        <f>COUNTIF(H1746:$H$2581,H1746)</f>
        <v>10</v>
      </c>
    </row>
    <row r="1747" spans="1:13" x14ac:dyDescent="0.2">
      <c r="A1747">
        <v>1798</v>
      </c>
      <c r="B1747" t="s">
        <v>1287</v>
      </c>
      <c r="C1747" t="s">
        <v>5233</v>
      </c>
      <c r="D1747" t="s">
        <v>13</v>
      </c>
      <c r="E1747" t="s">
        <v>5234</v>
      </c>
      <c r="F1747" t="s">
        <v>1290</v>
      </c>
      <c r="G1747" t="s">
        <v>5235</v>
      </c>
      <c r="H1747" t="s">
        <v>5303</v>
      </c>
      <c r="I1747" t="s">
        <v>24</v>
      </c>
      <c r="J1747">
        <v>210</v>
      </c>
      <c r="K1747">
        <v>1799</v>
      </c>
      <c r="L1747">
        <v>117</v>
      </c>
      <c r="M1747">
        <f>COUNTIF(H1747:$H$2581,H1747)</f>
        <v>9</v>
      </c>
    </row>
    <row r="1748" spans="1:13" x14ac:dyDescent="0.2">
      <c r="A1748">
        <v>2094</v>
      </c>
      <c r="B1748" t="s">
        <v>255</v>
      </c>
      <c r="C1748" t="s">
        <v>5294</v>
      </c>
      <c r="D1748" t="s">
        <v>54</v>
      </c>
      <c r="E1748" t="s">
        <v>5295</v>
      </c>
      <c r="F1748" t="s">
        <v>258</v>
      </c>
      <c r="G1748" t="s">
        <v>5296</v>
      </c>
      <c r="H1748" t="s">
        <v>5303</v>
      </c>
      <c r="I1748" t="s">
        <v>24</v>
      </c>
      <c r="J1748">
        <v>242</v>
      </c>
      <c r="K1748">
        <v>2095</v>
      </c>
      <c r="L1748">
        <v>35</v>
      </c>
      <c r="M1748">
        <f>COUNTIF(H1748:$H$2581,H1748)</f>
        <v>8</v>
      </c>
    </row>
    <row r="1749" spans="1:13" x14ac:dyDescent="0.2">
      <c r="A1749">
        <v>2463</v>
      </c>
      <c r="B1749" t="s">
        <v>1411</v>
      </c>
      <c r="C1749" t="s">
        <v>5418</v>
      </c>
      <c r="D1749" t="s">
        <v>13</v>
      </c>
      <c r="E1749" t="s">
        <v>5419</v>
      </c>
      <c r="F1749" t="s">
        <v>1414</v>
      </c>
      <c r="G1749" t="s">
        <v>5420</v>
      </c>
      <c r="H1749" t="s">
        <v>5303</v>
      </c>
      <c r="I1749" t="b">
        <v>1</v>
      </c>
      <c r="J1749">
        <v>285</v>
      </c>
      <c r="K1749">
        <v>2464</v>
      </c>
      <c r="L1749">
        <v>24</v>
      </c>
      <c r="M1749">
        <f>COUNTIF(H1749:$H$2581,H1749)</f>
        <v>7</v>
      </c>
    </row>
    <row r="1750" spans="1:13" x14ac:dyDescent="0.2">
      <c r="A1750">
        <v>2357</v>
      </c>
      <c r="B1750" t="s">
        <v>504</v>
      </c>
      <c r="C1750" t="s">
        <v>5466</v>
      </c>
      <c r="D1750" t="s">
        <v>54</v>
      </c>
      <c r="E1750" t="s">
        <v>5467</v>
      </c>
      <c r="F1750" t="s">
        <v>507</v>
      </c>
      <c r="G1750" t="s">
        <v>5468</v>
      </c>
      <c r="H1750" t="s">
        <v>5303</v>
      </c>
      <c r="I1750" t="s">
        <v>24</v>
      </c>
      <c r="J1750">
        <v>275</v>
      </c>
      <c r="K1750">
        <v>2358</v>
      </c>
      <c r="L1750">
        <v>12</v>
      </c>
      <c r="M1750">
        <f>COUNTIF(H1750:$H$2581,H1750)</f>
        <v>6</v>
      </c>
    </row>
    <row r="1751" spans="1:13" x14ac:dyDescent="0.2">
      <c r="A1751">
        <v>2336</v>
      </c>
      <c r="B1751" t="s">
        <v>900</v>
      </c>
      <c r="C1751" t="s">
        <v>5554</v>
      </c>
      <c r="D1751" t="s">
        <v>33</v>
      </c>
      <c r="E1751" t="s">
        <v>5555</v>
      </c>
      <c r="F1751" t="s">
        <v>903</v>
      </c>
      <c r="G1751" t="s">
        <v>5556</v>
      </c>
      <c r="H1751" t="s">
        <v>5303</v>
      </c>
      <c r="I1751" t="b">
        <v>0</v>
      </c>
      <c r="J1751">
        <v>274</v>
      </c>
      <c r="K1751">
        <v>2337</v>
      </c>
      <c r="L1751">
        <v>13</v>
      </c>
      <c r="M1751">
        <f>COUNTIF(H1751:$H$2581,H1751)</f>
        <v>5</v>
      </c>
    </row>
    <row r="1752" spans="1:13" x14ac:dyDescent="0.2">
      <c r="A1752">
        <v>2438</v>
      </c>
      <c r="B1752" t="s">
        <v>1327</v>
      </c>
      <c r="C1752" t="s">
        <v>5639</v>
      </c>
      <c r="D1752" t="s">
        <v>54</v>
      </c>
      <c r="E1752" t="s">
        <v>5640</v>
      </c>
      <c r="F1752" t="s">
        <v>1330</v>
      </c>
      <c r="G1752" t="s">
        <v>5641</v>
      </c>
      <c r="H1752" t="s">
        <v>5303</v>
      </c>
      <c r="I1752" t="b">
        <v>0</v>
      </c>
      <c r="J1752">
        <v>283</v>
      </c>
      <c r="K1752">
        <v>2439</v>
      </c>
      <c r="L1752">
        <v>50</v>
      </c>
      <c r="M1752">
        <f>COUNTIF(H1752:$H$2581,H1752)</f>
        <v>4</v>
      </c>
    </row>
    <row r="1753" spans="1:13" x14ac:dyDescent="0.2">
      <c r="A1753">
        <v>497</v>
      </c>
      <c r="B1753" t="s">
        <v>362</v>
      </c>
      <c r="C1753" t="s">
        <v>5649</v>
      </c>
      <c r="D1753" t="s">
        <v>13</v>
      </c>
      <c r="E1753" t="s">
        <v>5650</v>
      </c>
      <c r="F1753" t="s">
        <v>365</v>
      </c>
      <c r="G1753" t="s">
        <v>5651</v>
      </c>
      <c r="H1753" t="s">
        <v>5303</v>
      </c>
      <c r="I1753" t="b">
        <v>1</v>
      </c>
      <c r="J1753">
        <v>70</v>
      </c>
      <c r="K1753">
        <v>498</v>
      </c>
      <c r="L1753">
        <v>220</v>
      </c>
      <c r="M1753">
        <f>COUNTIF(H1753:$H$2581,H1753)</f>
        <v>3</v>
      </c>
    </row>
    <row r="1754" spans="1:13" x14ac:dyDescent="0.2">
      <c r="A1754">
        <v>149</v>
      </c>
      <c r="B1754" t="s">
        <v>63</v>
      </c>
      <c r="C1754" t="s">
        <v>5663</v>
      </c>
      <c r="D1754" t="s">
        <v>54</v>
      </c>
      <c r="E1754" t="s">
        <v>5664</v>
      </c>
      <c r="F1754" t="s">
        <v>66</v>
      </c>
      <c r="G1754" t="s">
        <v>5665</v>
      </c>
      <c r="H1754" t="s">
        <v>5303</v>
      </c>
      <c r="I1754" t="s">
        <v>24</v>
      </c>
      <c r="J1754">
        <v>27</v>
      </c>
      <c r="K1754">
        <v>150</v>
      </c>
      <c r="L1754">
        <v>57</v>
      </c>
      <c r="M1754">
        <f>COUNTIF(H1754:$H$2581,H1754)</f>
        <v>2</v>
      </c>
    </row>
    <row r="1755" spans="1:13" x14ac:dyDescent="0.2">
      <c r="A1755">
        <v>420</v>
      </c>
      <c r="B1755" t="s">
        <v>3258</v>
      </c>
      <c r="C1755" t="s">
        <v>5667</v>
      </c>
      <c r="D1755" t="s">
        <v>33</v>
      </c>
      <c r="E1755" t="s">
        <v>5668</v>
      </c>
      <c r="F1755" t="s">
        <v>3261</v>
      </c>
      <c r="G1755" t="s">
        <v>5669</v>
      </c>
      <c r="H1755" t="s">
        <v>5303</v>
      </c>
      <c r="I1755" t="b">
        <v>0</v>
      </c>
      <c r="J1755">
        <v>61</v>
      </c>
      <c r="K1755">
        <v>421</v>
      </c>
      <c r="L1755">
        <v>186</v>
      </c>
      <c r="M1755">
        <f>COUNTIF(H1755:$H$2581,H1755)</f>
        <v>1</v>
      </c>
    </row>
    <row r="1756" spans="1:13" x14ac:dyDescent="0.2">
      <c r="A1756">
        <v>2440</v>
      </c>
      <c r="B1756" t="s">
        <v>1327</v>
      </c>
      <c r="C1756" t="s">
        <v>5823</v>
      </c>
      <c r="D1756" t="s">
        <v>54</v>
      </c>
      <c r="E1756" t="s">
        <v>5824</v>
      </c>
      <c r="F1756" t="s">
        <v>1330</v>
      </c>
      <c r="G1756" t="s">
        <v>5825</v>
      </c>
      <c r="H1756" t="s">
        <v>5435</v>
      </c>
      <c r="I1756" t="b">
        <v>0</v>
      </c>
      <c r="J1756">
        <v>283</v>
      </c>
      <c r="K1756">
        <v>2441</v>
      </c>
      <c r="L1756">
        <v>25</v>
      </c>
      <c r="M1756">
        <f>COUNTIF(H1756:$H$2581,H1756)</f>
        <v>12</v>
      </c>
    </row>
    <row r="1757" spans="1:13" x14ac:dyDescent="0.2">
      <c r="A1757">
        <v>1044</v>
      </c>
      <c r="B1757" t="s">
        <v>1456</v>
      </c>
      <c r="C1757" t="s">
        <v>5736</v>
      </c>
      <c r="D1757" t="s">
        <v>13</v>
      </c>
      <c r="E1757" t="s">
        <v>5829</v>
      </c>
      <c r="F1757" t="s">
        <v>1459</v>
      </c>
      <c r="G1757" t="s">
        <v>5830</v>
      </c>
      <c r="H1757" t="s">
        <v>5435</v>
      </c>
      <c r="I1757" t="s">
        <v>24</v>
      </c>
      <c r="J1757">
        <v>130</v>
      </c>
      <c r="K1757">
        <v>1045</v>
      </c>
      <c r="L1757">
        <v>372</v>
      </c>
      <c r="M1757">
        <f>COUNTIF(H1757:$H$2581,H1757)</f>
        <v>11</v>
      </c>
    </row>
    <row r="1758" spans="1:13" x14ac:dyDescent="0.2">
      <c r="A1758">
        <v>757</v>
      </c>
      <c r="B1758" t="s">
        <v>1868</v>
      </c>
      <c r="C1758" t="s">
        <v>5835</v>
      </c>
      <c r="D1758" t="s">
        <v>13</v>
      </c>
      <c r="E1758" t="s">
        <v>5836</v>
      </c>
      <c r="F1758" t="s">
        <v>1871</v>
      </c>
      <c r="G1758" t="s">
        <v>5837</v>
      </c>
      <c r="H1758" t="s">
        <v>5435</v>
      </c>
      <c r="I1758" t="s">
        <v>24</v>
      </c>
      <c r="J1758">
        <v>107</v>
      </c>
      <c r="K1758">
        <v>758</v>
      </c>
      <c r="L1758">
        <v>304</v>
      </c>
      <c r="M1758">
        <f>COUNTIF(H1758:$H$2581,H1758)</f>
        <v>10</v>
      </c>
    </row>
    <row r="1759" spans="1:13" x14ac:dyDescent="0.2">
      <c r="A1759">
        <v>2338</v>
      </c>
      <c r="B1759" t="s">
        <v>900</v>
      </c>
      <c r="C1759" t="s">
        <v>5982</v>
      </c>
      <c r="D1759" t="s">
        <v>54</v>
      </c>
      <c r="E1759" t="s">
        <v>5983</v>
      </c>
      <c r="F1759" t="s">
        <v>903</v>
      </c>
      <c r="G1759" t="s">
        <v>5984</v>
      </c>
      <c r="H1759" t="s">
        <v>5435</v>
      </c>
      <c r="I1759" t="b">
        <v>0</v>
      </c>
      <c r="J1759">
        <v>274</v>
      </c>
      <c r="K1759">
        <v>2339</v>
      </c>
      <c r="L1759">
        <v>124</v>
      </c>
      <c r="M1759">
        <f>COUNTIF(H1759:$H$2581,H1759)</f>
        <v>9</v>
      </c>
    </row>
    <row r="1760" spans="1:13" x14ac:dyDescent="0.2">
      <c r="A1760">
        <v>1130</v>
      </c>
      <c r="B1760" t="s">
        <v>1186</v>
      </c>
      <c r="C1760" t="s">
        <v>5988</v>
      </c>
      <c r="D1760" t="s">
        <v>33</v>
      </c>
      <c r="E1760" t="s">
        <v>5989</v>
      </c>
      <c r="F1760" t="s">
        <v>1189</v>
      </c>
      <c r="G1760" t="s">
        <v>5990</v>
      </c>
      <c r="H1760" t="s">
        <v>5435</v>
      </c>
      <c r="I1760" t="b">
        <v>0</v>
      </c>
      <c r="J1760">
        <v>137</v>
      </c>
      <c r="K1760">
        <v>1131</v>
      </c>
      <c r="L1760">
        <v>393</v>
      </c>
      <c r="M1760">
        <f>COUNTIF(H1760:$H$2581,H1760)</f>
        <v>8</v>
      </c>
    </row>
    <row r="1761" spans="1:13" x14ac:dyDescent="0.2">
      <c r="A1761">
        <v>130</v>
      </c>
      <c r="B1761" t="s">
        <v>330</v>
      </c>
      <c r="C1761" t="s">
        <v>6003</v>
      </c>
      <c r="D1761" t="s">
        <v>54</v>
      </c>
      <c r="E1761" t="s">
        <v>6004</v>
      </c>
      <c r="F1761" t="s">
        <v>333</v>
      </c>
      <c r="G1761" t="s">
        <v>6005</v>
      </c>
      <c r="H1761" t="s">
        <v>5435</v>
      </c>
      <c r="I1761" t="b">
        <v>0</v>
      </c>
      <c r="J1761">
        <v>23</v>
      </c>
      <c r="K1761">
        <v>131</v>
      </c>
      <c r="L1761">
        <v>72</v>
      </c>
      <c r="M1761">
        <f>COUNTIF(H1761:$H$2581,H1761)</f>
        <v>7</v>
      </c>
    </row>
    <row r="1762" spans="1:13" x14ac:dyDescent="0.2">
      <c r="A1762">
        <v>1188</v>
      </c>
      <c r="B1762" t="s">
        <v>1054</v>
      </c>
      <c r="C1762" t="s">
        <v>6016</v>
      </c>
      <c r="D1762" t="s">
        <v>13</v>
      </c>
      <c r="E1762" t="s">
        <v>6017</v>
      </c>
      <c r="F1762" t="s">
        <v>1057</v>
      </c>
      <c r="G1762" t="s">
        <v>6018</v>
      </c>
      <c r="H1762" t="s">
        <v>5435</v>
      </c>
      <c r="I1762" t="s">
        <v>24</v>
      </c>
      <c r="J1762">
        <v>145</v>
      </c>
      <c r="K1762">
        <v>1189</v>
      </c>
      <c r="L1762">
        <v>354</v>
      </c>
      <c r="M1762">
        <f>COUNTIF(H1762:$H$2581,H1762)</f>
        <v>6</v>
      </c>
    </row>
    <row r="1763" spans="1:13" x14ac:dyDescent="0.2">
      <c r="A1763">
        <v>6</v>
      </c>
      <c r="B1763" t="s">
        <v>449</v>
      </c>
      <c r="C1763" t="s">
        <v>6022</v>
      </c>
      <c r="D1763" t="s">
        <v>54</v>
      </c>
      <c r="E1763" t="s">
        <v>6023</v>
      </c>
      <c r="F1763" t="s">
        <v>452</v>
      </c>
      <c r="G1763" t="s">
        <v>6024</v>
      </c>
      <c r="H1763" t="s">
        <v>5435</v>
      </c>
      <c r="I1763" t="s">
        <v>24</v>
      </c>
      <c r="J1763">
        <v>2</v>
      </c>
      <c r="K1763">
        <v>7</v>
      </c>
      <c r="L1763">
        <v>6</v>
      </c>
      <c r="M1763">
        <f>COUNTIF(H1763:$H$2581,H1763)</f>
        <v>5</v>
      </c>
    </row>
    <row r="1764" spans="1:13" x14ac:dyDescent="0.2">
      <c r="A1764">
        <v>622</v>
      </c>
      <c r="B1764" t="s">
        <v>1491</v>
      </c>
      <c r="C1764" t="s">
        <v>6029</v>
      </c>
      <c r="D1764" t="s">
        <v>33</v>
      </c>
      <c r="E1764" t="s">
        <v>6030</v>
      </c>
      <c r="F1764" t="s">
        <v>1494</v>
      </c>
      <c r="G1764" t="s">
        <v>6031</v>
      </c>
      <c r="H1764" t="s">
        <v>5435</v>
      </c>
      <c r="I1764" t="b">
        <v>0</v>
      </c>
      <c r="J1764">
        <v>91</v>
      </c>
      <c r="K1764">
        <v>623</v>
      </c>
      <c r="L1764">
        <v>271</v>
      </c>
      <c r="M1764">
        <f>COUNTIF(H1764:$H$2581,H1764)</f>
        <v>4</v>
      </c>
    </row>
    <row r="1765" spans="1:13" x14ac:dyDescent="0.2">
      <c r="A1765">
        <v>1669</v>
      </c>
      <c r="B1765" t="s">
        <v>1059</v>
      </c>
      <c r="C1765" t="s">
        <v>6046</v>
      </c>
      <c r="D1765" t="s">
        <v>13</v>
      </c>
      <c r="E1765" t="s">
        <v>6047</v>
      </c>
      <c r="F1765" t="s">
        <v>1062</v>
      </c>
      <c r="G1765" t="s">
        <v>6048</v>
      </c>
      <c r="H1765" t="s">
        <v>5435</v>
      </c>
      <c r="I1765" t="b">
        <v>1</v>
      </c>
      <c r="J1765">
        <v>201</v>
      </c>
      <c r="K1765">
        <v>1670</v>
      </c>
      <c r="L1765">
        <v>199</v>
      </c>
      <c r="M1765">
        <f>COUNTIF(H1765:$H$2581,H1765)</f>
        <v>3</v>
      </c>
    </row>
    <row r="1766" spans="1:13" x14ac:dyDescent="0.2">
      <c r="A1766">
        <v>2115</v>
      </c>
      <c r="B1766" t="s">
        <v>984</v>
      </c>
      <c r="C1766" t="s">
        <v>6075</v>
      </c>
      <c r="D1766" t="s">
        <v>33</v>
      </c>
      <c r="E1766" t="s">
        <v>6076</v>
      </c>
      <c r="F1766" t="s">
        <v>987</v>
      </c>
      <c r="G1766" t="s">
        <v>6077</v>
      </c>
      <c r="H1766" t="s">
        <v>5435</v>
      </c>
      <c r="I1766" t="s">
        <v>24</v>
      </c>
      <c r="J1766">
        <v>243</v>
      </c>
      <c r="K1766">
        <v>2116</v>
      </c>
      <c r="L1766">
        <v>273</v>
      </c>
      <c r="M1766">
        <f>COUNTIF(H1766:$H$2581,H1766)</f>
        <v>2</v>
      </c>
    </row>
    <row r="1767" spans="1:13" x14ac:dyDescent="0.2">
      <c r="A1767">
        <v>1287</v>
      </c>
      <c r="B1767" t="s">
        <v>1221</v>
      </c>
      <c r="C1767" t="s">
        <v>6085</v>
      </c>
      <c r="D1767" t="s">
        <v>13</v>
      </c>
      <c r="E1767" t="s">
        <v>6086</v>
      </c>
      <c r="F1767" t="s">
        <v>1224</v>
      </c>
      <c r="G1767" t="s">
        <v>6087</v>
      </c>
      <c r="H1767" t="s">
        <v>5435</v>
      </c>
      <c r="I1767" t="b">
        <v>1</v>
      </c>
      <c r="J1767">
        <v>158</v>
      </c>
      <c r="K1767">
        <v>1288</v>
      </c>
      <c r="L1767">
        <v>440</v>
      </c>
      <c r="M1767">
        <f>COUNTIF(H1767:$H$2581,H1767)</f>
        <v>1</v>
      </c>
    </row>
    <row r="1768" spans="1:13" x14ac:dyDescent="0.2">
      <c r="A1768">
        <v>448</v>
      </c>
      <c r="B1768" t="s">
        <v>778</v>
      </c>
      <c r="C1768" t="s">
        <v>6112</v>
      </c>
      <c r="D1768" t="s">
        <v>54</v>
      </c>
      <c r="E1768" t="s">
        <v>6113</v>
      </c>
      <c r="F1768" t="s">
        <v>781</v>
      </c>
      <c r="G1768" t="s">
        <v>6114</v>
      </c>
      <c r="H1768" t="s">
        <v>5475</v>
      </c>
      <c r="I1768" t="b">
        <v>0</v>
      </c>
      <c r="J1768">
        <v>64</v>
      </c>
      <c r="K1768">
        <v>449</v>
      </c>
      <c r="L1768">
        <v>200</v>
      </c>
      <c r="M1768">
        <f>COUNTIF(H1768:$H$2581,H1768)</f>
        <v>28</v>
      </c>
    </row>
    <row r="1769" spans="1:13" x14ac:dyDescent="0.2">
      <c r="A1769">
        <v>2232</v>
      </c>
      <c r="B1769" t="s">
        <v>165</v>
      </c>
      <c r="C1769" t="s">
        <v>6188</v>
      </c>
      <c r="D1769" t="s">
        <v>54</v>
      </c>
      <c r="E1769" t="s">
        <v>6189</v>
      </c>
      <c r="F1769" t="s">
        <v>168</v>
      </c>
      <c r="G1769" t="s">
        <v>6190</v>
      </c>
      <c r="H1769" t="s">
        <v>5475</v>
      </c>
      <c r="I1769" t="s">
        <v>24</v>
      </c>
      <c r="J1769">
        <v>261</v>
      </c>
      <c r="K1769">
        <v>2233</v>
      </c>
      <c r="L1769">
        <v>167</v>
      </c>
      <c r="M1769">
        <f>COUNTIF(H1769:$H$2581,H1769)</f>
        <v>27</v>
      </c>
    </row>
    <row r="1770" spans="1:13" x14ac:dyDescent="0.2">
      <c r="A1770">
        <v>234</v>
      </c>
      <c r="B1770" t="s">
        <v>1120</v>
      </c>
      <c r="C1770" t="s">
        <v>6198</v>
      </c>
      <c r="D1770" t="s">
        <v>33</v>
      </c>
      <c r="E1770" t="s">
        <v>6199</v>
      </c>
      <c r="F1770" s="1" t="s">
        <v>1123</v>
      </c>
      <c r="G1770" t="s">
        <v>6200</v>
      </c>
      <c r="H1770" t="s">
        <v>5475</v>
      </c>
      <c r="I1770" t="b">
        <v>0</v>
      </c>
      <c r="J1770">
        <v>40</v>
      </c>
      <c r="K1770">
        <v>235</v>
      </c>
      <c r="L1770">
        <v>105</v>
      </c>
      <c r="M1770">
        <f>COUNTIF(H1770:$H$2581,H1770)</f>
        <v>26</v>
      </c>
    </row>
    <row r="1771" spans="1:13" x14ac:dyDescent="0.2">
      <c r="A1771">
        <v>625</v>
      </c>
      <c r="B1771" t="s">
        <v>1491</v>
      </c>
      <c r="C1771" t="s">
        <v>1492</v>
      </c>
      <c r="D1771" t="s">
        <v>33</v>
      </c>
      <c r="E1771" t="s">
        <v>6213</v>
      </c>
      <c r="F1771" t="s">
        <v>1494</v>
      </c>
      <c r="G1771" t="s">
        <v>6214</v>
      </c>
      <c r="H1771" t="s">
        <v>5475</v>
      </c>
      <c r="I1771" t="b">
        <v>0</v>
      </c>
      <c r="J1771">
        <v>91</v>
      </c>
      <c r="K1771">
        <v>626</v>
      </c>
      <c r="L1771">
        <v>274</v>
      </c>
      <c r="M1771">
        <f>COUNTIF(H1771:$H$2581,H1771)</f>
        <v>25</v>
      </c>
    </row>
    <row r="1772" spans="1:13" x14ac:dyDescent="0.2">
      <c r="A1772">
        <v>150</v>
      </c>
      <c r="B1772" t="s">
        <v>63</v>
      </c>
      <c r="C1772" t="s">
        <v>6239</v>
      </c>
      <c r="D1772" t="s">
        <v>54</v>
      </c>
      <c r="E1772" t="s">
        <v>6240</v>
      </c>
      <c r="F1772" t="s">
        <v>66</v>
      </c>
      <c r="G1772" t="s">
        <v>6241</v>
      </c>
      <c r="H1772" t="s">
        <v>5475</v>
      </c>
      <c r="I1772" t="s">
        <v>24</v>
      </c>
      <c r="J1772">
        <v>27</v>
      </c>
      <c r="K1772">
        <v>151</v>
      </c>
      <c r="L1772">
        <v>78</v>
      </c>
      <c r="M1772">
        <f>COUNTIF(H1772:$H$2581,H1772)</f>
        <v>24</v>
      </c>
    </row>
    <row r="1773" spans="1:13" x14ac:dyDescent="0.2">
      <c r="A1773">
        <v>2234</v>
      </c>
      <c r="B1773" t="s">
        <v>165</v>
      </c>
      <c r="C1773" t="s">
        <v>6326</v>
      </c>
      <c r="D1773" t="s">
        <v>33</v>
      </c>
      <c r="E1773" t="s">
        <v>6327</v>
      </c>
      <c r="F1773" t="s">
        <v>168</v>
      </c>
      <c r="G1773" t="s">
        <v>6328</v>
      </c>
      <c r="H1773" t="s">
        <v>5475</v>
      </c>
      <c r="I1773" t="s">
        <v>24</v>
      </c>
      <c r="J1773">
        <v>261</v>
      </c>
      <c r="K1773">
        <v>2235</v>
      </c>
      <c r="L1773">
        <v>9</v>
      </c>
      <c r="M1773">
        <f>COUNTIF(H1773:$H$2581,H1773)</f>
        <v>23</v>
      </c>
    </row>
    <row r="1774" spans="1:13" x14ac:dyDescent="0.2">
      <c r="A1774">
        <v>157</v>
      </c>
      <c r="B1774" t="s">
        <v>68</v>
      </c>
      <c r="C1774" t="s">
        <v>6344</v>
      </c>
      <c r="D1774" t="s">
        <v>13</v>
      </c>
      <c r="E1774" t="s">
        <v>6345</v>
      </c>
      <c r="F1774" t="s">
        <v>71</v>
      </c>
      <c r="G1774" t="s">
        <v>6346</v>
      </c>
      <c r="H1774" t="s">
        <v>5475</v>
      </c>
      <c r="I1774" t="b">
        <v>1</v>
      </c>
      <c r="J1774">
        <v>28</v>
      </c>
      <c r="K1774">
        <v>158</v>
      </c>
      <c r="L1774">
        <v>51</v>
      </c>
      <c r="M1774">
        <f>COUNTIF(H1774:$H$2581,H1774)</f>
        <v>22</v>
      </c>
    </row>
    <row r="1775" spans="1:13" x14ac:dyDescent="0.2">
      <c r="A1775">
        <v>567</v>
      </c>
      <c r="B1775" t="s">
        <v>2797</v>
      </c>
      <c r="C1775" t="s">
        <v>6358</v>
      </c>
      <c r="D1775" t="s">
        <v>54</v>
      </c>
      <c r="E1775" t="s">
        <v>6359</v>
      </c>
      <c r="F1775" t="s">
        <v>2800</v>
      </c>
      <c r="G1775" t="s">
        <v>6360</v>
      </c>
      <c r="H1775" t="s">
        <v>5475</v>
      </c>
      <c r="I1775" t="s">
        <v>24</v>
      </c>
      <c r="J1775">
        <v>84</v>
      </c>
      <c r="K1775">
        <v>568</v>
      </c>
      <c r="L1775">
        <v>248</v>
      </c>
      <c r="M1775">
        <f>COUNTIF(H1775:$H$2581,H1775)</f>
        <v>21</v>
      </c>
    </row>
    <row r="1776" spans="1:13" x14ac:dyDescent="0.2">
      <c r="A1776">
        <v>1720</v>
      </c>
      <c r="B1776" t="s">
        <v>725</v>
      </c>
      <c r="C1776" t="s">
        <v>6372</v>
      </c>
      <c r="D1776" t="s">
        <v>33</v>
      </c>
      <c r="E1776" t="s">
        <v>6373</v>
      </c>
      <c r="F1776" t="s">
        <v>728</v>
      </c>
      <c r="G1776" t="s">
        <v>6374</v>
      </c>
      <c r="H1776" t="s">
        <v>5475</v>
      </c>
      <c r="I1776" t="b">
        <v>1</v>
      </c>
      <c r="J1776">
        <v>205</v>
      </c>
      <c r="K1776">
        <v>1721</v>
      </c>
      <c r="L1776">
        <v>213</v>
      </c>
      <c r="M1776">
        <f>COUNTIF(H1776:$H$2581,H1776)</f>
        <v>20</v>
      </c>
    </row>
    <row r="1777" spans="1:13" x14ac:dyDescent="0.2">
      <c r="A1777">
        <v>2466</v>
      </c>
      <c r="B1777" t="s">
        <v>1411</v>
      </c>
      <c r="C1777" t="s">
        <v>6435</v>
      </c>
      <c r="D1777" t="s">
        <v>54</v>
      </c>
      <c r="E1777" t="s">
        <v>6436</v>
      </c>
      <c r="F1777" t="s">
        <v>1414</v>
      </c>
      <c r="G1777" t="s">
        <v>6437</v>
      </c>
      <c r="H1777" t="s">
        <v>5475</v>
      </c>
      <c r="I1777" t="b">
        <v>1</v>
      </c>
      <c r="J1777">
        <v>285</v>
      </c>
      <c r="K1777">
        <v>2467</v>
      </c>
      <c r="L1777">
        <v>161</v>
      </c>
      <c r="M1777">
        <f>COUNTIF(H1777:$H$2581,H1777)</f>
        <v>19</v>
      </c>
    </row>
    <row r="1778" spans="1:13" x14ac:dyDescent="0.2">
      <c r="A1778">
        <v>1885</v>
      </c>
      <c r="B1778" t="s">
        <v>619</v>
      </c>
      <c r="C1778" t="s">
        <v>6441</v>
      </c>
      <c r="D1778" t="s">
        <v>13</v>
      </c>
      <c r="E1778" t="s">
        <v>6442</v>
      </c>
      <c r="F1778" t="s">
        <v>622</v>
      </c>
      <c r="G1778" t="s">
        <v>6443</v>
      </c>
      <c r="H1778" t="s">
        <v>5475</v>
      </c>
      <c r="I1778" t="b">
        <v>1</v>
      </c>
      <c r="J1778">
        <v>219</v>
      </c>
      <c r="K1778">
        <v>1886</v>
      </c>
      <c r="L1778">
        <v>594</v>
      </c>
      <c r="M1778">
        <f>COUNTIF(H1778:$H$2581,H1778)</f>
        <v>18</v>
      </c>
    </row>
    <row r="1779" spans="1:13" x14ac:dyDescent="0.2">
      <c r="A1779">
        <v>2207</v>
      </c>
      <c r="B1779" t="s">
        <v>3041</v>
      </c>
      <c r="C1779" t="s">
        <v>6459</v>
      </c>
      <c r="D1779" t="s">
        <v>33</v>
      </c>
      <c r="E1779" t="s">
        <v>6460</v>
      </c>
      <c r="F1779" t="s">
        <v>3044</v>
      </c>
      <c r="G1779" t="s">
        <v>6461</v>
      </c>
      <c r="H1779" t="s">
        <v>5475</v>
      </c>
      <c r="I1779" t="b">
        <v>0</v>
      </c>
      <c r="J1779">
        <v>259</v>
      </c>
      <c r="K1779">
        <v>2208</v>
      </c>
      <c r="L1779">
        <v>234</v>
      </c>
      <c r="M1779">
        <f>COUNTIF(H1779:$H$2581,H1779)</f>
        <v>17</v>
      </c>
    </row>
    <row r="1780" spans="1:13" x14ac:dyDescent="0.2">
      <c r="A1780">
        <v>2108</v>
      </c>
      <c r="B1780" t="s">
        <v>984</v>
      </c>
      <c r="C1780" t="s">
        <v>6469</v>
      </c>
      <c r="D1780" t="s">
        <v>54</v>
      </c>
      <c r="E1780" t="s">
        <v>6470</v>
      </c>
      <c r="F1780" t="s">
        <v>987</v>
      </c>
      <c r="G1780" t="s">
        <v>6471</v>
      </c>
      <c r="H1780" t="s">
        <v>5475</v>
      </c>
      <c r="I1780" t="s">
        <v>24</v>
      </c>
      <c r="J1780">
        <v>243</v>
      </c>
      <c r="K1780">
        <v>2109</v>
      </c>
      <c r="L1780">
        <v>635</v>
      </c>
      <c r="M1780">
        <f>COUNTIF(H1780:$H$2581,H1780)</f>
        <v>16</v>
      </c>
    </row>
    <row r="1781" spans="1:13" x14ac:dyDescent="0.2">
      <c r="A1781">
        <v>2508</v>
      </c>
      <c r="B1781" t="s">
        <v>481</v>
      </c>
      <c r="C1781" t="s">
        <v>6663</v>
      </c>
      <c r="D1781" t="s">
        <v>13</v>
      </c>
      <c r="E1781" s="1" t="s">
        <v>6664</v>
      </c>
      <c r="F1781" t="s">
        <v>484</v>
      </c>
      <c r="G1781" t="s">
        <v>6665</v>
      </c>
      <c r="H1781" t="s">
        <v>5475</v>
      </c>
      <c r="I1781" t="s">
        <v>24</v>
      </c>
      <c r="J1781">
        <v>291</v>
      </c>
      <c r="K1781">
        <v>2509</v>
      </c>
      <c r="L1781">
        <v>7</v>
      </c>
      <c r="M1781">
        <f>COUNTIF(H1781:$H$2581,H1781)</f>
        <v>15</v>
      </c>
    </row>
    <row r="1782" spans="1:13" x14ac:dyDescent="0.2">
      <c r="A1782">
        <v>1391</v>
      </c>
      <c r="B1782" t="s">
        <v>681</v>
      </c>
      <c r="C1782" t="s">
        <v>6684</v>
      </c>
      <c r="D1782" t="s">
        <v>33</v>
      </c>
      <c r="E1782" t="s">
        <v>6685</v>
      </c>
      <c r="F1782" t="s">
        <v>684</v>
      </c>
      <c r="G1782" t="s">
        <v>6686</v>
      </c>
      <c r="H1782" t="s">
        <v>5475</v>
      </c>
      <c r="I1782" t="b">
        <v>0</v>
      </c>
      <c r="J1782">
        <v>167</v>
      </c>
      <c r="K1782">
        <v>1392</v>
      </c>
      <c r="L1782">
        <v>465</v>
      </c>
      <c r="M1782">
        <f>COUNTIF(H1782:$H$2581,H1782)</f>
        <v>14</v>
      </c>
    </row>
    <row r="1783" spans="1:13" x14ac:dyDescent="0.2">
      <c r="A1783">
        <v>864</v>
      </c>
      <c r="B1783" t="s">
        <v>1091</v>
      </c>
      <c r="C1783" t="s">
        <v>6699</v>
      </c>
      <c r="D1783" t="s">
        <v>54</v>
      </c>
      <c r="E1783" t="s">
        <v>6700</v>
      </c>
      <c r="F1783" t="s">
        <v>1094</v>
      </c>
      <c r="G1783" t="s">
        <v>6701</v>
      </c>
      <c r="H1783" t="s">
        <v>5475</v>
      </c>
      <c r="I1783" t="b">
        <v>1</v>
      </c>
      <c r="J1783">
        <v>118</v>
      </c>
      <c r="K1783">
        <v>865</v>
      </c>
      <c r="L1783">
        <v>287</v>
      </c>
      <c r="M1783">
        <f>COUNTIF(H1783:$H$2581,H1783)</f>
        <v>13</v>
      </c>
    </row>
    <row r="1784" spans="1:13" x14ac:dyDescent="0.2">
      <c r="A1784">
        <v>1876</v>
      </c>
      <c r="B1784" t="s">
        <v>749</v>
      </c>
      <c r="C1784" t="s">
        <v>6718</v>
      </c>
      <c r="D1784" t="s">
        <v>13</v>
      </c>
      <c r="E1784" t="s">
        <v>6719</v>
      </c>
      <c r="F1784" t="s">
        <v>752</v>
      </c>
      <c r="G1784" t="s">
        <v>6720</v>
      </c>
      <c r="H1784" t="s">
        <v>5475</v>
      </c>
      <c r="I1784" t="s">
        <v>24</v>
      </c>
      <c r="J1784">
        <v>218</v>
      </c>
      <c r="K1784">
        <v>1877</v>
      </c>
      <c r="L1784">
        <v>162</v>
      </c>
      <c r="M1784">
        <f>COUNTIF(H1784:$H$2581,H1784)</f>
        <v>12</v>
      </c>
    </row>
    <row r="1785" spans="1:13" x14ac:dyDescent="0.2">
      <c r="A1785">
        <v>502</v>
      </c>
      <c r="B1785" t="s">
        <v>1738</v>
      </c>
      <c r="C1785" t="s">
        <v>6732</v>
      </c>
      <c r="D1785" t="s">
        <v>54</v>
      </c>
      <c r="E1785" t="s">
        <v>6733</v>
      </c>
      <c r="F1785" t="s">
        <v>1741</v>
      </c>
      <c r="G1785" t="s">
        <v>6734</v>
      </c>
      <c r="H1785" t="s">
        <v>5475</v>
      </c>
      <c r="I1785" t="b">
        <v>0</v>
      </c>
      <c r="J1785">
        <v>71</v>
      </c>
      <c r="K1785">
        <v>503</v>
      </c>
      <c r="L1785">
        <v>222</v>
      </c>
      <c r="M1785">
        <f>COUNTIF(H1785:$H$2581,H1785)</f>
        <v>11</v>
      </c>
    </row>
    <row r="1786" spans="1:13" x14ac:dyDescent="0.2">
      <c r="A1786">
        <v>902</v>
      </c>
      <c r="B1786" t="s">
        <v>198</v>
      </c>
      <c r="C1786" t="s">
        <v>6751</v>
      </c>
      <c r="D1786" t="s">
        <v>54</v>
      </c>
      <c r="E1786" t="s">
        <v>6752</v>
      </c>
      <c r="F1786" t="s">
        <v>201</v>
      </c>
      <c r="G1786" t="s">
        <v>6753</v>
      </c>
      <c r="H1786" t="s">
        <v>5475</v>
      </c>
      <c r="I1786" t="b">
        <v>0</v>
      </c>
      <c r="J1786">
        <v>120</v>
      </c>
      <c r="K1786">
        <v>903</v>
      </c>
      <c r="L1786">
        <v>339</v>
      </c>
      <c r="M1786">
        <f>COUNTIF(H1786:$H$2581,H1786)</f>
        <v>10</v>
      </c>
    </row>
    <row r="1787" spans="1:13" x14ac:dyDescent="0.2">
      <c r="A1787">
        <v>2442</v>
      </c>
      <c r="B1787" t="s">
        <v>1327</v>
      </c>
      <c r="C1787" t="s">
        <v>6807</v>
      </c>
      <c r="D1787" t="s">
        <v>33</v>
      </c>
      <c r="E1787" t="s">
        <v>6808</v>
      </c>
      <c r="F1787" t="s">
        <v>1330</v>
      </c>
      <c r="G1787" t="s">
        <v>6809</v>
      </c>
      <c r="H1787" t="s">
        <v>5475</v>
      </c>
      <c r="I1787" t="b">
        <v>0</v>
      </c>
      <c r="J1787">
        <v>283</v>
      </c>
      <c r="K1787">
        <v>2443</v>
      </c>
      <c r="L1787">
        <v>106</v>
      </c>
      <c r="M1787">
        <f>COUNTIF(H1787:$H$2581,H1787)</f>
        <v>9</v>
      </c>
    </row>
    <row r="1788" spans="1:13" x14ac:dyDescent="0.2">
      <c r="A1788">
        <v>126</v>
      </c>
      <c r="B1788" t="s">
        <v>52</v>
      </c>
      <c r="C1788" t="s">
        <v>6817</v>
      </c>
      <c r="D1788" t="s">
        <v>54</v>
      </c>
      <c r="E1788" t="s">
        <v>6818</v>
      </c>
      <c r="F1788" t="s">
        <v>56</v>
      </c>
      <c r="G1788" t="s">
        <v>6819</v>
      </c>
      <c r="H1788" t="s">
        <v>5475</v>
      </c>
      <c r="I1788" t="b">
        <v>0</v>
      </c>
      <c r="J1788">
        <v>22</v>
      </c>
      <c r="K1788">
        <v>127</v>
      </c>
      <c r="L1788">
        <v>70</v>
      </c>
      <c r="M1788">
        <f>COUNTIF(H1788:$H$2581,H1788)</f>
        <v>8</v>
      </c>
    </row>
    <row r="1789" spans="1:13" x14ac:dyDescent="0.2">
      <c r="A1789">
        <v>2341</v>
      </c>
      <c r="B1789" t="s">
        <v>900</v>
      </c>
      <c r="C1789" t="s">
        <v>6909</v>
      </c>
      <c r="D1789" t="s">
        <v>54</v>
      </c>
      <c r="E1789" t="s">
        <v>6910</v>
      </c>
      <c r="F1789" t="s">
        <v>903</v>
      </c>
      <c r="G1789" t="s">
        <v>6911</v>
      </c>
      <c r="H1789" t="s">
        <v>5475</v>
      </c>
      <c r="I1789" t="b">
        <v>0</v>
      </c>
      <c r="J1789">
        <v>274</v>
      </c>
      <c r="K1789">
        <v>2342</v>
      </c>
      <c r="L1789">
        <v>125</v>
      </c>
      <c r="M1789">
        <f>COUNTIF(H1789:$H$2581,H1789)</f>
        <v>7</v>
      </c>
    </row>
    <row r="1790" spans="1:13" x14ac:dyDescent="0.2">
      <c r="A1790">
        <v>2035</v>
      </c>
      <c r="B1790" t="s">
        <v>1019</v>
      </c>
      <c r="C1790" t="s">
        <v>6931</v>
      </c>
      <c r="D1790" t="s">
        <v>33</v>
      </c>
      <c r="E1790" t="s">
        <v>6932</v>
      </c>
      <c r="F1790" t="s">
        <v>1022</v>
      </c>
      <c r="G1790" t="s">
        <v>6933</v>
      </c>
      <c r="H1790" t="s">
        <v>5475</v>
      </c>
      <c r="I1790" t="b">
        <v>0</v>
      </c>
      <c r="J1790">
        <v>236</v>
      </c>
      <c r="K1790">
        <v>2036</v>
      </c>
      <c r="L1790">
        <v>621</v>
      </c>
      <c r="M1790">
        <f>COUNTIF(H1790:$H$2581,H1790)</f>
        <v>6</v>
      </c>
    </row>
    <row r="1791" spans="1:13" x14ac:dyDescent="0.2">
      <c r="A1791">
        <v>1324</v>
      </c>
      <c r="B1791" t="s">
        <v>1157</v>
      </c>
      <c r="C1791" t="s">
        <v>6948</v>
      </c>
      <c r="D1791" t="s">
        <v>54</v>
      </c>
      <c r="E1791" t="s">
        <v>6949</v>
      </c>
      <c r="F1791" t="s">
        <v>1160</v>
      </c>
      <c r="G1791" t="s">
        <v>6950</v>
      </c>
      <c r="H1791" t="s">
        <v>5475</v>
      </c>
      <c r="I1791" t="b">
        <v>0</v>
      </c>
      <c r="J1791">
        <v>162</v>
      </c>
      <c r="K1791">
        <v>1325</v>
      </c>
      <c r="L1791">
        <v>126</v>
      </c>
      <c r="M1791">
        <f>COUNTIF(H1791:$H$2581,H1791)</f>
        <v>5</v>
      </c>
    </row>
    <row r="1792" spans="1:13" x14ac:dyDescent="0.2">
      <c r="A1792">
        <v>1779</v>
      </c>
      <c r="B1792" t="s">
        <v>216</v>
      </c>
      <c r="C1792" t="s">
        <v>7004</v>
      </c>
      <c r="D1792" t="s">
        <v>13</v>
      </c>
      <c r="E1792" t="s">
        <v>7005</v>
      </c>
      <c r="F1792" t="s">
        <v>219</v>
      </c>
      <c r="G1792" t="s">
        <v>7006</v>
      </c>
      <c r="H1792" t="s">
        <v>5475</v>
      </c>
      <c r="I1792" t="b">
        <v>1</v>
      </c>
      <c r="J1792">
        <v>209</v>
      </c>
      <c r="K1792">
        <v>1780</v>
      </c>
      <c r="L1792">
        <v>107</v>
      </c>
      <c r="M1792">
        <f>COUNTIF(H1792:$H$2581,H1792)</f>
        <v>4</v>
      </c>
    </row>
    <row r="1793" spans="1:13" x14ac:dyDescent="0.2">
      <c r="A1793">
        <v>2510</v>
      </c>
      <c r="B1793" t="s">
        <v>481</v>
      </c>
      <c r="C1793" t="s">
        <v>7121</v>
      </c>
      <c r="D1793" t="s">
        <v>13</v>
      </c>
      <c r="E1793" t="s">
        <v>7122</v>
      </c>
      <c r="F1793" t="s">
        <v>484</v>
      </c>
      <c r="G1793" t="s">
        <v>7123</v>
      </c>
      <c r="H1793" t="s">
        <v>5475</v>
      </c>
      <c r="I1793" t="s">
        <v>24</v>
      </c>
      <c r="J1793">
        <v>291</v>
      </c>
      <c r="K1793">
        <v>2511</v>
      </c>
      <c r="L1793">
        <v>14</v>
      </c>
      <c r="M1793">
        <f>COUNTIF(H1793:$H$2581,H1793)</f>
        <v>3</v>
      </c>
    </row>
    <row r="1794" spans="1:13" x14ac:dyDescent="0.2">
      <c r="A1794">
        <v>1249</v>
      </c>
      <c r="B1794" t="s">
        <v>858</v>
      </c>
      <c r="C1794" t="s">
        <v>7127</v>
      </c>
      <c r="D1794" t="s">
        <v>13</v>
      </c>
      <c r="E1794" t="s">
        <v>7128</v>
      </c>
      <c r="F1794" t="s">
        <v>861</v>
      </c>
      <c r="G1794" t="s">
        <v>7129</v>
      </c>
      <c r="H1794" t="s">
        <v>5475</v>
      </c>
      <c r="I1794" t="b">
        <v>0</v>
      </c>
      <c r="J1794">
        <v>153</v>
      </c>
      <c r="K1794">
        <v>1250</v>
      </c>
      <c r="L1794">
        <v>429</v>
      </c>
      <c r="M1794">
        <f>COUNTIF(H1794:$H$2581,H1794)</f>
        <v>2</v>
      </c>
    </row>
    <row r="1795" spans="1:13" x14ac:dyDescent="0.2">
      <c r="A1795">
        <v>1781</v>
      </c>
      <c r="B1795" t="s">
        <v>216</v>
      </c>
      <c r="C1795" t="s">
        <v>7168</v>
      </c>
      <c r="D1795" t="s">
        <v>13</v>
      </c>
      <c r="E1795" t="s">
        <v>7169</v>
      </c>
      <c r="F1795" t="s">
        <v>219</v>
      </c>
      <c r="G1795" t="s">
        <v>7170</v>
      </c>
      <c r="H1795" t="s">
        <v>5475</v>
      </c>
      <c r="I1795" t="b">
        <v>1</v>
      </c>
      <c r="J1795">
        <v>209</v>
      </c>
      <c r="K1795">
        <v>1782</v>
      </c>
      <c r="L1795">
        <v>281</v>
      </c>
      <c r="M1795">
        <f>COUNTIF(H1795:$H$2581,H1795)</f>
        <v>1</v>
      </c>
    </row>
    <row r="1796" spans="1:13" x14ac:dyDescent="0.2">
      <c r="A1796">
        <v>2498</v>
      </c>
      <c r="B1796" t="s">
        <v>249</v>
      </c>
      <c r="C1796" t="s">
        <v>7215</v>
      </c>
      <c r="D1796" t="s">
        <v>13</v>
      </c>
      <c r="E1796" t="s">
        <v>7216</v>
      </c>
      <c r="F1796" t="s">
        <v>252</v>
      </c>
      <c r="G1796" t="s">
        <v>7217</v>
      </c>
      <c r="H1796" t="s">
        <v>5563</v>
      </c>
      <c r="I1796" t="b">
        <v>0</v>
      </c>
      <c r="J1796">
        <v>290</v>
      </c>
      <c r="K1796">
        <v>2499</v>
      </c>
      <c r="L1796">
        <v>362</v>
      </c>
      <c r="M1796">
        <f>COUNTIF(H1796:$H$2581,H1796)</f>
        <v>27</v>
      </c>
    </row>
    <row r="1797" spans="1:13" x14ac:dyDescent="0.2">
      <c r="A1797">
        <v>2123</v>
      </c>
      <c r="B1797" t="s">
        <v>576</v>
      </c>
      <c r="C1797" t="s">
        <v>7236</v>
      </c>
      <c r="D1797" t="s">
        <v>54</v>
      </c>
      <c r="E1797" t="s">
        <v>7237</v>
      </c>
      <c r="F1797" t="s">
        <v>579</v>
      </c>
      <c r="G1797" t="s">
        <v>7238</v>
      </c>
      <c r="H1797" t="s">
        <v>5563</v>
      </c>
      <c r="I1797" t="s">
        <v>24</v>
      </c>
      <c r="J1797">
        <v>244</v>
      </c>
      <c r="K1797">
        <v>2124</v>
      </c>
      <c r="L1797">
        <v>559</v>
      </c>
      <c r="M1797">
        <f>COUNTIF(H1797:$H$2581,H1797)</f>
        <v>26</v>
      </c>
    </row>
    <row r="1798" spans="1:13" x14ac:dyDescent="0.2">
      <c r="A1798">
        <v>202</v>
      </c>
      <c r="B1798" t="s">
        <v>346</v>
      </c>
      <c r="C1798" t="s">
        <v>7242</v>
      </c>
      <c r="D1798" t="s">
        <v>54</v>
      </c>
      <c r="E1798" t="s">
        <v>7243</v>
      </c>
      <c r="F1798" t="s">
        <v>349</v>
      </c>
      <c r="G1798" t="s">
        <v>7244</v>
      </c>
      <c r="H1798" t="s">
        <v>5563</v>
      </c>
      <c r="I1798" t="b">
        <v>0</v>
      </c>
      <c r="J1798">
        <v>36</v>
      </c>
      <c r="K1798">
        <v>203</v>
      </c>
      <c r="L1798">
        <v>93</v>
      </c>
      <c r="M1798">
        <f>COUNTIF(H1798:$H$2581,H1798)</f>
        <v>25</v>
      </c>
    </row>
    <row r="1799" spans="1:13" x14ac:dyDescent="0.2">
      <c r="A1799">
        <v>1229</v>
      </c>
      <c r="B1799" t="s">
        <v>4996</v>
      </c>
      <c r="C1799" t="s">
        <v>7259</v>
      </c>
      <c r="D1799" t="s">
        <v>33</v>
      </c>
      <c r="E1799" t="s">
        <v>7260</v>
      </c>
      <c r="F1799" t="s">
        <v>4999</v>
      </c>
      <c r="G1799" t="s">
        <v>7261</v>
      </c>
      <c r="H1799" t="s">
        <v>5563</v>
      </c>
      <c r="I1799" t="b">
        <v>0</v>
      </c>
      <c r="J1799">
        <v>151</v>
      </c>
      <c r="K1799">
        <v>1230</v>
      </c>
      <c r="L1799">
        <v>108</v>
      </c>
      <c r="M1799">
        <f>COUNTIF(H1799:$H$2581,H1799)</f>
        <v>24</v>
      </c>
    </row>
    <row r="1800" spans="1:13" x14ac:dyDescent="0.2">
      <c r="A1800">
        <v>516</v>
      </c>
      <c r="B1800" t="s">
        <v>486</v>
      </c>
      <c r="C1800" t="s">
        <v>7269</v>
      </c>
      <c r="D1800" t="s">
        <v>13</v>
      </c>
      <c r="E1800" t="s">
        <v>7270</v>
      </c>
      <c r="F1800" t="s">
        <v>489</v>
      </c>
      <c r="G1800" t="s">
        <v>7271</v>
      </c>
      <c r="H1800" t="s">
        <v>5563</v>
      </c>
      <c r="I1800" t="b">
        <v>0</v>
      </c>
      <c r="J1800">
        <v>74</v>
      </c>
      <c r="K1800">
        <v>517</v>
      </c>
      <c r="L1800">
        <v>228</v>
      </c>
      <c r="M1800">
        <f>COUNTIF(H1800:$H$2581,H1800)</f>
        <v>23</v>
      </c>
    </row>
    <row r="1801" spans="1:13" x14ac:dyDescent="0.2">
      <c r="A1801">
        <v>433</v>
      </c>
      <c r="B1801" t="s">
        <v>399</v>
      </c>
      <c r="C1801" t="s">
        <v>7276</v>
      </c>
      <c r="D1801" t="s">
        <v>33</v>
      </c>
      <c r="E1801" t="s">
        <v>7277</v>
      </c>
      <c r="F1801" t="s">
        <v>402</v>
      </c>
      <c r="G1801" t="s">
        <v>7278</v>
      </c>
      <c r="H1801" t="s">
        <v>5563</v>
      </c>
      <c r="I1801" t="b">
        <v>0</v>
      </c>
      <c r="J1801">
        <v>63</v>
      </c>
      <c r="K1801">
        <v>434</v>
      </c>
      <c r="L1801">
        <v>194</v>
      </c>
      <c r="M1801">
        <f>COUNTIF(H1801:$H$2581,H1801)</f>
        <v>22</v>
      </c>
    </row>
    <row r="1802" spans="1:13" x14ac:dyDescent="0.2">
      <c r="A1802">
        <v>1782</v>
      </c>
      <c r="B1802" t="s">
        <v>216</v>
      </c>
      <c r="C1802" t="s">
        <v>7305</v>
      </c>
      <c r="D1802" t="s">
        <v>13</v>
      </c>
      <c r="E1802" t="s">
        <v>7306</v>
      </c>
      <c r="F1802" t="s">
        <v>219</v>
      </c>
      <c r="G1802" t="s">
        <v>7307</v>
      </c>
      <c r="H1802" t="s">
        <v>5563</v>
      </c>
      <c r="I1802" t="b">
        <v>1</v>
      </c>
      <c r="J1802">
        <v>209</v>
      </c>
      <c r="K1802">
        <v>1783</v>
      </c>
      <c r="L1802">
        <v>341</v>
      </c>
      <c r="M1802">
        <f>COUNTIF(H1802:$H$2581,H1802)</f>
        <v>21</v>
      </c>
    </row>
    <row r="1803" spans="1:13" x14ac:dyDescent="0.2">
      <c r="A1803">
        <v>477</v>
      </c>
      <c r="B1803" t="s">
        <v>928</v>
      </c>
      <c r="C1803" t="s">
        <v>7319</v>
      </c>
      <c r="D1803" t="s">
        <v>33</v>
      </c>
      <c r="E1803" t="s">
        <v>7320</v>
      </c>
      <c r="F1803" t="s">
        <v>931</v>
      </c>
      <c r="G1803" t="s">
        <v>7321</v>
      </c>
      <c r="H1803" t="s">
        <v>5563</v>
      </c>
      <c r="I1803" t="b">
        <v>0</v>
      </c>
      <c r="J1803">
        <v>67</v>
      </c>
      <c r="K1803">
        <v>478</v>
      </c>
      <c r="L1803">
        <v>163</v>
      </c>
      <c r="M1803">
        <f>COUNTIF(H1803:$H$2581,H1803)</f>
        <v>20</v>
      </c>
    </row>
    <row r="1804" spans="1:13" x14ac:dyDescent="0.2">
      <c r="A1804">
        <v>2344</v>
      </c>
      <c r="B1804" t="s">
        <v>900</v>
      </c>
      <c r="C1804" t="s">
        <v>2246</v>
      </c>
      <c r="D1804" t="s">
        <v>33</v>
      </c>
      <c r="E1804" t="s">
        <v>7398</v>
      </c>
      <c r="F1804" t="s">
        <v>903</v>
      </c>
      <c r="G1804" t="s">
        <v>7399</v>
      </c>
      <c r="H1804" t="s">
        <v>5563</v>
      </c>
      <c r="I1804" t="b">
        <v>0</v>
      </c>
      <c r="J1804">
        <v>274</v>
      </c>
      <c r="K1804">
        <v>2345</v>
      </c>
      <c r="L1804">
        <v>250</v>
      </c>
      <c r="M1804">
        <f>COUNTIF(H1804:$H$2581,H1804)</f>
        <v>19</v>
      </c>
    </row>
    <row r="1805" spans="1:13" x14ac:dyDescent="0.2">
      <c r="A1805">
        <v>982</v>
      </c>
      <c r="B1805" t="s">
        <v>203</v>
      </c>
      <c r="C1805" t="s">
        <v>7403</v>
      </c>
      <c r="D1805" t="s">
        <v>54</v>
      </c>
      <c r="E1805" t="s">
        <v>7404</v>
      </c>
      <c r="F1805" t="s">
        <v>206</v>
      </c>
      <c r="G1805" t="s">
        <v>7405</v>
      </c>
      <c r="H1805" t="s">
        <v>5563</v>
      </c>
      <c r="I1805" t="b">
        <v>1</v>
      </c>
      <c r="J1805">
        <v>123</v>
      </c>
      <c r="K1805">
        <v>983</v>
      </c>
      <c r="L1805">
        <v>359</v>
      </c>
      <c r="M1805">
        <f>COUNTIF(H1805:$H$2581,H1805)</f>
        <v>18</v>
      </c>
    </row>
    <row r="1806" spans="1:13" x14ac:dyDescent="0.2">
      <c r="A1806">
        <v>786</v>
      </c>
      <c r="B1806" t="s">
        <v>373</v>
      </c>
      <c r="C1806" t="s">
        <v>7469</v>
      </c>
      <c r="D1806" t="s">
        <v>54</v>
      </c>
      <c r="E1806" t="s">
        <v>7470</v>
      </c>
      <c r="F1806" s="1" t="s">
        <v>376</v>
      </c>
      <c r="G1806" t="s">
        <v>7471</v>
      </c>
      <c r="H1806" t="s">
        <v>5563</v>
      </c>
      <c r="I1806" t="s">
        <v>24</v>
      </c>
      <c r="J1806">
        <v>111</v>
      </c>
      <c r="K1806">
        <v>787</v>
      </c>
      <c r="L1806">
        <v>53</v>
      </c>
      <c r="M1806">
        <f>COUNTIF(H1806:$H$2581,H1806)</f>
        <v>17</v>
      </c>
    </row>
    <row r="1807" spans="1:13" x14ac:dyDescent="0.2">
      <c r="A1807">
        <v>2252</v>
      </c>
      <c r="B1807" t="s">
        <v>411</v>
      </c>
      <c r="C1807" t="s">
        <v>7500</v>
      </c>
      <c r="D1807" t="s">
        <v>54</v>
      </c>
      <c r="E1807" t="s">
        <v>7501</v>
      </c>
      <c r="F1807" t="s">
        <v>414</v>
      </c>
      <c r="G1807" t="s">
        <v>7502</v>
      </c>
      <c r="H1807" t="s">
        <v>5563</v>
      </c>
      <c r="I1807" t="s">
        <v>24</v>
      </c>
      <c r="J1807">
        <v>262</v>
      </c>
      <c r="K1807">
        <v>2253</v>
      </c>
      <c r="L1807">
        <v>251</v>
      </c>
      <c r="M1807">
        <f>COUNTIF(H1807:$H$2581,H1807)</f>
        <v>16</v>
      </c>
    </row>
    <row r="1808" spans="1:13" x14ac:dyDescent="0.2">
      <c r="A1808">
        <v>2083</v>
      </c>
      <c r="B1808" t="s">
        <v>1970</v>
      </c>
      <c r="C1808" t="s">
        <v>7537</v>
      </c>
      <c r="D1808" t="s">
        <v>54</v>
      </c>
      <c r="E1808" t="s">
        <v>7538</v>
      </c>
      <c r="F1808" t="s">
        <v>1973</v>
      </c>
      <c r="G1808" t="s">
        <v>7539</v>
      </c>
      <c r="H1808" t="s">
        <v>5563</v>
      </c>
      <c r="I1808" t="s">
        <v>24</v>
      </c>
      <c r="J1808">
        <v>241</v>
      </c>
      <c r="K1808">
        <v>2084</v>
      </c>
      <c r="L1808">
        <v>26</v>
      </c>
      <c r="M1808">
        <f>COUNTIF(H1808:$H$2581,H1808)</f>
        <v>15</v>
      </c>
    </row>
    <row r="1809" spans="1:13" x14ac:dyDescent="0.2">
      <c r="A1809">
        <v>1948</v>
      </c>
      <c r="B1809" t="s">
        <v>439</v>
      </c>
      <c r="C1809" t="s">
        <v>7579</v>
      </c>
      <c r="D1809" t="s">
        <v>54</v>
      </c>
      <c r="E1809" t="s">
        <v>7580</v>
      </c>
      <c r="F1809" t="s">
        <v>442</v>
      </c>
      <c r="G1809" t="s">
        <v>7581</v>
      </c>
      <c r="H1809" t="s">
        <v>5563</v>
      </c>
      <c r="I1809" t="b">
        <v>0</v>
      </c>
      <c r="J1809">
        <v>224</v>
      </c>
      <c r="K1809">
        <v>1949</v>
      </c>
      <c r="L1809">
        <v>118</v>
      </c>
      <c r="M1809">
        <f>COUNTIF(H1809:$H$2581,H1809)</f>
        <v>14</v>
      </c>
    </row>
    <row r="1810" spans="1:13" x14ac:dyDescent="0.2">
      <c r="A1810">
        <v>2204</v>
      </c>
      <c r="B1810" t="s">
        <v>1803</v>
      </c>
      <c r="C1810" t="s">
        <v>7609</v>
      </c>
      <c r="D1810" t="s">
        <v>13</v>
      </c>
      <c r="E1810" t="s">
        <v>7610</v>
      </c>
      <c r="F1810" t="s">
        <v>1806</v>
      </c>
      <c r="G1810" t="s">
        <v>7611</v>
      </c>
      <c r="H1810" t="s">
        <v>5563</v>
      </c>
      <c r="I1810" t="b">
        <v>0</v>
      </c>
      <c r="J1810">
        <v>258</v>
      </c>
      <c r="K1810">
        <v>2205</v>
      </c>
      <c r="L1810">
        <v>448</v>
      </c>
      <c r="M1810">
        <f>COUNTIF(H1810:$H$2581,H1810)</f>
        <v>13</v>
      </c>
    </row>
    <row r="1811" spans="1:13" x14ac:dyDescent="0.2">
      <c r="A1811">
        <v>1611</v>
      </c>
      <c r="B1811" t="s">
        <v>1548</v>
      </c>
      <c r="C1811" t="s">
        <v>7638</v>
      </c>
      <c r="D1811" t="s">
        <v>33</v>
      </c>
      <c r="E1811" t="s">
        <v>7639</v>
      </c>
      <c r="F1811" t="s">
        <v>1551</v>
      </c>
      <c r="G1811" t="s">
        <v>7640</v>
      </c>
      <c r="H1811" t="s">
        <v>5563</v>
      </c>
      <c r="I1811" t="b">
        <v>0</v>
      </c>
      <c r="J1811">
        <v>196</v>
      </c>
      <c r="K1811">
        <v>1612</v>
      </c>
      <c r="L1811">
        <v>127</v>
      </c>
      <c r="M1811">
        <f>COUNTIF(H1811:$H$2581,H1811)</f>
        <v>12</v>
      </c>
    </row>
    <row r="1812" spans="1:13" x14ac:dyDescent="0.2">
      <c r="A1812">
        <v>1551</v>
      </c>
      <c r="B1812" t="s">
        <v>282</v>
      </c>
      <c r="C1812" t="s">
        <v>7644</v>
      </c>
      <c r="D1812" t="s">
        <v>13</v>
      </c>
      <c r="E1812" t="s">
        <v>7645</v>
      </c>
      <c r="F1812" t="s">
        <v>285</v>
      </c>
      <c r="G1812" t="s">
        <v>7646</v>
      </c>
      <c r="H1812" t="s">
        <v>5563</v>
      </c>
      <c r="I1812" t="b">
        <v>0</v>
      </c>
      <c r="J1812">
        <v>188</v>
      </c>
      <c r="K1812">
        <v>1552</v>
      </c>
      <c r="L1812">
        <v>517</v>
      </c>
      <c r="M1812">
        <f>COUNTIF(H1812:$H$2581,H1812)</f>
        <v>11</v>
      </c>
    </row>
    <row r="1813" spans="1:13" x14ac:dyDescent="0.2">
      <c r="A1813">
        <v>627</v>
      </c>
      <c r="B1813" t="s">
        <v>1491</v>
      </c>
      <c r="C1813" t="s">
        <v>7651</v>
      </c>
      <c r="D1813" t="s">
        <v>54</v>
      </c>
      <c r="E1813" t="s">
        <v>7652</v>
      </c>
      <c r="F1813" t="s">
        <v>1494</v>
      </c>
      <c r="G1813" t="s">
        <v>7653</v>
      </c>
      <c r="H1813" t="s">
        <v>5563</v>
      </c>
      <c r="I1813" t="b">
        <v>0</v>
      </c>
      <c r="J1813">
        <v>91</v>
      </c>
      <c r="K1813">
        <v>628</v>
      </c>
      <c r="L1813">
        <v>275</v>
      </c>
      <c r="M1813">
        <f>COUNTIF(H1813:$H$2581,H1813)</f>
        <v>10</v>
      </c>
    </row>
    <row r="1814" spans="1:13" x14ac:dyDescent="0.2">
      <c r="A1814">
        <v>165</v>
      </c>
      <c r="B1814" t="s">
        <v>335</v>
      </c>
      <c r="C1814" t="s">
        <v>7670</v>
      </c>
      <c r="D1814" t="s">
        <v>54</v>
      </c>
      <c r="E1814" t="s">
        <v>7671</v>
      </c>
      <c r="F1814" t="s">
        <v>338</v>
      </c>
      <c r="G1814" t="s">
        <v>7672</v>
      </c>
      <c r="H1814" t="s">
        <v>5563</v>
      </c>
      <c r="I1814" t="s">
        <v>24</v>
      </c>
      <c r="J1814">
        <v>30</v>
      </c>
      <c r="K1814">
        <v>166</v>
      </c>
      <c r="L1814">
        <v>83</v>
      </c>
      <c r="M1814">
        <f>COUNTIF(H1814:$H$2581,H1814)</f>
        <v>9</v>
      </c>
    </row>
    <row r="1815" spans="1:13" x14ac:dyDescent="0.2">
      <c r="A1815">
        <v>1741</v>
      </c>
      <c r="B1815" t="s">
        <v>1497</v>
      </c>
      <c r="C1815" t="s">
        <v>7712</v>
      </c>
      <c r="D1815" t="s">
        <v>33</v>
      </c>
      <c r="E1815" t="s">
        <v>7713</v>
      </c>
      <c r="F1815" t="s">
        <v>1500</v>
      </c>
      <c r="G1815" t="s">
        <v>7714</v>
      </c>
      <c r="H1815" t="s">
        <v>5563</v>
      </c>
      <c r="I1815" t="b">
        <v>0</v>
      </c>
      <c r="J1815">
        <v>206</v>
      </c>
      <c r="K1815">
        <v>1742</v>
      </c>
      <c r="L1815">
        <v>54</v>
      </c>
      <c r="M1815">
        <f>COUNTIF(H1815:$H$2581,H1815)</f>
        <v>8</v>
      </c>
    </row>
    <row r="1816" spans="1:13" x14ac:dyDescent="0.2">
      <c r="A1816">
        <v>2446</v>
      </c>
      <c r="B1816" t="s">
        <v>1327</v>
      </c>
      <c r="C1816" t="s">
        <v>7855</v>
      </c>
      <c r="D1816" t="s">
        <v>33</v>
      </c>
      <c r="E1816" t="s">
        <v>7856</v>
      </c>
      <c r="F1816" t="s">
        <v>1330</v>
      </c>
      <c r="G1816" t="s">
        <v>7857</v>
      </c>
      <c r="H1816" t="s">
        <v>5563</v>
      </c>
      <c r="I1816" t="b">
        <v>0</v>
      </c>
      <c r="J1816">
        <v>283</v>
      </c>
      <c r="K1816">
        <v>2447</v>
      </c>
      <c r="L1816">
        <v>27</v>
      </c>
      <c r="M1816">
        <f>COUNTIF(H1816:$H$2581,H1816)</f>
        <v>7</v>
      </c>
    </row>
    <row r="1817" spans="1:13" x14ac:dyDescent="0.2">
      <c r="A1817">
        <v>827</v>
      </c>
      <c r="B1817" t="s">
        <v>594</v>
      </c>
      <c r="C1817" t="s">
        <v>7890</v>
      </c>
      <c r="D1817" t="s">
        <v>13</v>
      </c>
      <c r="E1817" t="s">
        <v>7891</v>
      </c>
      <c r="F1817" t="s">
        <v>597</v>
      </c>
      <c r="G1817" t="s">
        <v>7892</v>
      </c>
      <c r="H1817" t="s">
        <v>5563</v>
      </c>
      <c r="I1817" t="b">
        <v>1</v>
      </c>
      <c r="J1817">
        <v>114</v>
      </c>
      <c r="K1817">
        <v>828</v>
      </c>
      <c r="L1817">
        <v>28</v>
      </c>
      <c r="M1817">
        <f>COUNTIF(H1817:$H$2581,H1817)</f>
        <v>6</v>
      </c>
    </row>
    <row r="1818" spans="1:13" x14ac:dyDescent="0.2">
      <c r="A1818">
        <v>572</v>
      </c>
      <c r="B1818" t="s">
        <v>2797</v>
      </c>
      <c r="C1818" t="s">
        <v>7896</v>
      </c>
      <c r="D1818" t="s">
        <v>54</v>
      </c>
      <c r="E1818" t="s">
        <v>7897</v>
      </c>
      <c r="F1818" t="s">
        <v>2800</v>
      </c>
      <c r="G1818" t="s">
        <v>7898</v>
      </c>
      <c r="H1818" t="s">
        <v>5563</v>
      </c>
      <c r="I1818" t="s">
        <v>24</v>
      </c>
      <c r="J1818">
        <v>84</v>
      </c>
      <c r="K1818">
        <v>573</v>
      </c>
      <c r="L1818">
        <v>253</v>
      </c>
      <c r="M1818">
        <f>COUNTIF(H1818:$H$2581,H1818)</f>
        <v>5</v>
      </c>
    </row>
    <row r="1819" spans="1:13" x14ac:dyDescent="0.2">
      <c r="A1819">
        <v>2117</v>
      </c>
      <c r="B1819" t="s">
        <v>984</v>
      </c>
      <c r="C1819" t="s">
        <v>7940</v>
      </c>
      <c r="D1819" t="s">
        <v>54</v>
      </c>
      <c r="E1819" t="s">
        <v>7941</v>
      </c>
      <c r="F1819" t="s">
        <v>987</v>
      </c>
      <c r="G1819" t="s">
        <v>7942</v>
      </c>
      <c r="H1819" t="s">
        <v>5563</v>
      </c>
      <c r="I1819" t="s">
        <v>24</v>
      </c>
      <c r="J1819">
        <v>243</v>
      </c>
      <c r="K1819">
        <v>2118</v>
      </c>
      <c r="L1819">
        <v>183</v>
      </c>
      <c r="M1819">
        <f>COUNTIF(H1819:$H$2581,H1819)</f>
        <v>4</v>
      </c>
    </row>
    <row r="1820" spans="1:13" x14ac:dyDescent="0.2">
      <c r="A1820">
        <v>1787</v>
      </c>
      <c r="B1820" t="s">
        <v>216</v>
      </c>
      <c r="C1820" t="s">
        <v>7992</v>
      </c>
      <c r="D1820" t="s">
        <v>13</v>
      </c>
      <c r="E1820" t="s">
        <v>7993</v>
      </c>
      <c r="F1820" t="s">
        <v>219</v>
      </c>
      <c r="G1820" t="s">
        <v>7994</v>
      </c>
      <c r="H1820" t="s">
        <v>5563</v>
      </c>
      <c r="I1820" t="b">
        <v>1</v>
      </c>
      <c r="J1820">
        <v>209</v>
      </c>
      <c r="K1820">
        <v>1788</v>
      </c>
      <c r="L1820">
        <v>284</v>
      </c>
      <c r="M1820">
        <f>COUNTIF(H1820:$H$2581,H1820)</f>
        <v>3</v>
      </c>
    </row>
    <row r="1821" spans="1:13" x14ac:dyDescent="0.2">
      <c r="A1821">
        <v>1320</v>
      </c>
      <c r="B1821" t="s">
        <v>1915</v>
      </c>
      <c r="C1821" t="s">
        <v>8001</v>
      </c>
      <c r="D1821" t="s">
        <v>13</v>
      </c>
      <c r="E1821" t="s">
        <v>8002</v>
      </c>
      <c r="F1821" t="s">
        <v>1918</v>
      </c>
      <c r="G1821" t="s">
        <v>8003</v>
      </c>
      <c r="H1821" t="s">
        <v>5563</v>
      </c>
      <c r="I1821" t="s">
        <v>24</v>
      </c>
      <c r="J1821">
        <v>161</v>
      </c>
      <c r="K1821">
        <v>1321</v>
      </c>
      <c r="L1821">
        <v>325</v>
      </c>
      <c r="M1821">
        <f>COUNTIF(H1821:$H$2581,H1821)</f>
        <v>2</v>
      </c>
    </row>
    <row r="1822" spans="1:13" x14ac:dyDescent="0.2">
      <c r="A1822">
        <v>2471</v>
      </c>
      <c r="B1822" t="s">
        <v>1411</v>
      </c>
      <c r="C1822" t="s">
        <v>8063</v>
      </c>
      <c r="D1822" t="s">
        <v>54</v>
      </c>
      <c r="E1822" t="s">
        <v>8064</v>
      </c>
      <c r="F1822" t="s">
        <v>1414</v>
      </c>
      <c r="G1822" t="s">
        <v>8065</v>
      </c>
      <c r="H1822" t="s">
        <v>5563</v>
      </c>
      <c r="I1822" t="b">
        <v>1</v>
      </c>
      <c r="J1822">
        <v>285</v>
      </c>
      <c r="K1822">
        <v>2472</v>
      </c>
      <c r="L1822">
        <v>128</v>
      </c>
      <c r="M1822">
        <f>COUNTIF(H1822:$H$2581,H1822)</f>
        <v>1</v>
      </c>
    </row>
    <row r="1823" spans="1:13" x14ac:dyDescent="0.2">
      <c r="A1823">
        <v>2361</v>
      </c>
      <c r="B1823" t="s">
        <v>504</v>
      </c>
      <c r="C1823" t="s">
        <v>8090</v>
      </c>
      <c r="D1823" t="s">
        <v>13</v>
      </c>
      <c r="E1823" t="s">
        <v>8091</v>
      </c>
      <c r="F1823" t="s">
        <v>507</v>
      </c>
      <c r="G1823" t="s">
        <v>8092</v>
      </c>
      <c r="H1823" t="s">
        <v>5652</v>
      </c>
      <c r="I1823" t="s">
        <v>24</v>
      </c>
      <c r="J1823">
        <v>275</v>
      </c>
      <c r="K1823">
        <v>2362</v>
      </c>
      <c r="L1823">
        <v>129</v>
      </c>
      <c r="M1823">
        <f>COUNTIF(H1823:$H$2581,H1823)</f>
        <v>1</v>
      </c>
    </row>
    <row r="1824" spans="1:13" x14ac:dyDescent="0.2">
      <c r="A1824">
        <v>2447</v>
      </c>
      <c r="B1824" t="s">
        <v>1327</v>
      </c>
      <c r="C1824" t="s">
        <v>8127</v>
      </c>
      <c r="D1824" t="s">
        <v>54</v>
      </c>
      <c r="E1824" t="s">
        <v>8128</v>
      </c>
      <c r="F1824" t="s">
        <v>1330</v>
      </c>
      <c r="G1824" t="s">
        <v>8129</v>
      </c>
      <c r="H1824" t="s">
        <v>5659</v>
      </c>
      <c r="I1824" t="b">
        <v>0</v>
      </c>
      <c r="J1824">
        <v>283</v>
      </c>
      <c r="K1824">
        <v>2448</v>
      </c>
      <c r="L1824">
        <v>29</v>
      </c>
      <c r="M1824">
        <f>COUNTIF(H1824:$H$2581,H1824)</f>
        <v>3</v>
      </c>
    </row>
    <row r="1825" spans="1:13" x14ac:dyDescent="0.2">
      <c r="A1825">
        <v>2449</v>
      </c>
      <c r="B1825" t="s">
        <v>1327</v>
      </c>
      <c r="C1825" t="s">
        <v>8237</v>
      </c>
      <c r="D1825" t="s">
        <v>54</v>
      </c>
      <c r="E1825" t="s">
        <v>8238</v>
      </c>
      <c r="F1825" t="s">
        <v>1330</v>
      </c>
      <c r="G1825" t="s">
        <v>8239</v>
      </c>
      <c r="H1825" t="s">
        <v>5659</v>
      </c>
      <c r="I1825" t="b">
        <v>0</v>
      </c>
      <c r="J1825">
        <v>283</v>
      </c>
      <c r="K1825">
        <v>2450</v>
      </c>
      <c r="L1825">
        <v>30</v>
      </c>
      <c r="M1825">
        <f>COUNTIF(H1825:$H$2581,H1825)</f>
        <v>2</v>
      </c>
    </row>
    <row r="1826" spans="1:13" x14ac:dyDescent="0.2">
      <c r="A1826">
        <v>1246</v>
      </c>
      <c r="B1826" t="s">
        <v>1461</v>
      </c>
      <c r="C1826" t="s">
        <v>8247</v>
      </c>
      <c r="D1826" t="s">
        <v>33</v>
      </c>
      <c r="E1826" t="s">
        <v>8248</v>
      </c>
      <c r="F1826" t="s">
        <v>1464</v>
      </c>
      <c r="G1826" t="s">
        <v>8249</v>
      </c>
      <c r="H1826" t="s">
        <v>5659</v>
      </c>
      <c r="I1826" t="b">
        <v>0</v>
      </c>
      <c r="J1826">
        <v>152</v>
      </c>
      <c r="K1826">
        <v>1247</v>
      </c>
      <c r="L1826">
        <v>427</v>
      </c>
      <c r="M1826">
        <f>COUNTIF(H1826:$H$2581,H1826)</f>
        <v>1</v>
      </c>
    </row>
    <row r="1827" spans="1:13" x14ac:dyDescent="0.2">
      <c r="A1827">
        <v>311</v>
      </c>
      <c r="B1827" t="s">
        <v>784</v>
      </c>
      <c r="C1827" t="s">
        <v>8254</v>
      </c>
      <c r="D1827" t="s">
        <v>54</v>
      </c>
      <c r="E1827" t="s">
        <v>8255</v>
      </c>
      <c r="F1827" t="s">
        <v>787</v>
      </c>
      <c r="G1827" t="s">
        <v>8256</v>
      </c>
      <c r="H1827" t="s">
        <v>5670</v>
      </c>
      <c r="I1827" t="b">
        <v>0</v>
      </c>
      <c r="J1827">
        <v>45</v>
      </c>
      <c r="K1827">
        <v>312</v>
      </c>
      <c r="L1827">
        <v>146</v>
      </c>
      <c r="M1827">
        <f>COUNTIF(H1827:$H$2581,H1827)</f>
        <v>1</v>
      </c>
    </row>
    <row r="1828" spans="1:13" x14ac:dyDescent="0.2">
      <c r="A1828">
        <v>1260</v>
      </c>
      <c r="B1828" t="s">
        <v>3822</v>
      </c>
      <c r="C1828" t="s">
        <v>8293</v>
      </c>
      <c r="D1828" t="s">
        <v>13</v>
      </c>
      <c r="E1828" t="s">
        <v>8294</v>
      </c>
      <c r="F1828" t="s">
        <v>3825</v>
      </c>
      <c r="G1828" t="s">
        <v>8295</v>
      </c>
      <c r="H1828" t="s">
        <v>5681</v>
      </c>
      <c r="I1828" t="s">
        <v>24</v>
      </c>
      <c r="J1828">
        <v>155</v>
      </c>
      <c r="K1828">
        <v>1261</v>
      </c>
      <c r="L1828">
        <v>431</v>
      </c>
      <c r="M1828">
        <f>COUNTIF(H1828:$H$2581,H1828)</f>
        <v>49</v>
      </c>
    </row>
    <row r="1829" spans="1:13" x14ac:dyDescent="0.2">
      <c r="A1829">
        <v>1346</v>
      </c>
      <c r="B1829" t="s">
        <v>2235</v>
      </c>
      <c r="C1829" t="s">
        <v>8300</v>
      </c>
      <c r="D1829" t="s">
        <v>54</v>
      </c>
      <c r="E1829" t="s">
        <v>8301</v>
      </c>
      <c r="F1829" t="s">
        <v>2238</v>
      </c>
      <c r="G1829" t="s">
        <v>8302</v>
      </c>
      <c r="H1829" t="s">
        <v>5681</v>
      </c>
      <c r="I1829" t="b">
        <v>0</v>
      </c>
      <c r="J1829">
        <v>163</v>
      </c>
      <c r="K1829">
        <v>1347</v>
      </c>
      <c r="L1829">
        <v>450</v>
      </c>
      <c r="M1829">
        <f>COUNTIF(H1829:$H$2581,H1829)</f>
        <v>48</v>
      </c>
    </row>
    <row r="1830" spans="1:13" x14ac:dyDescent="0.2">
      <c r="A1830">
        <v>2143</v>
      </c>
      <c r="B1830" t="s">
        <v>147</v>
      </c>
      <c r="C1830" t="s">
        <v>8341</v>
      </c>
      <c r="D1830" t="s">
        <v>13</v>
      </c>
      <c r="E1830" t="s">
        <v>8342</v>
      </c>
      <c r="F1830" t="s">
        <v>150</v>
      </c>
      <c r="G1830" t="s">
        <v>8343</v>
      </c>
      <c r="H1830" t="s">
        <v>5681</v>
      </c>
      <c r="I1830" t="b">
        <v>1</v>
      </c>
      <c r="J1830">
        <v>248</v>
      </c>
      <c r="K1830">
        <v>2144</v>
      </c>
      <c r="L1830">
        <v>42</v>
      </c>
      <c r="M1830">
        <f>COUNTIF(H1830:$H$2581,H1830)</f>
        <v>47</v>
      </c>
    </row>
    <row r="1831" spans="1:13" x14ac:dyDescent="0.2">
      <c r="A1831">
        <v>354</v>
      </c>
      <c r="B1831" t="s">
        <v>455</v>
      </c>
      <c r="C1831" t="s">
        <v>8347</v>
      </c>
      <c r="D1831" t="s">
        <v>13</v>
      </c>
      <c r="E1831" t="s">
        <v>8348</v>
      </c>
      <c r="F1831" t="s">
        <v>458</v>
      </c>
      <c r="G1831" t="s">
        <v>8349</v>
      </c>
      <c r="H1831" t="s">
        <v>5681</v>
      </c>
      <c r="I1831" t="b">
        <v>0</v>
      </c>
      <c r="J1831">
        <v>49</v>
      </c>
      <c r="K1831">
        <v>355</v>
      </c>
      <c r="L1831">
        <v>164</v>
      </c>
      <c r="M1831">
        <f>COUNTIF(H1831:$H$2581,H1831)</f>
        <v>46</v>
      </c>
    </row>
    <row r="1832" spans="1:13" x14ac:dyDescent="0.2">
      <c r="A1832">
        <v>1179</v>
      </c>
      <c r="B1832" t="s">
        <v>1665</v>
      </c>
      <c r="C1832" t="s">
        <v>8361</v>
      </c>
      <c r="D1832" t="s">
        <v>13</v>
      </c>
      <c r="E1832" t="s">
        <v>8362</v>
      </c>
      <c r="F1832" t="s">
        <v>1668</v>
      </c>
      <c r="G1832" t="s">
        <v>8363</v>
      </c>
      <c r="H1832" t="s">
        <v>5681</v>
      </c>
      <c r="I1832" t="b">
        <v>1</v>
      </c>
      <c r="J1832">
        <v>144</v>
      </c>
      <c r="K1832">
        <v>1180</v>
      </c>
      <c r="L1832">
        <v>307</v>
      </c>
      <c r="M1832">
        <f>COUNTIF(H1832:$H$2581,H1832)</f>
        <v>45</v>
      </c>
    </row>
    <row r="1833" spans="1:13" x14ac:dyDescent="0.2">
      <c r="A1833">
        <v>1732</v>
      </c>
      <c r="B1833" t="s">
        <v>725</v>
      </c>
      <c r="C1833" t="s">
        <v>8374</v>
      </c>
      <c r="D1833" t="s">
        <v>54</v>
      </c>
      <c r="E1833" t="s">
        <v>8375</v>
      </c>
      <c r="F1833" t="s">
        <v>728</v>
      </c>
      <c r="G1833" t="s">
        <v>8376</v>
      </c>
      <c r="H1833" t="s">
        <v>5681</v>
      </c>
      <c r="I1833" t="b">
        <v>1</v>
      </c>
      <c r="J1833">
        <v>205</v>
      </c>
      <c r="K1833">
        <v>1733</v>
      </c>
      <c r="L1833">
        <v>171</v>
      </c>
      <c r="M1833">
        <f>COUNTIF(H1833:$H$2581,H1833)</f>
        <v>44</v>
      </c>
    </row>
    <row r="1834" spans="1:13" x14ac:dyDescent="0.2">
      <c r="A1834">
        <v>1698</v>
      </c>
      <c r="B1834" t="s">
        <v>129</v>
      </c>
      <c r="C1834" t="s">
        <v>8390</v>
      </c>
      <c r="D1834" t="s">
        <v>54</v>
      </c>
      <c r="E1834" t="s">
        <v>8391</v>
      </c>
      <c r="F1834" t="s">
        <v>132</v>
      </c>
      <c r="G1834" t="s">
        <v>8392</v>
      </c>
      <c r="H1834" t="s">
        <v>5681</v>
      </c>
      <c r="I1834" t="b">
        <v>1</v>
      </c>
      <c r="J1834">
        <v>204</v>
      </c>
      <c r="K1834">
        <v>1699</v>
      </c>
      <c r="L1834">
        <v>214</v>
      </c>
      <c r="M1834">
        <f>COUNTIF(H1834:$H$2581,H1834)</f>
        <v>43</v>
      </c>
    </row>
    <row r="1835" spans="1:13" x14ac:dyDescent="0.2">
      <c r="A1835">
        <v>1532</v>
      </c>
      <c r="B1835" t="s">
        <v>715</v>
      </c>
      <c r="C1835" t="s">
        <v>8404</v>
      </c>
      <c r="D1835" t="s">
        <v>13</v>
      </c>
      <c r="E1835" t="s">
        <v>8405</v>
      </c>
      <c r="F1835" t="s">
        <v>718</v>
      </c>
      <c r="G1835" t="s">
        <v>8406</v>
      </c>
      <c r="H1835" t="s">
        <v>5681</v>
      </c>
      <c r="I1835" t="s">
        <v>24</v>
      </c>
      <c r="J1835">
        <v>186</v>
      </c>
      <c r="K1835">
        <v>1533</v>
      </c>
      <c r="L1835">
        <v>165</v>
      </c>
      <c r="M1835">
        <f>COUNTIF(H1835:$H$2581,H1835)</f>
        <v>42</v>
      </c>
    </row>
    <row r="1836" spans="1:13" x14ac:dyDescent="0.2">
      <c r="A1836">
        <v>941</v>
      </c>
      <c r="B1836" t="s">
        <v>498</v>
      </c>
      <c r="C1836" t="s">
        <v>8426</v>
      </c>
      <c r="D1836" t="s">
        <v>33</v>
      </c>
      <c r="E1836" t="s">
        <v>8427</v>
      </c>
      <c r="F1836" t="s">
        <v>501</v>
      </c>
      <c r="G1836" t="s">
        <v>8428</v>
      </c>
      <c r="H1836" t="s">
        <v>5681</v>
      </c>
      <c r="I1836" t="b">
        <v>0</v>
      </c>
      <c r="J1836">
        <v>122</v>
      </c>
      <c r="K1836">
        <v>942</v>
      </c>
      <c r="L1836">
        <v>130</v>
      </c>
      <c r="M1836">
        <f>COUNTIF(H1836:$H$2581,H1836)</f>
        <v>41</v>
      </c>
    </row>
    <row r="1837" spans="1:13" x14ac:dyDescent="0.2">
      <c r="A1837">
        <v>1950</v>
      </c>
      <c r="B1837" t="s">
        <v>439</v>
      </c>
      <c r="C1837" t="s">
        <v>8435</v>
      </c>
      <c r="D1837" t="s">
        <v>33</v>
      </c>
      <c r="E1837" s="1" t="s">
        <v>8436</v>
      </c>
      <c r="F1837" t="s">
        <v>442</v>
      </c>
      <c r="G1837" t="s">
        <v>8437</v>
      </c>
      <c r="H1837" t="s">
        <v>5681</v>
      </c>
      <c r="I1837" t="b">
        <v>0</v>
      </c>
      <c r="J1837">
        <v>224</v>
      </c>
      <c r="K1837">
        <v>1951</v>
      </c>
      <c r="L1837">
        <v>168</v>
      </c>
      <c r="M1837">
        <f>COUNTIF(H1837:$H$2581,H1837)</f>
        <v>40</v>
      </c>
    </row>
    <row r="1838" spans="1:13" x14ac:dyDescent="0.2">
      <c r="A1838">
        <v>715</v>
      </c>
      <c r="B1838" t="s">
        <v>730</v>
      </c>
      <c r="C1838" t="s">
        <v>8441</v>
      </c>
      <c r="D1838" t="s">
        <v>13</v>
      </c>
      <c r="E1838" t="s">
        <v>8442</v>
      </c>
      <c r="F1838" t="s">
        <v>733</v>
      </c>
      <c r="G1838" t="s">
        <v>8443</v>
      </c>
      <c r="H1838" t="s">
        <v>5681</v>
      </c>
      <c r="I1838" t="s">
        <v>24</v>
      </c>
      <c r="J1838">
        <v>103</v>
      </c>
      <c r="K1838">
        <v>716</v>
      </c>
      <c r="L1838">
        <v>296</v>
      </c>
      <c r="M1838">
        <f>COUNTIF(H1838:$H$2581,H1838)</f>
        <v>39</v>
      </c>
    </row>
    <row r="1839" spans="1:13" x14ac:dyDescent="0.2">
      <c r="A1839">
        <v>1580</v>
      </c>
      <c r="B1839" t="s">
        <v>744</v>
      </c>
      <c r="C1839" t="s">
        <v>8448</v>
      </c>
      <c r="D1839" t="s">
        <v>13</v>
      </c>
      <c r="E1839" t="s">
        <v>8449</v>
      </c>
      <c r="F1839" t="s">
        <v>747</v>
      </c>
      <c r="G1839" t="s">
        <v>8450</v>
      </c>
      <c r="H1839" t="s">
        <v>5681</v>
      </c>
      <c r="I1839" t="b">
        <v>0</v>
      </c>
      <c r="J1839">
        <v>193</v>
      </c>
      <c r="K1839">
        <v>1581</v>
      </c>
      <c r="L1839">
        <v>528</v>
      </c>
      <c r="M1839">
        <f>COUNTIF(H1839:$H$2581,H1839)</f>
        <v>38</v>
      </c>
    </row>
    <row r="1840" spans="1:13" x14ac:dyDescent="0.2">
      <c r="A1840">
        <v>554</v>
      </c>
      <c r="B1840" t="s">
        <v>103</v>
      </c>
      <c r="C1840" t="s">
        <v>8459</v>
      </c>
      <c r="D1840" t="s">
        <v>13</v>
      </c>
      <c r="E1840" t="s">
        <v>8460</v>
      </c>
      <c r="F1840" t="s">
        <v>105</v>
      </c>
      <c r="G1840" t="s">
        <v>8461</v>
      </c>
      <c r="H1840" t="s">
        <v>5681</v>
      </c>
      <c r="I1840" t="b">
        <v>0</v>
      </c>
      <c r="J1840">
        <v>81</v>
      </c>
      <c r="K1840">
        <v>555</v>
      </c>
      <c r="L1840">
        <v>243</v>
      </c>
      <c r="M1840">
        <f>COUNTIF(H1840:$H$2581,H1840)</f>
        <v>37</v>
      </c>
    </row>
    <row r="1841" spans="1:13" x14ac:dyDescent="0.2">
      <c r="A1841">
        <v>1951</v>
      </c>
      <c r="B1841" t="s">
        <v>439</v>
      </c>
      <c r="C1841" t="s">
        <v>8481</v>
      </c>
      <c r="D1841" t="s">
        <v>13</v>
      </c>
      <c r="E1841" t="s">
        <v>8482</v>
      </c>
      <c r="F1841" t="s">
        <v>442</v>
      </c>
      <c r="G1841" t="s">
        <v>8483</v>
      </c>
      <c r="H1841" t="s">
        <v>5681</v>
      </c>
      <c r="I1841" t="b">
        <v>0</v>
      </c>
      <c r="J1841">
        <v>224</v>
      </c>
      <c r="K1841">
        <v>1952</v>
      </c>
      <c r="L1841">
        <v>147</v>
      </c>
      <c r="M1841">
        <f>COUNTIF(H1841:$H$2581,H1841)</f>
        <v>36</v>
      </c>
    </row>
    <row r="1842" spans="1:13" x14ac:dyDescent="0.2">
      <c r="A1842">
        <v>657</v>
      </c>
      <c r="B1842" t="s">
        <v>3995</v>
      </c>
      <c r="C1842" t="s">
        <v>8514</v>
      </c>
      <c r="D1842" t="s">
        <v>54</v>
      </c>
      <c r="E1842" t="s">
        <v>8515</v>
      </c>
      <c r="F1842" t="s">
        <v>3998</v>
      </c>
      <c r="G1842" t="s">
        <v>8516</v>
      </c>
      <c r="H1842" t="s">
        <v>5681</v>
      </c>
      <c r="I1842" t="b">
        <v>0</v>
      </c>
      <c r="J1842">
        <v>96</v>
      </c>
      <c r="K1842">
        <v>658</v>
      </c>
      <c r="L1842">
        <v>58</v>
      </c>
      <c r="M1842">
        <f>COUNTIF(H1842:$H$2581,H1842)</f>
        <v>35</v>
      </c>
    </row>
    <row r="1843" spans="1:13" x14ac:dyDescent="0.2">
      <c r="A1843">
        <v>2391</v>
      </c>
      <c r="B1843" t="s">
        <v>221</v>
      </c>
      <c r="C1843" t="s">
        <v>8540</v>
      </c>
      <c r="D1843" t="s">
        <v>13</v>
      </c>
      <c r="E1843" t="s">
        <v>8541</v>
      </c>
      <c r="F1843" t="s">
        <v>224</v>
      </c>
      <c r="G1843" t="s">
        <v>8542</v>
      </c>
      <c r="H1843" t="s">
        <v>5681</v>
      </c>
      <c r="I1843" t="b">
        <v>1</v>
      </c>
      <c r="J1843">
        <v>278</v>
      </c>
      <c r="K1843">
        <v>2392</v>
      </c>
      <c r="L1843">
        <v>110</v>
      </c>
      <c r="M1843">
        <f>COUNTIF(H1843:$H$2581,H1843)</f>
        <v>34</v>
      </c>
    </row>
    <row r="1844" spans="1:13" x14ac:dyDescent="0.2">
      <c r="A1844">
        <v>2562</v>
      </c>
      <c r="B1844" t="s">
        <v>636</v>
      </c>
      <c r="C1844" t="s">
        <v>8609</v>
      </c>
      <c r="D1844" t="s">
        <v>33</v>
      </c>
      <c r="E1844" t="s">
        <v>8610</v>
      </c>
      <c r="F1844" t="s">
        <v>639</v>
      </c>
      <c r="G1844" t="s">
        <v>8611</v>
      </c>
      <c r="H1844" t="s">
        <v>5681</v>
      </c>
      <c r="I1844" t="b">
        <v>0</v>
      </c>
      <c r="J1844">
        <v>297</v>
      </c>
      <c r="K1844">
        <v>2563</v>
      </c>
      <c r="L1844">
        <v>56</v>
      </c>
      <c r="M1844">
        <f>COUNTIF(H1844:$H$2581,H1844)</f>
        <v>33</v>
      </c>
    </row>
    <row r="1845" spans="1:13" x14ac:dyDescent="0.2">
      <c r="A1845">
        <v>1643</v>
      </c>
      <c r="B1845" t="s">
        <v>720</v>
      </c>
      <c r="C1845" t="s">
        <v>8619</v>
      </c>
      <c r="D1845" t="s">
        <v>13</v>
      </c>
      <c r="E1845" t="s">
        <v>8620</v>
      </c>
      <c r="F1845" t="s">
        <v>723</v>
      </c>
      <c r="G1845" t="s">
        <v>8621</v>
      </c>
      <c r="H1845" t="s">
        <v>5681</v>
      </c>
      <c r="I1845" t="b">
        <v>1</v>
      </c>
      <c r="J1845">
        <v>197</v>
      </c>
      <c r="K1845">
        <v>1644</v>
      </c>
      <c r="L1845">
        <v>215</v>
      </c>
      <c r="M1845">
        <f>COUNTIF(H1845:$H$2581,H1845)</f>
        <v>32</v>
      </c>
    </row>
    <row r="1846" spans="1:13" x14ac:dyDescent="0.2">
      <c r="A1846">
        <v>1900</v>
      </c>
      <c r="B1846" t="s">
        <v>1485</v>
      </c>
      <c r="C1846" t="s">
        <v>8632</v>
      </c>
      <c r="D1846" t="s">
        <v>13</v>
      </c>
      <c r="E1846" t="s">
        <v>8633</v>
      </c>
      <c r="F1846" t="s">
        <v>1488</v>
      </c>
      <c r="G1846" t="s">
        <v>8634</v>
      </c>
      <c r="H1846" t="s">
        <v>5681</v>
      </c>
      <c r="I1846" t="b">
        <v>1</v>
      </c>
      <c r="J1846">
        <v>220</v>
      </c>
      <c r="K1846">
        <v>1901</v>
      </c>
      <c r="L1846">
        <v>242</v>
      </c>
      <c r="M1846">
        <f>COUNTIF(H1846:$H$2581,H1846)</f>
        <v>31</v>
      </c>
    </row>
    <row r="1847" spans="1:13" x14ac:dyDescent="0.2">
      <c r="A1847">
        <v>699</v>
      </c>
      <c r="B1847" t="s">
        <v>1131</v>
      </c>
      <c r="C1847" t="s">
        <v>8642</v>
      </c>
      <c r="D1847" t="s">
        <v>54</v>
      </c>
      <c r="E1847" t="s">
        <v>8643</v>
      </c>
      <c r="F1847" s="1" t="s">
        <v>1134</v>
      </c>
      <c r="G1847" t="s">
        <v>8644</v>
      </c>
      <c r="H1847" t="s">
        <v>5681</v>
      </c>
      <c r="I1847" t="b">
        <v>0</v>
      </c>
      <c r="J1847">
        <v>102</v>
      </c>
      <c r="K1847">
        <v>700</v>
      </c>
      <c r="L1847">
        <v>292</v>
      </c>
      <c r="M1847">
        <f>COUNTIF(H1847:$H$2581,H1847)</f>
        <v>30</v>
      </c>
    </row>
    <row r="1848" spans="1:13" x14ac:dyDescent="0.2">
      <c r="A1848">
        <v>959</v>
      </c>
      <c r="B1848" t="s">
        <v>203</v>
      </c>
      <c r="C1848" t="s">
        <v>8672</v>
      </c>
      <c r="D1848" t="s">
        <v>13</v>
      </c>
      <c r="E1848" t="s">
        <v>8673</v>
      </c>
      <c r="F1848" t="s">
        <v>206</v>
      </c>
      <c r="G1848" t="s">
        <v>8674</v>
      </c>
      <c r="H1848" t="s">
        <v>5681</v>
      </c>
      <c r="I1848" t="b">
        <v>1</v>
      </c>
      <c r="J1848">
        <v>123</v>
      </c>
      <c r="K1848">
        <v>960</v>
      </c>
      <c r="L1848">
        <v>298</v>
      </c>
      <c r="M1848">
        <f>COUNTIF(H1848:$H$2581,H1848)</f>
        <v>29</v>
      </c>
    </row>
    <row r="1849" spans="1:13" x14ac:dyDescent="0.2">
      <c r="A1849">
        <v>382</v>
      </c>
      <c r="B1849" t="s">
        <v>1659</v>
      </c>
      <c r="C1849" t="s">
        <v>8678</v>
      </c>
      <c r="D1849" t="s">
        <v>33</v>
      </c>
      <c r="E1849" t="s">
        <v>8679</v>
      </c>
      <c r="F1849" t="s">
        <v>1662</v>
      </c>
      <c r="G1849" t="s">
        <v>8680</v>
      </c>
      <c r="H1849" t="s">
        <v>5681</v>
      </c>
      <c r="I1849" t="b">
        <v>0</v>
      </c>
      <c r="J1849">
        <v>52</v>
      </c>
      <c r="K1849">
        <v>383</v>
      </c>
      <c r="L1849">
        <v>172</v>
      </c>
      <c r="M1849">
        <f>COUNTIF(H1849:$H$2581,H1849)</f>
        <v>28</v>
      </c>
    </row>
    <row r="1850" spans="1:13" x14ac:dyDescent="0.2">
      <c r="A1850">
        <v>1644</v>
      </c>
      <c r="B1850" t="s">
        <v>720</v>
      </c>
      <c r="C1850" t="s">
        <v>8685</v>
      </c>
      <c r="D1850" t="s">
        <v>33</v>
      </c>
      <c r="E1850" t="s">
        <v>8686</v>
      </c>
      <c r="F1850" t="s">
        <v>723</v>
      </c>
      <c r="G1850" t="s">
        <v>8687</v>
      </c>
      <c r="H1850" t="s">
        <v>5681</v>
      </c>
      <c r="I1850" t="b">
        <v>1</v>
      </c>
      <c r="J1850">
        <v>197</v>
      </c>
      <c r="K1850">
        <v>1645</v>
      </c>
      <c r="L1850">
        <v>550</v>
      </c>
      <c r="M1850">
        <f>COUNTIF(H1850:$H$2581,H1850)</f>
        <v>27</v>
      </c>
    </row>
    <row r="1851" spans="1:13" x14ac:dyDescent="0.2">
      <c r="A1851">
        <v>2578</v>
      </c>
      <c r="B1851" t="s">
        <v>226</v>
      </c>
      <c r="C1851" t="s">
        <v>8802</v>
      </c>
      <c r="D1851" t="s">
        <v>13</v>
      </c>
      <c r="E1851" t="s">
        <v>8803</v>
      </c>
      <c r="F1851" t="s">
        <v>229</v>
      </c>
      <c r="G1851" t="s">
        <v>8804</v>
      </c>
      <c r="H1851" t="s">
        <v>5681</v>
      </c>
      <c r="I1851" t="b">
        <v>1</v>
      </c>
      <c r="J1851">
        <v>299</v>
      </c>
      <c r="K1851">
        <v>2579</v>
      </c>
      <c r="L1851">
        <v>31</v>
      </c>
      <c r="M1851">
        <f>COUNTIF(H1851:$H$2581,H1851)</f>
        <v>26</v>
      </c>
    </row>
    <row r="1852" spans="1:13" x14ac:dyDescent="0.2">
      <c r="A1852">
        <v>1846</v>
      </c>
      <c r="B1852" t="s">
        <v>1198</v>
      </c>
      <c r="C1852" t="s">
        <v>8832</v>
      </c>
      <c r="D1852" t="s">
        <v>54</v>
      </c>
      <c r="E1852" t="s">
        <v>8833</v>
      </c>
      <c r="F1852" t="s">
        <v>1201</v>
      </c>
      <c r="G1852" t="s">
        <v>8834</v>
      </c>
      <c r="H1852" t="s">
        <v>5681</v>
      </c>
      <c r="I1852" t="s">
        <v>24</v>
      </c>
      <c r="J1852">
        <v>214</v>
      </c>
      <c r="K1852">
        <v>1847</v>
      </c>
      <c r="L1852">
        <v>254</v>
      </c>
      <c r="M1852">
        <f>COUNTIF(H1852:$H$2581,H1852)</f>
        <v>25</v>
      </c>
    </row>
    <row r="1853" spans="1:13" x14ac:dyDescent="0.2">
      <c r="A1853">
        <v>591</v>
      </c>
      <c r="B1853" t="s">
        <v>8562</v>
      </c>
      <c r="C1853" t="s">
        <v>8858</v>
      </c>
      <c r="D1853" t="s">
        <v>54</v>
      </c>
      <c r="E1853" t="s">
        <v>8859</v>
      </c>
      <c r="F1853" t="s">
        <v>8565</v>
      </c>
      <c r="G1853" t="s">
        <v>8860</v>
      </c>
      <c r="H1853" t="s">
        <v>5681</v>
      </c>
      <c r="I1853" t="b">
        <v>1</v>
      </c>
      <c r="J1853">
        <v>89</v>
      </c>
      <c r="K1853">
        <v>592</v>
      </c>
      <c r="L1853">
        <v>259</v>
      </c>
      <c r="M1853">
        <f>COUNTIF(H1853:$H$2581,H1853)</f>
        <v>24</v>
      </c>
    </row>
    <row r="1854" spans="1:13" x14ac:dyDescent="0.2">
      <c r="A1854">
        <v>2104</v>
      </c>
      <c r="B1854" t="s">
        <v>255</v>
      </c>
      <c r="C1854" t="s">
        <v>8889</v>
      </c>
      <c r="D1854" t="s">
        <v>54</v>
      </c>
      <c r="E1854" t="s">
        <v>8890</v>
      </c>
      <c r="F1854" t="s">
        <v>258</v>
      </c>
      <c r="G1854" t="s">
        <v>8891</v>
      </c>
      <c r="H1854" t="s">
        <v>5681</v>
      </c>
      <c r="I1854" t="s">
        <v>24</v>
      </c>
      <c r="J1854">
        <v>242</v>
      </c>
      <c r="K1854">
        <v>2105</v>
      </c>
      <c r="L1854">
        <v>180</v>
      </c>
      <c r="M1854">
        <f>COUNTIF(H1854:$H$2581,H1854)</f>
        <v>23</v>
      </c>
    </row>
    <row r="1855" spans="1:13" x14ac:dyDescent="0.2">
      <c r="A1855">
        <v>1953</v>
      </c>
      <c r="B1855" t="s">
        <v>439</v>
      </c>
      <c r="C1855" t="s">
        <v>8910</v>
      </c>
      <c r="D1855" t="s">
        <v>54</v>
      </c>
      <c r="E1855" t="s">
        <v>8911</v>
      </c>
      <c r="F1855" t="s">
        <v>442</v>
      </c>
      <c r="G1855" t="s">
        <v>8912</v>
      </c>
      <c r="H1855" t="s">
        <v>5681</v>
      </c>
      <c r="I1855" t="b">
        <v>0</v>
      </c>
      <c r="J1855">
        <v>224</v>
      </c>
      <c r="K1855">
        <v>1954</v>
      </c>
      <c r="L1855">
        <v>571</v>
      </c>
      <c r="M1855">
        <f>COUNTIF(H1855:$H$2581,H1855)</f>
        <v>22</v>
      </c>
    </row>
    <row r="1856" spans="1:13" x14ac:dyDescent="0.2">
      <c r="A1856">
        <v>1353</v>
      </c>
      <c r="B1856" t="s">
        <v>571</v>
      </c>
      <c r="C1856" t="s">
        <v>572</v>
      </c>
      <c r="D1856" t="s">
        <v>13</v>
      </c>
      <c r="E1856" t="s">
        <v>8927</v>
      </c>
      <c r="F1856" t="s">
        <v>574</v>
      </c>
      <c r="G1856" t="s">
        <v>8928</v>
      </c>
      <c r="H1856" t="s">
        <v>5681</v>
      </c>
      <c r="I1856" t="b">
        <v>0</v>
      </c>
      <c r="J1856">
        <v>165</v>
      </c>
      <c r="K1856">
        <v>1354</v>
      </c>
      <c r="L1856">
        <v>150</v>
      </c>
      <c r="M1856">
        <f>COUNTIF(H1856:$H$2581,H1856)</f>
        <v>21</v>
      </c>
    </row>
    <row r="1857" spans="1:13" x14ac:dyDescent="0.2">
      <c r="A1857">
        <v>1515</v>
      </c>
      <c r="B1857" t="s">
        <v>2438</v>
      </c>
      <c r="C1857" t="s">
        <v>8953</v>
      </c>
      <c r="D1857" t="s">
        <v>13</v>
      </c>
      <c r="E1857" t="s">
        <v>8954</v>
      </c>
      <c r="F1857" t="s">
        <v>2441</v>
      </c>
      <c r="G1857" t="s">
        <v>8955</v>
      </c>
      <c r="H1857" t="s">
        <v>5681</v>
      </c>
      <c r="I1857" t="b">
        <v>0</v>
      </c>
      <c r="J1857">
        <v>183</v>
      </c>
      <c r="K1857">
        <v>1516</v>
      </c>
      <c r="L1857">
        <v>268</v>
      </c>
      <c r="M1857">
        <f>COUNTIF(H1857:$H$2581,H1857)</f>
        <v>20</v>
      </c>
    </row>
    <row r="1858" spans="1:13" x14ac:dyDescent="0.2">
      <c r="A1858">
        <v>871</v>
      </c>
      <c r="B1858" t="s">
        <v>1091</v>
      </c>
      <c r="C1858" t="s">
        <v>8967</v>
      </c>
      <c r="D1858" t="s">
        <v>54</v>
      </c>
      <c r="E1858" t="s">
        <v>8968</v>
      </c>
      <c r="F1858" t="s">
        <v>1094</v>
      </c>
      <c r="G1858" t="s">
        <v>8969</v>
      </c>
      <c r="H1858" t="s">
        <v>5681</v>
      </c>
      <c r="I1858" t="b">
        <v>1</v>
      </c>
      <c r="J1858">
        <v>118</v>
      </c>
      <c r="K1858">
        <v>872</v>
      </c>
      <c r="L1858">
        <v>320</v>
      </c>
      <c r="M1858">
        <f>COUNTIF(H1858:$H$2581,H1858)</f>
        <v>19</v>
      </c>
    </row>
    <row r="1859" spans="1:13" x14ac:dyDescent="0.2">
      <c r="A1859">
        <v>2275</v>
      </c>
      <c r="B1859" t="s">
        <v>11</v>
      </c>
      <c r="C1859" t="s">
        <v>12</v>
      </c>
      <c r="D1859" t="s">
        <v>13</v>
      </c>
      <c r="E1859" s="1" t="s">
        <v>14</v>
      </c>
      <c r="F1859" t="s">
        <v>15</v>
      </c>
      <c r="G1859" t="s">
        <v>16</v>
      </c>
      <c r="H1859" t="s">
        <v>5681</v>
      </c>
      <c r="I1859" t="b">
        <v>0</v>
      </c>
      <c r="J1859">
        <v>267</v>
      </c>
      <c r="K1859">
        <v>2276</v>
      </c>
      <c r="L1859">
        <v>670</v>
      </c>
      <c r="M1859">
        <f>COUNTIF(H1859:$H$2581,H1859)</f>
        <v>18</v>
      </c>
    </row>
    <row r="1860" spans="1:13" x14ac:dyDescent="0.2">
      <c r="A1860">
        <v>1862</v>
      </c>
      <c r="B1860" t="s">
        <v>18</v>
      </c>
      <c r="C1860" t="s">
        <v>19</v>
      </c>
      <c r="D1860" t="s">
        <v>13</v>
      </c>
      <c r="E1860" t="s">
        <v>20</v>
      </c>
      <c r="F1860" t="s">
        <v>21</v>
      </c>
      <c r="G1860" t="s">
        <v>22</v>
      </c>
      <c r="H1860" t="s">
        <v>5681</v>
      </c>
      <c r="I1860" t="s">
        <v>24</v>
      </c>
      <c r="J1860">
        <v>217</v>
      </c>
      <c r="K1860">
        <v>1863</v>
      </c>
      <c r="L1860">
        <v>587</v>
      </c>
      <c r="M1860">
        <f>COUNTIF(H1860:$H$2581,H1860)</f>
        <v>17</v>
      </c>
    </row>
    <row r="1861" spans="1:13" x14ac:dyDescent="0.2">
      <c r="A1861">
        <v>60</v>
      </c>
      <c r="B1861" t="s">
        <v>25</v>
      </c>
      <c r="C1861" t="s">
        <v>26</v>
      </c>
      <c r="D1861" t="s">
        <v>13</v>
      </c>
      <c r="E1861" t="s">
        <v>27</v>
      </c>
      <c r="F1861" t="s">
        <v>28</v>
      </c>
      <c r="G1861" t="s">
        <v>29</v>
      </c>
      <c r="H1861" t="s">
        <v>5681</v>
      </c>
      <c r="I1861" t="b">
        <v>1</v>
      </c>
      <c r="J1861">
        <v>11</v>
      </c>
      <c r="K1861">
        <v>61</v>
      </c>
      <c r="L1861">
        <v>45</v>
      </c>
      <c r="M1861">
        <f>COUNTIF(H1861:$H$2581,H1861)</f>
        <v>16</v>
      </c>
    </row>
    <row r="1862" spans="1:13" x14ac:dyDescent="0.2">
      <c r="A1862">
        <v>1393</v>
      </c>
      <c r="B1862" t="s">
        <v>170</v>
      </c>
      <c r="C1862" t="s">
        <v>171</v>
      </c>
      <c r="D1862" t="s">
        <v>13</v>
      </c>
      <c r="E1862" t="s">
        <v>172</v>
      </c>
      <c r="F1862" t="s">
        <v>173</v>
      </c>
      <c r="G1862" t="s">
        <v>174</v>
      </c>
      <c r="H1862" t="s">
        <v>5681</v>
      </c>
      <c r="I1862" t="b">
        <v>1</v>
      </c>
      <c r="J1862">
        <v>168</v>
      </c>
      <c r="K1862">
        <v>1394</v>
      </c>
      <c r="L1862">
        <v>466</v>
      </c>
      <c r="M1862">
        <f>COUNTIF(H1862:$H$2581,H1862)</f>
        <v>15</v>
      </c>
    </row>
    <row r="1863" spans="1:13" x14ac:dyDescent="0.2">
      <c r="A1863">
        <v>833</v>
      </c>
      <c r="B1863" t="s">
        <v>176</v>
      </c>
      <c r="C1863" t="s">
        <v>177</v>
      </c>
      <c r="D1863" t="s">
        <v>33</v>
      </c>
      <c r="E1863" t="s">
        <v>178</v>
      </c>
      <c r="F1863" t="s">
        <v>179</v>
      </c>
      <c r="G1863" t="s">
        <v>180</v>
      </c>
      <c r="H1863" t="s">
        <v>5681</v>
      </c>
      <c r="I1863" t="s">
        <v>24</v>
      </c>
      <c r="J1863">
        <v>115</v>
      </c>
      <c r="K1863">
        <v>834</v>
      </c>
      <c r="L1863">
        <v>324</v>
      </c>
      <c r="M1863">
        <f>COUNTIF(H1863:$H$2581,H1863)</f>
        <v>14</v>
      </c>
    </row>
    <row r="1864" spans="1:13" x14ac:dyDescent="0.2">
      <c r="A1864">
        <v>483</v>
      </c>
      <c r="B1864" t="s">
        <v>182</v>
      </c>
      <c r="C1864" t="s">
        <v>183</v>
      </c>
      <c r="D1864" t="s">
        <v>13</v>
      </c>
      <c r="E1864" s="1" t="s">
        <v>184</v>
      </c>
      <c r="F1864" t="s">
        <v>185</v>
      </c>
      <c r="G1864" t="s">
        <v>186</v>
      </c>
      <c r="H1864" t="s">
        <v>5681</v>
      </c>
      <c r="I1864" t="b">
        <v>1</v>
      </c>
      <c r="J1864">
        <v>69</v>
      </c>
      <c r="K1864">
        <v>484</v>
      </c>
      <c r="L1864">
        <v>217</v>
      </c>
      <c r="M1864">
        <f>COUNTIF(H1864:$H$2581,H1864)</f>
        <v>13</v>
      </c>
    </row>
    <row r="1865" spans="1:13" x14ac:dyDescent="0.2">
      <c r="A1865">
        <v>1135</v>
      </c>
      <c r="B1865" t="s">
        <v>231</v>
      </c>
      <c r="C1865" t="s">
        <v>232</v>
      </c>
      <c r="D1865" t="s">
        <v>13</v>
      </c>
      <c r="E1865" t="s">
        <v>233</v>
      </c>
      <c r="F1865" t="s">
        <v>234</v>
      </c>
      <c r="G1865" t="s">
        <v>235</v>
      </c>
      <c r="H1865" t="s">
        <v>5681</v>
      </c>
      <c r="I1865" t="b">
        <v>0</v>
      </c>
      <c r="J1865">
        <v>138</v>
      </c>
      <c r="K1865">
        <v>1136</v>
      </c>
      <c r="L1865">
        <v>394</v>
      </c>
      <c r="M1865">
        <f>COUNTIF(H1865:$H$2581,H1865)</f>
        <v>12</v>
      </c>
    </row>
    <row r="1866" spans="1:13" x14ac:dyDescent="0.2">
      <c r="A1866">
        <v>633</v>
      </c>
      <c r="B1866" t="s">
        <v>237</v>
      </c>
      <c r="C1866" t="s">
        <v>238</v>
      </c>
      <c r="D1866" t="s">
        <v>13</v>
      </c>
      <c r="E1866" t="s">
        <v>239</v>
      </c>
      <c r="F1866" t="s">
        <v>240</v>
      </c>
      <c r="G1866" t="s">
        <v>241</v>
      </c>
      <c r="H1866" t="s">
        <v>5681</v>
      </c>
      <c r="I1866" t="b">
        <v>1</v>
      </c>
      <c r="J1866">
        <v>92</v>
      </c>
      <c r="K1866">
        <v>634</v>
      </c>
      <c r="L1866">
        <v>277</v>
      </c>
      <c r="M1866">
        <f>COUNTIF(H1866:$H$2581,H1866)</f>
        <v>11</v>
      </c>
    </row>
    <row r="1867" spans="1:13" x14ac:dyDescent="0.2">
      <c r="A1867">
        <v>1461</v>
      </c>
      <c r="B1867" t="s">
        <v>243</v>
      </c>
      <c r="C1867" t="s">
        <v>244</v>
      </c>
      <c r="D1867" t="s">
        <v>33</v>
      </c>
      <c r="E1867" t="s">
        <v>245</v>
      </c>
      <c r="F1867" t="s">
        <v>246</v>
      </c>
      <c r="G1867" t="s">
        <v>247</v>
      </c>
      <c r="H1867" t="s">
        <v>5681</v>
      </c>
      <c r="I1867" t="b">
        <v>0</v>
      </c>
      <c r="J1867">
        <v>177</v>
      </c>
      <c r="K1867">
        <v>1462</v>
      </c>
      <c r="L1867">
        <v>495</v>
      </c>
      <c r="M1867">
        <f>COUNTIF(H1867:$H$2581,H1867)</f>
        <v>10</v>
      </c>
    </row>
    <row r="1868" spans="1:13" x14ac:dyDescent="0.2">
      <c r="A1868">
        <v>2492</v>
      </c>
      <c r="B1868" t="s">
        <v>249</v>
      </c>
      <c r="C1868" t="s">
        <v>250</v>
      </c>
      <c r="D1868" t="s">
        <v>13</v>
      </c>
      <c r="E1868" t="s">
        <v>251</v>
      </c>
      <c r="F1868" t="s">
        <v>252</v>
      </c>
      <c r="G1868" t="s">
        <v>253</v>
      </c>
      <c r="H1868" t="s">
        <v>5681</v>
      </c>
      <c r="I1868" t="b">
        <v>0</v>
      </c>
      <c r="J1868">
        <v>290</v>
      </c>
      <c r="K1868">
        <v>2493</v>
      </c>
      <c r="L1868">
        <v>710</v>
      </c>
      <c r="M1868">
        <f>COUNTIF(H1868:$H$2581,H1868)</f>
        <v>9</v>
      </c>
    </row>
    <row r="1869" spans="1:13" x14ac:dyDescent="0.2">
      <c r="A1869">
        <v>2086</v>
      </c>
      <c r="B1869" t="s">
        <v>255</v>
      </c>
      <c r="C1869" t="s">
        <v>256</v>
      </c>
      <c r="D1869" t="s">
        <v>13</v>
      </c>
      <c r="E1869" t="s">
        <v>257</v>
      </c>
      <c r="F1869" t="s">
        <v>258</v>
      </c>
      <c r="G1869" t="s">
        <v>259</v>
      </c>
      <c r="H1869" t="s">
        <v>5681</v>
      </c>
      <c r="I1869" t="s">
        <v>24</v>
      </c>
      <c r="J1869">
        <v>242</v>
      </c>
      <c r="K1869">
        <v>2087</v>
      </c>
      <c r="L1869">
        <v>631</v>
      </c>
      <c r="M1869">
        <f>COUNTIF(H1869:$H$2581,H1869)</f>
        <v>8</v>
      </c>
    </row>
    <row r="1870" spans="1:13" x14ac:dyDescent="0.2">
      <c r="A1870">
        <v>2135</v>
      </c>
      <c r="B1870" t="s">
        <v>147</v>
      </c>
      <c r="C1870" t="s">
        <v>261</v>
      </c>
      <c r="D1870" t="s">
        <v>54</v>
      </c>
      <c r="E1870" t="s">
        <v>262</v>
      </c>
      <c r="F1870" t="s">
        <v>150</v>
      </c>
      <c r="G1870" t="s">
        <v>263</v>
      </c>
      <c r="H1870" t="s">
        <v>5681</v>
      </c>
      <c r="I1870" t="b">
        <v>1</v>
      </c>
      <c r="J1870">
        <v>248</v>
      </c>
      <c r="K1870">
        <v>2136</v>
      </c>
      <c r="L1870">
        <v>642</v>
      </c>
      <c r="M1870">
        <f>COUNTIF(H1870:$H$2581,H1870)</f>
        <v>7</v>
      </c>
    </row>
    <row r="1871" spans="1:13" x14ac:dyDescent="0.2">
      <c r="A1871">
        <v>1218</v>
      </c>
      <c r="B1871" t="s">
        <v>265</v>
      </c>
      <c r="C1871" t="s">
        <v>266</v>
      </c>
      <c r="D1871" t="s">
        <v>54</v>
      </c>
      <c r="E1871" t="s">
        <v>267</v>
      </c>
      <c r="F1871" t="s">
        <v>268</v>
      </c>
      <c r="G1871" t="s">
        <v>269</v>
      </c>
      <c r="H1871" t="s">
        <v>5681</v>
      </c>
      <c r="I1871" t="s">
        <v>24</v>
      </c>
      <c r="J1871">
        <v>149</v>
      </c>
      <c r="K1871">
        <v>1219</v>
      </c>
      <c r="L1871">
        <v>417</v>
      </c>
      <c r="M1871">
        <f>COUNTIF(H1871:$H$2581,H1871)</f>
        <v>6</v>
      </c>
    </row>
    <row r="1872" spans="1:13" x14ac:dyDescent="0.2">
      <c r="A1872">
        <v>912</v>
      </c>
      <c r="B1872" t="s">
        <v>271</v>
      </c>
      <c r="C1872" t="s">
        <v>272</v>
      </c>
      <c r="D1872" t="s">
        <v>54</v>
      </c>
      <c r="E1872" t="s">
        <v>273</v>
      </c>
      <c r="F1872" t="s">
        <v>274</v>
      </c>
      <c r="G1872" t="s">
        <v>275</v>
      </c>
      <c r="H1872" t="s">
        <v>5681</v>
      </c>
      <c r="I1872" t="s">
        <v>24</v>
      </c>
      <c r="J1872">
        <v>121</v>
      </c>
      <c r="K1872">
        <v>913</v>
      </c>
      <c r="L1872">
        <v>343</v>
      </c>
      <c r="M1872">
        <f>COUNTIF(H1872:$H$2581,H1872)</f>
        <v>5</v>
      </c>
    </row>
    <row r="1873" spans="1:13" x14ac:dyDescent="0.2">
      <c r="A1873">
        <v>0</v>
      </c>
      <c r="B1873" t="s">
        <v>297</v>
      </c>
      <c r="C1873" t="s">
        <v>298</v>
      </c>
      <c r="D1873" t="s">
        <v>54</v>
      </c>
      <c r="E1873" t="s">
        <v>299</v>
      </c>
      <c r="F1873" t="s">
        <v>300</v>
      </c>
      <c r="G1873" t="s">
        <v>301</v>
      </c>
      <c r="H1873" t="s">
        <v>5681</v>
      </c>
      <c r="I1873" t="s">
        <v>24</v>
      </c>
      <c r="J1873">
        <v>1</v>
      </c>
      <c r="K1873">
        <v>1</v>
      </c>
      <c r="L1873">
        <v>1</v>
      </c>
      <c r="M1873">
        <f>COUNTIF(H1873:$H$2581,H1873)</f>
        <v>4</v>
      </c>
    </row>
    <row r="1874" spans="1:13" x14ac:dyDescent="0.2">
      <c r="A1874">
        <v>427</v>
      </c>
      <c r="B1874" t="s">
        <v>399</v>
      </c>
      <c r="C1874" t="s">
        <v>400</v>
      </c>
      <c r="D1874" t="s">
        <v>33</v>
      </c>
      <c r="E1874" t="s">
        <v>401</v>
      </c>
      <c r="F1874" t="s">
        <v>402</v>
      </c>
      <c r="G1874" t="s">
        <v>403</v>
      </c>
      <c r="H1874" t="s">
        <v>5681</v>
      </c>
      <c r="I1874" t="b">
        <v>0</v>
      </c>
      <c r="J1874">
        <v>63</v>
      </c>
      <c r="K1874">
        <v>428</v>
      </c>
      <c r="L1874">
        <v>189</v>
      </c>
      <c r="M1874">
        <f>COUNTIF(H1874:$H$2581,H1874)</f>
        <v>3</v>
      </c>
    </row>
    <row r="1875" spans="1:13" x14ac:dyDescent="0.2">
      <c r="A1875">
        <v>634</v>
      </c>
      <c r="B1875" t="s">
        <v>237</v>
      </c>
      <c r="C1875" t="s">
        <v>416</v>
      </c>
      <c r="D1875" t="s">
        <v>54</v>
      </c>
      <c r="E1875" t="s">
        <v>417</v>
      </c>
      <c r="F1875" t="s">
        <v>240</v>
      </c>
      <c r="G1875" t="s">
        <v>418</v>
      </c>
      <c r="H1875" t="s">
        <v>5681</v>
      </c>
      <c r="I1875" t="b">
        <v>1</v>
      </c>
      <c r="J1875">
        <v>92</v>
      </c>
      <c r="K1875">
        <v>635</v>
      </c>
      <c r="L1875">
        <v>278</v>
      </c>
      <c r="M1875">
        <f>COUNTIF(H1875:$H$2581,H1875)</f>
        <v>2</v>
      </c>
    </row>
    <row r="1876" spans="1:13" x14ac:dyDescent="0.2">
      <c r="A1876">
        <v>193</v>
      </c>
      <c r="B1876" t="s">
        <v>83</v>
      </c>
      <c r="C1876" t="s">
        <v>420</v>
      </c>
      <c r="D1876" t="s">
        <v>54</v>
      </c>
      <c r="E1876" t="s">
        <v>421</v>
      </c>
      <c r="F1876" t="s">
        <v>86</v>
      </c>
      <c r="G1876" t="s">
        <v>422</v>
      </c>
      <c r="H1876" t="s">
        <v>5681</v>
      </c>
      <c r="I1876" t="b">
        <v>0</v>
      </c>
      <c r="J1876">
        <v>35</v>
      </c>
      <c r="K1876">
        <v>194</v>
      </c>
      <c r="L1876">
        <v>90</v>
      </c>
      <c r="M1876">
        <f>COUNTIF(H1876:$H$2581,H1876)</f>
        <v>1</v>
      </c>
    </row>
    <row r="1877" spans="1:13" x14ac:dyDescent="0.2">
      <c r="A1877">
        <v>1</v>
      </c>
      <c r="B1877" t="s">
        <v>449</v>
      </c>
      <c r="C1877" t="s">
        <v>450</v>
      </c>
      <c r="D1877" t="s">
        <v>13</v>
      </c>
      <c r="E1877" t="s">
        <v>451</v>
      </c>
      <c r="F1877" t="s">
        <v>452</v>
      </c>
      <c r="G1877" t="s">
        <v>453</v>
      </c>
      <c r="H1877" t="s">
        <v>5831</v>
      </c>
      <c r="I1877" t="s">
        <v>24</v>
      </c>
      <c r="J1877">
        <v>2</v>
      </c>
      <c r="K1877">
        <v>2</v>
      </c>
      <c r="L1877">
        <v>2</v>
      </c>
      <c r="M1877">
        <f>COUNTIF(H1877:$H$2581,H1877)</f>
        <v>1</v>
      </c>
    </row>
    <row r="1878" spans="1:13" x14ac:dyDescent="0.2">
      <c r="A1878">
        <v>334</v>
      </c>
      <c r="B1878" t="s">
        <v>455</v>
      </c>
      <c r="C1878" t="s">
        <v>456</v>
      </c>
      <c r="D1878" t="s">
        <v>13</v>
      </c>
      <c r="E1878" t="s">
        <v>457</v>
      </c>
      <c r="F1878" t="s">
        <v>458</v>
      </c>
      <c r="G1878" t="s">
        <v>459</v>
      </c>
      <c r="H1878" t="s">
        <v>5838</v>
      </c>
      <c r="I1878" t="b">
        <v>0</v>
      </c>
      <c r="J1878">
        <v>49</v>
      </c>
      <c r="K1878">
        <v>335</v>
      </c>
      <c r="L1878">
        <v>155</v>
      </c>
      <c r="M1878">
        <f>COUNTIF(H1878:$H$2581,H1878)</f>
        <v>1</v>
      </c>
    </row>
    <row r="1879" spans="1:13" x14ac:dyDescent="0.2">
      <c r="A1879">
        <v>510</v>
      </c>
      <c r="B1879" t="s">
        <v>486</v>
      </c>
      <c r="C1879" t="s">
        <v>487</v>
      </c>
      <c r="D1879" t="s">
        <v>33</v>
      </c>
      <c r="E1879" t="s">
        <v>488</v>
      </c>
      <c r="F1879" t="s">
        <v>489</v>
      </c>
      <c r="G1879" t="s">
        <v>490</v>
      </c>
      <c r="H1879" t="s">
        <v>5853</v>
      </c>
      <c r="I1879" t="b">
        <v>0</v>
      </c>
      <c r="J1879">
        <v>74</v>
      </c>
      <c r="K1879">
        <v>511</v>
      </c>
      <c r="L1879">
        <v>226</v>
      </c>
      <c r="M1879">
        <f>COUNTIF(H1879:$H$2581,H1879)</f>
        <v>45</v>
      </c>
    </row>
    <row r="1880" spans="1:13" x14ac:dyDescent="0.2">
      <c r="A1880">
        <v>803</v>
      </c>
      <c r="B1880" t="s">
        <v>492</v>
      </c>
      <c r="C1880" t="s">
        <v>493</v>
      </c>
      <c r="D1880" t="s">
        <v>13</v>
      </c>
      <c r="E1880" t="s">
        <v>494</v>
      </c>
      <c r="F1880" t="s">
        <v>495</v>
      </c>
      <c r="G1880" t="s">
        <v>496</v>
      </c>
      <c r="H1880" t="s">
        <v>5853</v>
      </c>
      <c r="I1880" t="b">
        <v>0</v>
      </c>
      <c r="J1880">
        <v>113</v>
      </c>
      <c r="K1880">
        <v>804</v>
      </c>
      <c r="L1880">
        <v>314</v>
      </c>
      <c r="M1880">
        <f>COUNTIF(H1880:$H$2581,H1880)</f>
        <v>44</v>
      </c>
    </row>
    <row r="1881" spans="1:13" x14ac:dyDescent="0.2">
      <c r="A1881">
        <v>927</v>
      </c>
      <c r="B1881" t="s">
        <v>498</v>
      </c>
      <c r="C1881" t="s">
        <v>499</v>
      </c>
      <c r="D1881" t="s">
        <v>33</v>
      </c>
      <c r="E1881" t="s">
        <v>500</v>
      </c>
      <c r="F1881" t="s">
        <v>501</v>
      </c>
      <c r="G1881" t="s">
        <v>502</v>
      </c>
      <c r="H1881" t="s">
        <v>5853</v>
      </c>
      <c r="I1881" t="b">
        <v>0</v>
      </c>
      <c r="J1881">
        <v>122</v>
      </c>
      <c r="K1881">
        <v>928</v>
      </c>
      <c r="L1881">
        <v>346</v>
      </c>
      <c r="M1881">
        <f>COUNTIF(H1881:$H$2581,H1881)</f>
        <v>43</v>
      </c>
    </row>
    <row r="1882" spans="1:13" x14ac:dyDescent="0.2">
      <c r="A1882">
        <v>520</v>
      </c>
      <c r="B1882" t="s">
        <v>509</v>
      </c>
      <c r="C1882" t="s">
        <v>510</v>
      </c>
      <c r="D1882" t="s">
        <v>13</v>
      </c>
      <c r="E1882" t="s">
        <v>511</v>
      </c>
      <c r="F1882" t="s">
        <v>512</v>
      </c>
      <c r="G1882" t="s">
        <v>513</v>
      </c>
      <c r="H1882" t="s">
        <v>5853</v>
      </c>
      <c r="I1882" t="b">
        <v>0</v>
      </c>
      <c r="J1882">
        <v>76</v>
      </c>
      <c r="K1882">
        <v>521</v>
      </c>
      <c r="L1882">
        <v>231</v>
      </c>
      <c r="M1882">
        <f>COUNTIF(H1882:$H$2581,H1882)</f>
        <v>42</v>
      </c>
    </row>
    <row r="1883" spans="1:13" x14ac:dyDescent="0.2">
      <c r="A1883">
        <v>804</v>
      </c>
      <c r="B1883" t="s">
        <v>492</v>
      </c>
      <c r="C1883" t="s">
        <v>515</v>
      </c>
      <c r="D1883" t="s">
        <v>54</v>
      </c>
      <c r="E1883" t="s">
        <v>516</v>
      </c>
      <c r="F1883" t="s">
        <v>495</v>
      </c>
      <c r="G1883" t="s">
        <v>517</v>
      </c>
      <c r="H1883" t="s">
        <v>5853</v>
      </c>
      <c r="I1883" t="b">
        <v>0</v>
      </c>
      <c r="J1883">
        <v>113</v>
      </c>
      <c r="K1883">
        <v>805</v>
      </c>
      <c r="L1883">
        <v>315</v>
      </c>
      <c r="M1883">
        <f>COUNTIF(H1883:$H$2581,H1883)</f>
        <v>41</v>
      </c>
    </row>
    <row r="1884" spans="1:13" x14ac:dyDescent="0.2">
      <c r="A1884">
        <v>1586</v>
      </c>
      <c r="B1884" t="s">
        <v>211</v>
      </c>
      <c r="C1884" t="s">
        <v>524</v>
      </c>
      <c r="D1884" t="s">
        <v>54</v>
      </c>
      <c r="E1884" t="s">
        <v>525</v>
      </c>
      <c r="F1884" t="s">
        <v>214</v>
      </c>
      <c r="G1884" t="s">
        <v>526</v>
      </c>
      <c r="H1884" t="s">
        <v>5853</v>
      </c>
      <c r="I1884" t="s">
        <v>24</v>
      </c>
      <c r="J1884">
        <v>195</v>
      </c>
      <c r="K1884">
        <v>1587</v>
      </c>
      <c r="L1884">
        <v>529</v>
      </c>
      <c r="M1884">
        <f>COUNTIF(H1884:$H$2581,H1884)</f>
        <v>40</v>
      </c>
    </row>
    <row r="1885" spans="1:13" x14ac:dyDescent="0.2">
      <c r="A1885">
        <v>61</v>
      </c>
      <c r="B1885" t="s">
        <v>25</v>
      </c>
      <c r="C1885" t="s">
        <v>528</v>
      </c>
      <c r="D1885" t="s">
        <v>13</v>
      </c>
      <c r="E1885" t="s">
        <v>529</v>
      </c>
      <c r="F1885" t="s">
        <v>28</v>
      </c>
      <c r="G1885" t="s">
        <v>530</v>
      </c>
      <c r="H1885" t="s">
        <v>5853</v>
      </c>
      <c r="I1885" t="b">
        <v>1</v>
      </c>
      <c r="J1885">
        <v>11</v>
      </c>
      <c r="K1885">
        <v>62</v>
      </c>
      <c r="L1885">
        <v>46</v>
      </c>
      <c r="M1885">
        <f>COUNTIF(H1885:$H$2581,H1885)</f>
        <v>39</v>
      </c>
    </row>
    <row r="1886" spans="1:13" x14ac:dyDescent="0.2">
      <c r="A1886">
        <v>1968</v>
      </c>
      <c r="B1886" t="s">
        <v>608</v>
      </c>
      <c r="C1886" t="s">
        <v>609</v>
      </c>
      <c r="D1886" t="s">
        <v>13</v>
      </c>
      <c r="E1886" t="s">
        <v>610</v>
      </c>
      <c r="F1886" t="s">
        <v>611</v>
      </c>
      <c r="G1886" t="s">
        <v>612</v>
      </c>
      <c r="H1886" t="s">
        <v>5853</v>
      </c>
      <c r="I1886" t="b">
        <v>1</v>
      </c>
      <c r="J1886">
        <v>227</v>
      </c>
      <c r="K1886">
        <v>1969</v>
      </c>
      <c r="L1886">
        <v>321</v>
      </c>
      <c r="M1886">
        <f>COUNTIF(H1886:$H$2581,H1886)</f>
        <v>38</v>
      </c>
    </row>
    <row r="1887" spans="1:13" x14ac:dyDescent="0.2">
      <c r="A1887">
        <v>576</v>
      </c>
      <c r="B1887" t="s">
        <v>613</v>
      </c>
      <c r="C1887" t="s">
        <v>614</v>
      </c>
      <c r="D1887" t="s">
        <v>33</v>
      </c>
      <c r="E1887" t="s">
        <v>615</v>
      </c>
      <c r="F1887" t="s">
        <v>616</v>
      </c>
      <c r="G1887" t="s">
        <v>617</v>
      </c>
      <c r="H1887" t="s">
        <v>5853</v>
      </c>
      <c r="I1887" t="b">
        <v>0</v>
      </c>
      <c r="J1887">
        <v>85</v>
      </c>
      <c r="K1887">
        <v>577</v>
      </c>
      <c r="L1887">
        <v>255</v>
      </c>
      <c r="M1887">
        <f>COUNTIF(H1887:$H$2581,H1887)</f>
        <v>37</v>
      </c>
    </row>
    <row r="1888" spans="1:13" x14ac:dyDescent="0.2">
      <c r="A1888">
        <v>1879</v>
      </c>
      <c r="B1888" t="s">
        <v>619</v>
      </c>
      <c r="C1888" t="s">
        <v>620</v>
      </c>
      <c r="D1888" t="s">
        <v>54</v>
      </c>
      <c r="E1888" t="s">
        <v>621</v>
      </c>
      <c r="F1888" t="s">
        <v>622</v>
      </c>
      <c r="G1888" t="s">
        <v>623</v>
      </c>
      <c r="H1888" t="s">
        <v>5853</v>
      </c>
      <c r="I1888" t="b">
        <v>1</v>
      </c>
      <c r="J1888">
        <v>219</v>
      </c>
      <c r="K1888">
        <v>1880</v>
      </c>
      <c r="L1888">
        <v>593</v>
      </c>
      <c r="M1888">
        <f>COUNTIF(H1888:$H$2581,H1888)</f>
        <v>36</v>
      </c>
    </row>
    <row r="1889" spans="1:13" x14ac:dyDescent="0.2">
      <c r="A1889">
        <v>2554</v>
      </c>
      <c r="B1889" t="s">
        <v>636</v>
      </c>
      <c r="C1889" t="s">
        <v>637</v>
      </c>
      <c r="D1889" t="s">
        <v>33</v>
      </c>
      <c r="E1889" t="s">
        <v>638</v>
      </c>
      <c r="F1889" t="s">
        <v>639</v>
      </c>
      <c r="G1889" t="s">
        <v>640</v>
      </c>
      <c r="H1889" t="s">
        <v>5853</v>
      </c>
      <c r="I1889" t="b">
        <v>0</v>
      </c>
      <c r="J1889">
        <v>297</v>
      </c>
      <c r="K1889">
        <v>2555</v>
      </c>
      <c r="L1889">
        <v>383</v>
      </c>
      <c r="M1889">
        <f>COUNTIF(H1889:$H$2581,H1889)</f>
        <v>35</v>
      </c>
    </row>
    <row r="1890" spans="1:13" x14ac:dyDescent="0.2">
      <c r="A1890">
        <v>1299</v>
      </c>
      <c r="B1890" t="s">
        <v>277</v>
      </c>
      <c r="C1890" t="s">
        <v>641</v>
      </c>
      <c r="D1890" t="s">
        <v>54</v>
      </c>
      <c r="E1890" t="s">
        <v>642</v>
      </c>
      <c r="F1890" t="s">
        <v>280</v>
      </c>
      <c r="G1890" t="s">
        <v>643</v>
      </c>
      <c r="H1890" t="s">
        <v>5853</v>
      </c>
      <c r="I1890" t="s">
        <v>24</v>
      </c>
      <c r="J1890">
        <v>160</v>
      </c>
      <c r="K1890">
        <v>1300</v>
      </c>
      <c r="L1890">
        <v>444</v>
      </c>
      <c r="M1890">
        <f>COUNTIF(H1890:$H$2581,H1890)</f>
        <v>34</v>
      </c>
    </row>
    <row r="1891" spans="1:13" x14ac:dyDescent="0.2">
      <c r="A1891">
        <v>1300</v>
      </c>
      <c r="B1891" t="s">
        <v>277</v>
      </c>
      <c r="C1891" t="s">
        <v>641</v>
      </c>
      <c r="D1891" t="s">
        <v>54</v>
      </c>
      <c r="E1891" t="s">
        <v>645</v>
      </c>
      <c r="F1891" t="s">
        <v>280</v>
      </c>
      <c r="G1891" t="s">
        <v>646</v>
      </c>
      <c r="H1891" t="s">
        <v>5853</v>
      </c>
      <c r="I1891" t="s">
        <v>24</v>
      </c>
      <c r="J1891">
        <v>160</v>
      </c>
      <c r="K1891">
        <v>1301</v>
      </c>
      <c r="L1891">
        <v>445</v>
      </c>
      <c r="M1891">
        <f>COUNTIF(H1891:$H$2581,H1891)</f>
        <v>33</v>
      </c>
    </row>
    <row r="1892" spans="1:13" x14ac:dyDescent="0.2">
      <c r="A1892">
        <v>1816</v>
      </c>
      <c r="B1892" t="s">
        <v>654</v>
      </c>
      <c r="C1892" t="s">
        <v>649</v>
      </c>
      <c r="D1892" t="s">
        <v>54</v>
      </c>
      <c r="E1892" t="s">
        <v>655</v>
      </c>
      <c r="F1892" t="s">
        <v>656</v>
      </c>
      <c r="G1892" t="s">
        <v>652</v>
      </c>
      <c r="H1892" t="s">
        <v>5853</v>
      </c>
      <c r="I1892" t="b">
        <v>1</v>
      </c>
      <c r="J1892">
        <v>211</v>
      </c>
      <c r="K1892">
        <v>1817</v>
      </c>
      <c r="L1892">
        <v>76</v>
      </c>
      <c r="M1892">
        <f>COUNTIF(H1892:$H$2581,H1892)</f>
        <v>32</v>
      </c>
    </row>
    <row r="1893" spans="1:13" x14ac:dyDescent="0.2">
      <c r="A1893">
        <v>533</v>
      </c>
      <c r="B1893" t="s">
        <v>188</v>
      </c>
      <c r="C1893" t="s">
        <v>657</v>
      </c>
      <c r="D1893" t="s">
        <v>54</v>
      </c>
      <c r="E1893" t="s">
        <v>658</v>
      </c>
      <c r="F1893" t="s">
        <v>191</v>
      </c>
      <c r="G1893" t="s">
        <v>659</v>
      </c>
      <c r="H1893" t="s">
        <v>5853</v>
      </c>
      <c r="I1893" t="b">
        <v>0</v>
      </c>
      <c r="J1893">
        <v>80</v>
      </c>
      <c r="K1893">
        <v>534</v>
      </c>
      <c r="L1893">
        <v>237</v>
      </c>
      <c r="M1893">
        <f>COUNTIF(H1893:$H$2581,H1893)</f>
        <v>31</v>
      </c>
    </row>
    <row r="1894" spans="1:13" x14ac:dyDescent="0.2">
      <c r="A1894">
        <v>928</v>
      </c>
      <c r="B1894" t="s">
        <v>498</v>
      </c>
      <c r="C1894" t="s">
        <v>661</v>
      </c>
      <c r="D1894" t="s">
        <v>54</v>
      </c>
      <c r="E1894" t="s">
        <v>662</v>
      </c>
      <c r="F1894" t="s">
        <v>501</v>
      </c>
      <c r="G1894" t="s">
        <v>663</v>
      </c>
      <c r="H1894" t="s">
        <v>5853</v>
      </c>
      <c r="I1894" t="b">
        <v>0</v>
      </c>
      <c r="J1894">
        <v>122</v>
      </c>
      <c r="K1894">
        <v>929</v>
      </c>
      <c r="L1894">
        <v>347</v>
      </c>
      <c r="M1894">
        <f>COUNTIF(H1894:$H$2581,H1894)</f>
        <v>30</v>
      </c>
    </row>
    <row r="1895" spans="1:13" x14ac:dyDescent="0.2">
      <c r="A1895">
        <v>529</v>
      </c>
      <c r="B1895" t="s">
        <v>665</v>
      </c>
      <c r="C1895" t="s">
        <v>666</v>
      </c>
      <c r="D1895" t="s">
        <v>33</v>
      </c>
      <c r="E1895" t="s">
        <v>667</v>
      </c>
      <c r="F1895" t="s">
        <v>668</v>
      </c>
      <c r="G1895" t="s">
        <v>669</v>
      </c>
      <c r="H1895" t="s">
        <v>5853</v>
      </c>
      <c r="I1895" t="b">
        <v>0</v>
      </c>
      <c r="J1895">
        <v>78</v>
      </c>
      <c r="K1895">
        <v>530</v>
      </c>
      <c r="L1895">
        <v>235</v>
      </c>
      <c r="M1895">
        <f>COUNTIF(H1895:$H$2581,H1895)</f>
        <v>29</v>
      </c>
    </row>
    <row r="1896" spans="1:13" x14ac:dyDescent="0.2">
      <c r="A1896">
        <v>2030</v>
      </c>
      <c r="B1896" t="s">
        <v>134</v>
      </c>
      <c r="C1896" t="s">
        <v>671</v>
      </c>
      <c r="D1896" t="s">
        <v>13</v>
      </c>
      <c r="E1896" t="s">
        <v>672</v>
      </c>
      <c r="F1896" t="s">
        <v>137</v>
      </c>
      <c r="G1896" t="s">
        <v>673</v>
      </c>
      <c r="H1896" t="s">
        <v>5853</v>
      </c>
      <c r="I1896" t="s">
        <v>24</v>
      </c>
      <c r="J1896">
        <v>235</v>
      </c>
      <c r="K1896">
        <v>2031</v>
      </c>
      <c r="L1896">
        <v>618</v>
      </c>
      <c r="M1896">
        <f>COUNTIF(H1896:$H$2581,H1896)</f>
        <v>28</v>
      </c>
    </row>
    <row r="1897" spans="1:13" x14ac:dyDescent="0.2">
      <c r="A1897">
        <v>1386</v>
      </c>
      <c r="B1897" t="s">
        <v>681</v>
      </c>
      <c r="C1897" t="s">
        <v>682</v>
      </c>
      <c r="D1897" t="s">
        <v>33</v>
      </c>
      <c r="E1897" t="s">
        <v>683</v>
      </c>
      <c r="F1897" t="s">
        <v>684</v>
      </c>
      <c r="G1897" t="s">
        <v>685</v>
      </c>
      <c r="H1897" t="s">
        <v>5853</v>
      </c>
      <c r="I1897" t="b">
        <v>0</v>
      </c>
      <c r="J1897">
        <v>167</v>
      </c>
      <c r="K1897">
        <v>1387</v>
      </c>
      <c r="L1897">
        <v>244</v>
      </c>
      <c r="M1897">
        <f>COUNTIF(H1897:$H$2581,H1897)</f>
        <v>27</v>
      </c>
    </row>
    <row r="1898" spans="1:13" x14ac:dyDescent="0.2">
      <c r="A1898">
        <v>1917</v>
      </c>
      <c r="B1898" t="s">
        <v>439</v>
      </c>
      <c r="C1898" t="s">
        <v>696</v>
      </c>
      <c r="D1898" t="s">
        <v>33</v>
      </c>
      <c r="E1898" t="s">
        <v>697</v>
      </c>
      <c r="F1898" t="s">
        <v>442</v>
      </c>
      <c r="G1898" t="s">
        <v>698</v>
      </c>
      <c r="H1898" t="s">
        <v>5853</v>
      </c>
      <c r="I1898" t="b">
        <v>0</v>
      </c>
      <c r="J1898">
        <v>224</v>
      </c>
      <c r="K1898">
        <v>1918</v>
      </c>
      <c r="L1898">
        <v>190</v>
      </c>
      <c r="M1898">
        <f>COUNTIF(H1898:$H$2581,H1898)</f>
        <v>26</v>
      </c>
    </row>
    <row r="1899" spans="1:13" x14ac:dyDescent="0.2">
      <c r="A1899">
        <v>2153</v>
      </c>
      <c r="B1899" t="s">
        <v>160</v>
      </c>
      <c r="C1899" t="s">
        <v>699</v>
      </c>
      <c r="D1899" t="s">
        <v>54</v>
      </c>
      <c r="E1899" t="s">
        <v>700</v>
      </c>
      <c r="F1899" t="s">
        <v>163</v>
      </c>
      <c r="G1899" t="s">
        <v>701</v>
      </c>
      <c r="H1899" t="s">
        <v>5853</v>
      </c>
      <c r="I1899" t="b">
        <v>0</v>
      </c>
      <c r="J1899">
        <v>251</v>
      </c>
      <c r="K1899">
        <v>2154</v>
      </c>
      <c r="L1899">
        <v>643</v>
      </c>
      <c r="M1899">
        <f>COUNTIF(H1899:$H$2581,H1899)</f>
        <v>25</v>
      </c>
    </row>
    <row r="1900" spans="1:13" x14ac:dyDescent="0.2">
      <c r="A1900">
        <v>2305</v>
      </c>
      <c r="B1900" t="s">
        <v>703</v>
      </c>
      <c r="C1900" t="s">
        <v>704</v>
      </c>
      <c r="D1900" t="s">
        <v>54</v>
      </c>
      <c r="E1900" t="s">
        <v>705</v>
      </c>
      <c r="F1900" t="s">
        <v>706</v>
      </c>
      <c r="G1900" t="s">
        <v>707</v>
      </c>
      <c r="H1900" t="s">
        <v>5853</v>
      </c>
      <c r="I1900" t="s">
        <v>24</v>
      </c>
      <c r="J1900">
        <v>271</v>
      </c>
      <c r="K1900">
        <v>2306</v>
      </c>
      <c r="L1900">
        <v>675</v>
      </c>
      <c r="M1900">
        <f>COUNTIF(H1900:$H$2581,H1900)</f>
        <v>24</v>
      </c>
    </row>
    <row r="1901" spans="1:13" x14ac:dyDescent="0.2">
      <c r="A1901">
        <v>1699</v>
      </c>
      <c r="B1901" t="s">
        <v>725</v>
      </c>
      <c r="C1901" t="s">
        <v>726</v>
      </c>
      <c r="D1901" t="s">
        <v>13</v>
      </c>
      <c r="E1901" t="s">
        <v>727</v>
      </c>
      <c r="F1901" t="s">
        <v>728</v>
      </c>
      <c r="G1901" t="s">
        <v>729</v>
      </c>
      <c r="H1901" t="s">
        <v>5853</v>
      </c>
      <c r="I1901" t="b">
        <v>1</v>
      </c>
      <c r="J1901">
        <v>205</v>
      </c>
      <c r="K1901">
        <v>1700</v>
      </c>
      <c r="L1901">
        <v>430</v>
      </c>
      <c r="M1901">
        <f>COUNTIF(H1901:$H$2581,H1901)</f>
        <v>23</v>
      </c>
    </row>
    <row r="1902" spans="1:13" x14ac:dyDescent="0.2">
      <c r="A1902">
        <v>2530</v>
      </c>
      <c r="B1902" t="s">
        <v>754</v>
      </c>
      <c r="C1902" t="s">
        <v>755</v>
      </c>
      <c r="D1902" t="s">
        <v>33</v>
      </c>
      <c r="E1902" t="s">
        <v>756</v>
      </c>
      <c r="F1902" t="s">
        <v>757</v>
      </c>
      <c r="G1902" t="s">
        <v>758</v>
      </c>
      <c r="H1902" t="s">
        <v>5853</v>
      </c>
      <c r="I1902" t="b">
        <v>0</v>
      </c>
      <c r="J1902">
        <v>294</v>
      </c>
      <c r="K1902">
        <v>2531</v>
      </c>
      <c r="L1902">
        <v>293</v>
      </c>
      <c r="M1902">
        <f>COUNTIF(H1902:$H$2581,H1902)</f>
        <v>22</v>
      </c>
    </row>
    <row r="1903" spans="1:13" x14ac:dyDescent="0.2">
      <c r="A1903">
        <v>1435</v>
      </c>
      <c r="B1903" t="s">
        <v>763</v>
      </c>
      <c r="C1903" t="s">
        <v>764</v>
      </c>
      <c r="D1903" t="s">
        <v>54</v>
      </c>
      <c r="E1903" t="s">
        <v>765</v>
      </c>
      <c r="F1903" t="s">
        <v>766</v>
      </c>
      <c r="G1903" t="s">
        <v>767</v>
      </c>
      <c r="H1903" t="s">
        <v>5853</v>
      </c>
      <c r="I1903" t="b">
        <v>1</v>
      </c>
      <c r="J1903">
        <v>174</v>
      </c>
      <c r="K1903">
        <v>1436</v>
      </c>
      <c r="L1903">
        <v>92</v>
      </c>
      <c r="M1903">
        <f>COUNTIF(H1903:$H$2581,H1903)</f>
        <v>21</v>
      </c>
    </row>
    <row r="1904" spans="1:13" x14ac:dyDescent="0.2">
      <c r="A1904">
        <v>1208</v>
      </c>
      <c r="B1904" t="s">
        <v>768</v>
      </c>
      <c r="C1904" t="s">
        <v>769</v>
      </c>
      <c r="D1904" t="s">
        <v>54</v>
      </c>
      <c r="E1904" t="s">
        <v>770</v>
      </c>
      <c r="F1904" t="s">
        <v>771</v>
      </c>
      <c r="G1904" t="s">
        <v>772</v>
      </c>
      <c r="H1904" t="s">
        <v>5853</v>
      </c>
      <c r="I1904" t="s">
        <v>24</v>
      </c>
      <c r="J1904">
        <v>148</v>
      </c>
      <c r="K1904">
        <v>1209</v>
      </c>
      <c r="L1904">
        <v>409</v>
      </c>
      <c r="M1904">
        <f>COUNTIF(H1904:$H$2581,H1904)</f>
        <v>20</v>
      </c>
    </row>
    <row r="1905" spans="1:13" x14ac:dyDescent="0.2">
      <c r="A1905">
        <v>793</v>
      </c>
      <c r="B1905" t="s">
        <v>116</v>
      </c>
      <c r="C1905" t="s">
        <v>774</v>
      </c>
      <c r="D1905" t="s">
        <v>54</v>
      </c>
      <c r="E1905" t="s">
        <v>775</v>
      </c>
      <c r="F1905" t="s">
        <v>119</v>
      </c>
      <c r="G1905" t="s">
        <v>776</v>
      </c>
      <c r="H1905" t="s">
        <v>5853</v>
      </c>
      <c r="I1905" t="s">
        <v>24</v>
      </c>
      <c r="J1905">
        <v>112</v>
      </c>
      <c r="K1905">
        <v>794</v>
      </c>
      <c r="L1905">
        <v>312</v>
      </c>
      <c r="M1905">
        <f>COUNTIF(H1905:$H$2581,H1905)</f>
        <v>19</v>
      </c>
    </row>
    <row r="1906" spans="1:13" x14ac:dyDescent="0.2">
      <c r="A1906">
        <v>434</v>
      </c>
      <c r="B1906" t="s">
        <v>778</v>
      </c>
      <c r="C1906" t="s">
        <v>779</v>
      </c>
      <c r="D1906" t="s">
        <v>54</v>
      </c>
      <c r="E1906" t="s">
        <v>780</v>
      </c>
      <c r="F1906" t="s">
        <v>781</v>
      </c>
      <c r="G1906" t="s">
        <v>782</v>
      </c>
      <c r="H1906" t="s">
        <v>5853</v>
      </c>
      <c r="I1906" t="b">
        <v>0</v>
      </c>
      <c r="J1906">
        <v>64</v>
      </c>
      <c r="K1906">
        <v>435</v>
      </c>
      <c r="L1906">
        <v>195</v>
      </c>
      <c r="M1906">
        <f>COUNTIF(H1906:$H$2581,H1906)</f>
        <v>18</v>
      </c>
    </row>
    <row r="1907" spans="1:13" x14ac:dyDescent="0.2">
      <c r="A1907">
        <v>294</v>
      </c>
      <c r="B1907" t="s">
        <v>784</v>
      </c>
      <c r="C1907" t="s">
        <v>790</v>
      </c>
      <c r="D1907" t="s">
        <v>54</v>
      </c>
      <c r="E1907" t="s">
        <v>791</v>
      </c>
      <c r="F1907" t="s">
        <v>787</v>
      </c>
      <c r="G1907" t="s">
        <v>792</v>
      </c>
      <c r="H1907" t="s">
        <v>5853</v>
      </c>
      <c r="I1907" t="b">
        <v>0</v>
      </c>
      <c r="J1907">
        <v>45</v>
      </c>
      <c r="K1907">
        <v>295</v>
      </c>
      <c r="L1907">
        <v>131</v>
      </c>
      <c r="M1907">
        <f>COUNTIF(H1907:$H$2581,H1907)</f>
        <v>17</v>
      </c>
    </row>
    <row r="1908" spans="1:13" x14ac:dyDescent="0.2">
      <c r="A1908">
        <v>2406</v>
      </c>
      <c r="B1908" t="s">
        <v>793</v>
      </c>
      <c r="C1908" t="s">
        <v>794</v>
      </c>
      <c r="D1908" t="s">
        <v>54</v>
      </c>
      <c r="E1908" t="s">
        <v>795</v>
      </c>
      <c r="F1908" t="s">
        <v>796</v>
      </c>
      <c r="G1908" t="s">
        <v>797</v>
      </c>
      <c r="H1908" t="s">
        <v>5853</v>
      </c>
      <c r="I1908" t="s">
        <v>24</v>
      </c>
      <c r="J1908">
        <v>282</v>
      </c>
      <c r="K1908">
        <v>2407</v>
      </c>
      <c r="L1908">
        <v>700</v>
      </c>
      <c r="M1908">
        <f>COUNTIF(H1908:$H$2581,H1908)</f>
        <v>16</v>
      </c>
    </row>
    <row r="1909" spans="1:13" x14ac:dyDescent="0.2">
      <c r="A1909">
        <v>1120</v>
      </c>
      <c r="B1909" t="s">
        <v>625</v>
      </c>
      <c r="C1909" t="s">
        <v>799</v>
      </c>
      <c r="D1909" t="s">
        <v>54</v>
      </c>
      <c r="E1909" t="s">
        <v>800</v>
      </c>
      <c r="F1909" t="s">
        <v>628</v>
      </c>
      <c r="G1909" t="s">
        <v>801</v>
      </c>
      <c r="H1909" t="s">
        <v>5853</v>
      </c>
      <c r="I1909" t="b">
        <v>1</v>
      </c>
      <c r="J1909">
        <v>136</v>
      </c>
      <c r="K1909">
        <v>1121</v>
      </c>
      <c r="L1909">
        <v>384</v>
      </c>
      <c r="M1909">
        <f>COUNTIF(H1909:$H$2581,H1909)</f>
        <v>15</v>
      </c>
    </row>
    <row r="1910" spans="1:13" x14ac:dyDescent="0.2">
      <c r="A1910">
        <v>1490</v>
      </c>
      <c r="B1910" t="s">
        <v>807</v>
      </c>
      <c r="C1910" t="s">
        <v>808</v>
      </c>
      <c r="D1910" t="s">
        <v>13</v>
      </c>
      <c r="E1910" t="s">
        <v>809</v>
      </c>
      <c r="F1910" t="s">
        <v>810</v>
      </c>
      <c r="G1910" t="s">
        <v>811</v>
      </c>
      <c r="H1910" t="s">
        <v>5853</v>
      </c>
      <c r="I1910" t="b">
        <v>1</v>
      </c>
      <c r="J1910">
        <v>182</v>
      </c>
      <c r="K1910">
        <v>1491</v>
      </c>
      <c r="L1910">
        <v>355</v>
      </c>
      <c r="M1910">
        <f>COUNTIF(H1910:$H$2581,H1910)</f>
        <v>14</v>
      </c>
    </row>
    <row r="1911" spans="1:13" x14ac:dyDescent="0.2">
      <c r="A1911">
        <v>2377</v>
      </c>
      <c r="B1911" t="s">
        <v>812</v>
      </c>
      <c r="C1911" t="s">
        <v>813</v>
      </c>
      <c r="D1911" t="s">
        <v>13</v>
      </c>
      <c r="E1911" t="s">
        <v>814</v>
      </c>
      <c r="F1911" t="s">
        <v>815</v>
      </c>
      <c r="G1911" t="s">
        <v>816</v>
      </c>
      <c r="H1911" t="s">
        <v>5853</v>
      </c>
      <c r="I1911" t="b">
        <v>1</v>
      </c>
      <c r="J1911">
        <v>277</v>
      </c>
      <c r="K1911">
        <v>2378</v>
      </c>
      <c r="L1911">
        <v>693</v>
      </c>
      <c r="M1911">
        <f>COUNTIF(H1911:$H$2581,H1911)</f>
        <v>13</v>
      </c>
    </row>
    <row r="1912" spans="1:13" x14ac:dyDescent="0.2">
      <c r="A1912">
        <v>1863</v>
      </c>
      <c r="B1912" t="s">
        <v>18</v>
      </c>
      <c r="C1912" t="s">
        <v>818</v>
      </c>
      <c r="D1912" t="s">
        <v>13</v>
      </c>
      <c r="E1912" t="s">
        <v>819</v>
      </c>
      <c r="F1912" t="s">
        <v>21</v>
      </c>
      <c r="G1912" t="s">
        <v>820</v>
      </c>
      <c r="H1912" t="s">
        <v>5853</v>
      </c>
      <c r="I1912" t="s">
        <v>24</v>
      </c>
      <c r="J1912">
        <v>217</v>
      </c>
      <c r="K1912">
        <v>1864</v>
      </c>
      <c r="L1912">
        <v>588</v>
      </c>
      <c r="M1912">
        <f>COUNTIF(H1912:$H$2581,H1912)</f>
        <v>12</v>
      </c>
    </row>
    <row r="1913" spans="1:13" x14ac:dyDescent="0.2">
      <c r="A1913">
        <v>668</v>
      </c>
      <c r="B1913" t="s">
        <v>822</v>
      </c>
      <c r="C1913" t="s">
        <v>823</v>
      </c>
      <c r="D1913" t="s">
        <v>54</v>
      </c>
      <c r="E1913" t="s">
        <v>824</v>
      </c>
      <c r="F1913" t="s">
        <v>825</v>
      </c>
      <c r="G1913" t="s">
        <v>826</v>
      </c>
      <c r="H1913" t="s">
        <v>5853</v>
      </c>
      <c r="I1913" t="s">
        <v>24</v>
      </c>
      <c r="J1913">
        <v>99</v>
      </c>
      <c r="K1913">
        <v>669</v>
      </c>
      <c r="L1913">
        <v>285</v>
      </c>
      <c r="M1913">
        <f>COUNTIF(H1913:$H$2581,H1913)</f>
        <v>11</v>
      </c>
    </row>
    <row r="1914" spans="1:13" x14ac:dyDescent="0.2">
      <c r="A1914">
        <v>296</v>
      </c>
      <c r="B1914" t="s">
        <v>784</v>
      </c>
      <c r="C1914" t="s">
        <v>832</v>
      </c>
      <c r="D1914" t="s">
        <v>33</v>
      </c>
      <c r="E1914" t="s">
        <v>833</v>
      </c>
      <c r="F1914" t="s">
        <v>787</v>
      </c>
      <c r="G1914" t="s">
        <v>834</v>
      </c>
      <c r="H1914" t="s">
        <v>5853</v>
      </c>
      <c r="I1914" t="b">
        <v>0</v>
      </c>
      <c r="J1914">
        <v>45</v>
      </c>
      <c r="K1914">
        <v>297</v>
      </c>
      <c r="L1914">
        <v>132</v>
      </c>
      <c r="M1914">
        <f>COUNTIF(H1914:$H$2581,H1914)</f>
        <v>10</v>
      </c>
    </row>
    <row r="1915" spans="1:13" x14ac:dyDescent="0.2">
      <c r="A1915">
        <v>2315</v>
      </c>
      <c r="B1915" t="s">
        <v>292</v>
      </c>
      <c r="C1915" t="s">
        <v>835</v>
      </c>
      <c r="D1915" t="s">
        <v>13</v>
      </c>
      <c r="E1915" t="s">
        <v>836</v>
      </c>
      <c r="F1915" t="s">
        <v>295</v>
      </c>
      <c r="G1915" t="s">
        <v>837</v>
      </c>
      <c r="H1915" t="s">
        <v>5853</v>
      </c>
      <c r="I1915" t="b">
        <v>0</v>
      </c>
      <c r="J1915">
        <v>272</v>
      </c>
      <c r="K1915">
        <v>2316</v>
      </c>
      <c r="L1915">
        <v>678</v>
      </c>
      <c r="M1915">
        <f>COUNTIF(H1915:$H$2581,H1915)</f>
        <v>9</v>
      </c>
    </row>
    <row r="1916" spans="1:13" x14ac:dyDescent="0.2">
      <c r="A1916">
        <v>2531</v>
      </c>
      <c r="B1916" t="s">
        <v>754</v>
      </c>
      <c r="C1916" t="s">
        <v>843</v>
      </c>
      <c r="D1916" t="s">
        <v>33</v>
      </c>
      <c r="E1916" t="s">
        <v>844</v>
      </c>
      <c r="F1916" t="s">
        <v>757</v>
      </c>
      <c r="G1916" t="s">
        <v>845</v>
      </c>
      <c r="H1916" t="s">
        <v>5853</v>
      </c>
      <c r="I1916" t="b">
        <v>0</v>
      </c>
      <c r="J1916">
        <v>294</v>
      </c>
      <c r="K1916">
        <v>2532</v>
      </c>
      <c r="L1916">
        <v>654</v>
      </c>
      <c r="M1916">
        <f>COUNTIF(H1916:$H$2581,H1916)</f>
        <v>8</v>
      </c>
    </row>
    <row r="1917" spans="1:13" x14ac:dyDescent="0.2">
      <c r="A1917">
        <v>429</v>
      </c>
      <c r="B1917" t="s">
        <v>399</v>
      </c>
      <c r="C1917" t="s">
        <v>846</v>
      </c>
      <c r="D1917" t="s">
        <v>33</v>
      </c>
      <c r="E1917" t="s">
        <v>847</v>
      </c>
      <c r="F1917" t="s">
        <v>402</v>
      </c>
      <c r="G1917" t="s">
        <v>848</v>
      </c>
      <c r="H1917" t="s">
        <v>5853</v>
      </c>
      <c r="I1917" t="b">
        <v>0</v>
      </c>
      <c r="J1917">
        <v>63</v>
      </c>
      <c r="K1917">
        <v>430</v>
      </c>
      <c r="L1917">
        <v>191</v>
      </c>
      <c r="M1917">
        <f>COUNTIF(H1917:$H$2581,H1917)</f>
        <v>7</v>
      </c>
    </row>
    <row r="1918" spans="1:13" x14ac:dyDescent="0.2">
      <c r="A1918">
        <v>1462</v>
      </c>
      <c r="B1918" t="s">
        <v>243</v>
      </c>
      <c r="C1918" t="s">
        <v>850</v>
      </c>
      <c r="D1918" t="s">
        <v>13</v>
      </c>
      <c r="E1918" t="s">
        <v>851</v>
      </c>
      <c r="F1918" t="s">
        <v>246</v>
      </c>
      <c r="G1918" t="s">
        <v>852</v>
      </c>
      <c r="H1918" t="s">
        <v>5853</v>
      </c>
      <c r="I1918" t="b">
        <v>0</v>
      </c>
      <c r="J1918">
        <v>177</v>
      </c>
      <c r="K1918">
        <v>1463</v>
      </c>
      <c r="L1918">
        <v>496</v>
      </c>
      <c r="M1918">
        <f>COUNTIF(H1918:$H$2581,H1918)</f>
        <v>6</v>
      </c>
    </row>
    <row r="1919" spans="1:13" x14ac:dyDescent="0.2">
      <c r="A1919">
        <v>2161</v>
      </c>
      <c r="B1919" t="s">
        <v>471</v>
      </c>
      <c r="C1919" t="s">
        <v>854</v>
      </c>
      <c r="D1919" t="s">
        <v>13</v>
      </c>
      <c r="E1919" t="s">
        <v>855</v>
      </c>
      <c r="F1919" t="s">
        <v>474</v>
      </c>
      <c r="G1919" t="s">
        <v>856</v>
      </c>
      <c r="H1919" t="s">
        <v>5853</v>
      </c>
      <c r="I1919" t="s">
        <v>24</v>
      </c>
      <c r="J1919">
        <v>253</v>
      </c>
      <c r="K1919">
        <v>2162</v>
      </c>
      <c r="L1919">
        <v>644</v>
      </c>
      <c r="M1919">
        <f>COUNTIF(H1919:$H$2581,H1919)</f>
        <v>5</v>
      </c>
    </row>
    <row r="1920" spans="1:13" x14ac:dyDescent="0.2">
      <c r="A1920">
        <v>1904</v>
      </c>
      <c r="B1920" t="s">
        <v>872</v>
      </c>
      <c r="C1920" t="s">
        <v>873</v>
      </c>
      <c r="D1920" t="s">
        <v>13</v>
      </c>
      <c r="E1920" t="s">
        <v>874</v>
      </c>
      <c r="F1920" t="s">
        <v>875</v>
      </c>
      <c r="G1920" t="s">
        <v>876</v>
      </c>
      <c r="H1920" t="s">
        <v>5853</v>
      </c>
      <c r="I1920" t="b">
        <v>0</v>
      </c>
      <c r="J1920">
        <v>222</v>
      </c>
      <c r="K1920">
        <v>1905</v>
      </c>
      <c r="L1920">
        <v>428</v>
      </c>
      <c r="M1920">
        <f>COUNTIF(H1920:$H$2581,H1920)</f>
        <v>4</v>
      </c>
    </row>
    <row r="1921" spans="1:13" x14ac:dyDescent="0.2">
      <c r="A1921">
        <v>2567</v>
      </c>
      <c r="B1921" t="s">
        <v>226</v>
      </c>
      <c r="C1921" t="s">
        <v>905</v>
      </c>
      <c r="D1921" t="s">
        <v>13</v>
      </c>
      <c r="E1921" t="s">
        <v>906</v>
      </c>
      <c r="F1921" t="s">
        <v>229</v>
      </c>
      <c r="G1921" t="s">
        <v>907</v>
      </c>
      <c r="H1921" t="s">
        <v>5853</v>
      </c>
      <c r="I1921" t="b">
        <v>1</v>
      </c>
      <c r="J1921">
        <v>299</v>
      </c>
      <c r="K1921">
        <v>2568</v>
      </c>
      <c r="L1921">
        <v>156</v>
      </c>
      <c r="M1921">
        <f>COUNTIF(H1921:$H$2581,H1921)</f>
        <v>3</v>
      </c>
    </row>
    <row r="1922" spans="1:13" x14ac:dyDescent="0.2">
      <c r="A1922">
        <v>2455</v>
      </c>
      <c r="B1922" t="s">
        <v>908</v>
      </c>
      <c r="C1922" t="s">
        <v>909</v>
      </c>
      <c r="D1922" t="s">
        <v>13</v>
      </c>
      <c r="E1922" t="s">
        <v>910</v>
      </c>
      <c r="F1922" t="s">
        <v>911</v>
      </c>
      <c r="G1922" t="s">
        <v>912</v>
      </c>
      <c r="H1922" t="s">
        <v>5853</v>
      </c>
      <c r="I1922" t="b">
        <v>0</v>
      </c>
      <c r="J1922">
        <v>284</v>
      </c>
      <c r="K1922">
        <v>2456</v>
      </c>
      <c r="L1922">
        <v>704</v>
      </c>
      <c r="M1922">
        <f>COUNTIF(H1922:$H$2581,H1922)</f>
        <v>2</v>
      </c>
    </row>
    <row r="1923" spans="1:13" x14ac:dyDescent="0.2">
      <c r="A1923">
        <v>849</v>
      </c>
      <c r="B1923" t="s">
        <v>193</v>
      </c>
      <c r="C1923" t="s">
        <v>914</v>
      </c>
      <c r="D1923" t="s">
        <v>54</v>
      </c>
      <c r="E1923" t="s">
        <v>915</v>
      </c>
      <c r="F1923" t="s">
        <v>196</v>
      </c>
      <c r="G1923" t="s">
        <v>916</v>
      </c>
      <c r="H1923" t="s">
        <v>5853</v>
      </c>
      <c r="I1923" t="s">
        <v>24</v>
      </c>
      <c r="J1923">
        <v>117</v>
      </c>
      <c r="K1923">
        <v>850</v>
      </c>
      <c r="L1923">
        <v>328</v>
      </c>
      <c r="M1923">
        <f>COUNTIF(H1923:$H$2581,H1923)</f>
        <v>1</v>
      </c>
    </row>
    <row r="1924" spans="1:13" x14ac:dyDescent="0.2">
      <c r="A1924">
        <v>329</v>
      </c>
      <c r="B1924" t="s">
        <v>918</v>
      </c>
      <c r="C1924" t="s">
        <v>919</v>
      </c>
      <c r="D1924" t="s">
        <v>33</v>
      </c>
      <c r="E1924" t="s">
        <v>920</v>
      </c>
      <c r="F1924" t="s">
        <v>921</v>
      </c>
      <c r="G1924" t="s">
        <v>922</v>
      </c>
      <c r="H1924" t="s">
        <v>5991</v>
      </c>
      <c r="I1924" t="b">
        <v>0</v>
      </c>
      <c r="J1924">
        <v>47</v>
      </c>
      <c r="K1924">
        <v>330</v>
      </c>
      <c r="L1924">
        <v>152</v>
      </c>
      <c r="M1924">
        <f>COUNTIF(H1924:$H$2581,H1924)</f>
        <v>1</v>
      </c>
    </row>
    <row r="1925" spans="1:13" x14ac:dyDescent="0.2">
      <c r="A1925">
        <v>680</v>
      </c>
      <c r="B1925" t="s">
        <v>886</v>
      </c>
      <c r="C1925" t="s">
        <v>924</v>
      </c>
      <c r="D1925" t="s">
        <v>13</v>
      </c>
      <c r="E1925" s="1" t="s">
        <v>925</v>
      </c>
      <c r="F1925" t="s">
        <v>889</v>
      </c>
      <c r="G1925" t="s">
        <v>926</v>
      </c>
      <c r="H1925" t="s">
        <v>6006</v>
      </c>
      <c r="I1925" t="s">
        <v>24</v>
      </c>
      <c r="J1925">
        <v>100</v>
      </c>
      <c r="K1925">
        <v>681</v>
      </c>
      <c r="L1925">
        <v>288</v>
      </c>
      <c r="M1925">
        <f>COUNTIF(H1925:$H$2581,H1925)</f>
        <v>1</v>
      </c>
    </row>
    <row r="1926" spans="1:13" x14ac:dyDescent="0.2">
      <c r="A1926">
        <v>465</v>
      </c>
      <c r="B1926" t="s">
        <v>928</v>
      </c>
      <c r="C1926" t="s">
        <v>929</v>
      </c>
      <c r="D1926" t="s">
        <v>33</v>
      </c>
      <c r="E1926" t="s">
        <v>930</v>
      </c>
      <c r="F1926" t="s">
        <v>931</v>
      </c>
      <c r="G1926" t="s">
        <v>932</v>
      </c>
      <c r="H1926" t="s">
        <v>6015</v>
      </c>
      <c r="I1926" t="b">
        <v>0</v>
      </c>
      <c r="J1926">
        <v>67</v>
      </c>
      <c r="K1926">
        <v>466</v>
      </c>
      <c r="L1926">
        <v>210</v>
      </c>
      <c r="M1926">
        <f>COUNTIF(H1926:$H$2581,H1926)</f>
        <v>2</v>
      </c>
    </row>
    <row r="1927" spans="1:13" x14ac:dyDescent="0.2">
      <c r="A1927">
        <v>2555</v>
      </c>
      <c r="B1927" t="s">
        <v>636</v>
      </c>
      <c r="C1927" t="s">
        <v>943</v>
      </c>
      <c r="D1927" t="s">
        <v>33</v>
      </c>
      <c r="E1927" t="s">
        <v>944</v>
      </c>
      <c r="F1927" t="s">
        <v>639</v>
      </c>
      <c r="G1927" t="s">
        <v>945</v>
      </c>
      <c r="H1927" t="s">
        <v>6015</v>
      </c>
      <c r="I1927" t="b">
        <v>0</v>
      </c>
      <c r="J1927">
        <v>297</v>
      </c>
      <c r="K1927">
        <v>2556</v>
      </c>
      <c r="L1927">
        <v>227</v>
      </c>
      <c r="M1927">
        <f>COUNTIF(H1927:$H$2581,H1927)</f>
        <v>1</v>
      </c>
    </row>
    <row r="1928" spans="1:13" x14ac:dyDescent="0.2">
      <c r="A1928">
        <v>1436</v>
      </c>
      <c r="B1928" t="s">
        <v>763</v>
      </c>
      <c r="C1928" t="s">
        <v>946</v>
      </c>
      <c r="D1928" t="s">
        <v>54</v>
      </c>
      <c r="E1928" t="s">
        <v>947</v>
      </c>
      <c r="F1928" t="s">
        <v>766</v>
      </c>
      <c r="G1928" t="s">
        <v>948</v>
      </c>
      <c r="H1928" t="s">
        <v>6025</v>
      </c>
      <c r="I1928" t="b">
        <v>1</v>
      </c>
      <c r="J1928">
        <v>174</v>
      </c>
      <c r="K1928">
        <v>1437</v>
      </c>
      <c r="L1928">
        <v>481</v>
      </c>
      <c r="M1928">
        <f>COUNTIF(H1928:$H$2581,H1928)</f>
        <v>1</v>
      </c>
    </row>
    <row r="1929" spans="1:13" x14ac:dyDescent="0.2">
      <c r="A1929">
        <v>1848</v>
      </c>
      <c r="B1929" t="s">
        <v>631</v>
      </c>
      <c r="C1929" t="s">
        <v>954</v>
      </c>
      <c r="D1929" t="s">
        <v>54</v>
      </c>
      <c r="E1929" t="s">
        <v>955</v>
      </c>
      <c r="F1929" t="s">
        <v>634</v>
      </c>
      <c r="G1929" t="s">
        <v>956</v>
      </c>
      <c r="H1929" t="s">
        <v>6032</v>
      </c>
      <c r="I1929" t="s">
        <v>24</v>
      </c>
      <c r="J1929">
        <v>215</v>
      </c>
      <c r="K1929">
        <v>1849</v>
      </c>
      <c r="L1929">
        <v>133</v>
      </c>
      <c r="M1929">
        <f>COUNTIF(H1929:$H$2581,H1929)</f>
        <v>1</v>
      </c>
    </row>
    <row r="1930" spans="1:13" x14ac:dyDescent="0.2">
      <c r="A1930">
        <v>1141</v>
      </c>
      <c r="B1930" t="s">
        <v>957</v>
      </c>
      <c r="C1930" t="s">
        <v>958</v>
      </c>
      <c r="D1930" t="s">
        <v>54</v>
      </c>
      <c r="E1930" t="s">
        <v>959</v>
      </c>
      <c r="F1930" t="s">
        <v>960</v>
      </c>
      <c r="G1930" t="s">
        <v>961</v>
      </c>
      <c r="H1930" t="s">
        <v>6039</v>
      </c>
      <c r="I1930" t="s">
        <v>24</v>
      </c>
      <c r="J1930">
        <v>140</v>
      </c>
      <c r="K1930">
        <v>1142</v>
      </c>
      <c r="L1930">
        <v>397</v>
      </c>
      <c r="M1930">
        <f>COUNTIF(H1930:$H$2581,H1930)</f>
        <v>4</v>
      </c>
    </row>
    <row r="1931" spans="1:13" x14ac:dyDescent="0.2">
      <c r="A1931">
        <v>2564</v>
      </c>
      <c r="B1931" t="s">
        <v>963</v>
      </c>
      <c r="C1931" t="s">
        <v>964</v>
      </c>
      <c r="D1931" t="s">
        <v>13</v>
      </c>
      <c r="E1931" t="s">
        <v>965</v>
      </c>
      <c r="F1931" t="s">
        <v>966</v>
      </c>
      <c r="G1931" t="s">
        <v>967</v>
      </c>
      <c r="H1931" t="s">
        <v>6039</v>
      </c>
      <c r="I1931" t="s">
        <v>24</v>
      </c>
      <c r="J1931">
        <v>298</v>
      </c>
      <c r="K1931">
        <v>2565</v>
      </c>
      <c r="L1931">
        <v>723</v>
      </c>
      <c r="M1931">
        <f>COUNTIF(H1931:$H$2581,H1931)</f>
        <v>3</v>
      </c>
    </row>
    <row r="1932" spans="1:13" x14ac:dyDescent="0.2">
      <c r="A1932">
        <v>2296</v>
      </c>
      <c r="B1932" t="s">
        <v>969</v>
      </c>
      <c r="C1932" t="s">
        <v>970</v>
      </c>
      <c r="D1932" t="s">
        <v>33</v>
      </c>
      <c r="E1932" t="s">
        <v>971</v>
      </c>
      <c r="F1932" t="s">
        <v>972</v>
      </c>
      <c r="G1932" t="s">
        <v>973</v>
      </c>
      <c r="H1932" t="s">
        <v>6039</v>
      </c>
      <c r="I1932" t="b">
        <v>0</v>
      </c>
      <c r="J1932">
        <v>269</v>
      </c>
      <c r="K1932">
        <v>2297</v>
      </c>
      <c r="L1932">
        <v>672</v>
      </c>
      <c r="M1932">
        <f>COUNTIF(H1932:$H$2581,H1932)</f>
        <v>2</v>
      </c>
    </row>
    <row r="1933" spans="1:13" x14ac:dyDescent="0.2">
      <c r="A1933">
        <v>2568</v>
      </c>
      <c r="B1933" t="s">
        <v>226</v>
      </c>
      <c r="C1933" t="s">
        <v>981</v>
      </c>
      <c r="D1933" t="s">
        <v>54</v>
      </c>
      <c r="E1933" t="s">
        <v>982</v>
      </c>
      <c r="F1933" t="s">
        <v>229</v>
      </c>
      <c r="G1933" t="s">
        <v>983</v>
      </c>
      <c r="H1933" t="s">
        <v>6039</v>
      </c>
      <c r="I1933" t="b">
        <v>1</v>
      </c>
      <c r="J1933">
        <v>299</v>
      </c>
      <c r="K1933">
        <v>2569</v>
      </c>
      <c r="L1933">
        <v>166</v>
      </c>
      <c r="M1933">
        <f>COUNTIF(H1933:$H$2581,H1933)</f>
        <v>1</v>
      </c>
    </row>
    <row r="1934" spans="1:13" x14ac:dyDescent="0.2">
      <c r="A1934">
        <v>2105</v>
      </c>
      <c r="B1934" t="s">
        <v>984</v>
      </c>
      <c r="C1934" t="s">
        <v>985</v>
      </c>
      <c r="D1934" t="s">
        <v>33</v>
      </c>
      <c r="E1934" t="s">
        <v>986</v>
      </c>
      <c r="F1934" t="s">
        <v>987</v>
      </c>
      <c r="G1934" t="s">
        <v>988</v>
      </c>
      <c r="H1934" t="s">
        <v>6071</v>
      </c>
      <c r="I1934" t="s">
        <v>24</v>
      </c>
      <c r="J1934">
        <v>243</v>
      </c>
      <c r="K1934">
        <v>2106</v>
      </c>
      <c r="L1934">
        <v>632</v>
      </c>
      <c r="M1934">
        <f>COUNTIF(H1934:$H$2581,H1934)</f>
        <v>3</v>
      </c>
    </row>
    <row r="1935" spans="1:13" x14ac:dyDescent="0.2">
      <c r="A1935">
        <v>1757</v>
      </c>
      <c r="B1935" t="s">
        <v>1004</v>
      </c>
      <c r="C1935" t="s">
        <v>1005</v>
      </c>
      <c r="D1935" t="s">
        <v>13</v>
      </c>
      <c r="E1935" t="s">
        <v>1006</v>
      </c>
      <c r="F1935" t="s">
        <v>1007</v>
      </c>
      <c r="G1935" t="s">
        <v>1008</v>
      </c>
      <c r="H1935" t="s">
        <v>6071</v>
      </c>
      <c r="I1935" t="b">
        <v>0</v>
      </c>
      <c r="J1935">
        <v>208</v>
      </c>
      <c r="K1935">
        <v>1758</v>
      </c>
      <c r="L1935">
        <v>181</v>
      </c>
      <c r="M1935">
        <f>COUNTIF(H1935:$H$2581,H1935)</f>
        <v>2</v>
      </c>
    </row>
    <row r="1936" spans="1:13" x14ac:dyDescent="0.2">
      <c r="A1936">
        <v>1998</v>
      </c>
      <c r="B1936" t="s">
        <v>1009</v>
      </c>
      <c r="C1936" t="s">
        <v>1010</v>
      </c>
      <c r="D1936" t="s">
        <v>13</v>
      </c>
      <c r="E1936" t="s">
        <v>1011</v>
      </c>
      <c r="F1936" t="s">
        <v>1012</v>
      </c>
      <c r="G1936" t="s">
        <v>1013</v>
      </c>
      <c r="H1936" t="s">
        <v>6071</v>
      </c>
      <c r="I1936" t="s">
        <v>24</v>
      </c>
      <c r="J1936">
        <v>232</v>
      </c>
      <c r="K1936">
        <v>1999</v>
      </c>
      <c r="L1936">
        <v>611</v>
      </c>
      <c r="M1936">
        <f>COUNTIF(H1936:$H$2581,H1936)</f>
        <v>1</v>
      </c>
    </row>
    <row r="1937" spans="1:13" x14ac:dyDescent="0.2">
      <c r="A1937">
        <v>2171</v>
      </c>
      <c r="B1937" t="s">
        <v>1024</v>
      </c>
      <c r="C1937" t="s">
        <v>1025</v>
      </c>
      <c r="D1937" t="s">
        <v>33</v>
      </c>
      <c r="E1937" t="s">
        <v>1026</v>
      </c>
      <c r="F1937" t="s">
        <v>1027</v>
      </c>
      <c r="G1937" t="s">
        <v>1028</v>
      </c>
      <c r="H1937" t="s">
        <v>6088</v>
      </c>
      <c r="I1937" t="b">
        <v>0</v>
      </c>
      <c r="J1937">
        <v>255</v>
      </c>
      <c r="K1937">
        <v>2172</v>
      </c>
      <c r="L1937">
        <v>396</v>
      </c>
      <c r="M1937">
        <f>COUNTIF(H1937:$H$2581,H1937)</f>
        <v>1</v>
      </c>
    </row>
    <row r="1938" spans="1:13" x14ac:dyDescent="0.2">
      <c r="A1938">
        <v>2317</v>
      </c>
      <c r="B1938" t="s">
        <v>1029</v>
      </c>
      <c r="C1938" t="s">
        <v>1030</v>
      </c>
      <c r="D1938" t="s">
        <v>13</v>
      </c>
      <c r="E1938" t="s">
        <v>1031</v>
      </c>
      <c r="F1938" t="s">
        <v>1032</v>
      </c>
      <c r="G1938" t="s">
        <v>1033</v>
      </c>
      <c r="H1938" t="s">
        <v>6111</v>
      </c>
      <c r="I1938" t="s">
        <v>24</v>
      </c>
      <c r="J1938">
        <v>273</v>
      </c>
      <c r="K1938">
        <v>2318</v>
      </c>
      <c r="L1938">
        <v>679</v>
      </c>
      <c r="M1938">
        <f>COUNTIF(H1938:$H$2581,H1938)</f>
        <v>2</v>
      </c>
    </row>
    <row r="1939" spans="1:13" x14ac:dyDescent="0.2">
      <c r="A1939">
        <v>2106</v>
      </c>
      <c r="B1939" t="s">
        <v>984</v>
      </c>
      <c r="C1939" t="s">
        <v>1035</v>
      </c>
      <c r="D1939" t="s">
        <v>33</v>
      </c>
      <c r="E1939" t="s">
        <v>1036</v>
      </c>
      <c r="F1939" t="s">
        <v>987</v>
      </c>
      <c r="G1939" t="s">
        <v>1037</v>
      </c>
      <c r="H1939" t="s">
        <v>6111</v>
      </c>
      <c r="I1939" t="s">
        <v>24</v>
      </c>
      <c r="J1939">
        <v>243</v>
      </c>
      <c r="K1939">
        <v>2107</v>
      </c>
      <c r="L1939">
        <v>633</v>
      </c>
      <c r="M1939">
        <f>COUNTIF(H1939:$H$2581,H1939)</f>
        <v>1</v>
      </c>
    </row>
    <row r="1940" spans="1:13" x14ac:dyDescent="0.2">
      <c r="A1940">
        <v>2282</v>
      </c>
      <c r="B1940" t="s">
        <v>1070</v>
      </c>
      <c r="C1940" t="s">
        <v>1071</v>
      </c>
      <c r="D1940" t="s">
        <v>54</v>
      </c>
      <c r="E1940" t="s">
        <v>1072</v>
      </c>
      <c r="F1940" t="s">
        <v>1073</v>
      </c>
      <c r="G1940" t="s">
        <v>1074</v>
      </c>
      <c r="H1940" t="s">
        <v>6160</v>
      </c>
      <c r="I1940" t="b">
        <v>1</v>
      </c>
      <c r="J1940">
        <v>268</v>
      </c>
      <c r="K1940">
        <v>2283</v>
      </c>
      <c r="L1940">
        <v>203</v>
      </c>
      <c r="M1940">
        <f>COUNTIF(H1940:$H$2581,H1940)</f>
        <v>11</v>
      </c>
    </row>
    <row r="1941" spans="1:13" x14ac:dyDescent="0.2">
      <c r="A1941">
        <v>1084</v>
      </c>
      <c r="B1941" t="s">
        <v>1075</v>
      </c>
      <c r="C1941" t="s">
        <v>1076</v>
      </c>
      <c r="D1941" t="s">
        <v>54</v>
      </c>
      <c r="E1941" t="s">
        <v>1077</v>
      </c>
      <c r="F1941" t="s">
        <v>1078</v>
      </c>
      <c r="G1941" t="s">
        <v>1079</v>
      </c>
      <c r="H1941" t="s">
        <v>6160</v>
      </c>
      <c r="I1941" t="s">
        <v>24</v>
      </c>
      <c r="J1941">
        <v>133</v>
      </c>
      <c r="K1941">
        <v>1085</v>
      </c>
      <c r="L1941">
        <v>376</v>
      </c>
      <c r="M1941">
        <f>COUNTIF(H1941:$H$2581,H1941)</f>
        <v>10</v>
      </c>
    </row>
    <row r="1942" spans="1:13" x14ac:dyDescent="0.2">
      <c r="A1942">
        <v>805</v>
      </c>
      <c r="B1942" t="s">
        <v>492</v>
      </c>
      <c r="C1942" t="s">
        <v>1081</v>
      </c>
      <c r="D1942" t="s">
        <v>13</v>
      </c>
      <c r="E1942" t="s">
        <v>1082</v>
      </c>
      <c r="F1942" t="s">
        <v>495</v>
      </c>
      <c r="G1942" t="s">
        <v>1083</v>
      </c>
      <c r="H1942" t="s">
        <v>6160</v>
      </c>
      <c r="I1942" t="b">
        <v>0</v>
      </c>
      <c r="J1942">
        <v>113</v>
      </c>
      <c r="K1942">
        <v>806</v>
      </c>
      <c r="L1942">
        <v>316</v>
      </c>
      <c r="M1942">
        <f>COUNTIF(H1942:$H$2581,H1942)</f>
        <v>9</v>
      </c>
    </row>
    <row r="1943" spans="1:13" x14ac:dyDescent="0.2">
      <c r="A1943">
        <v>1262</v>
      </c>
      <c r="B1943" t="s">
        <v>1085</v>
      </c>
      <c r="C1943" t="s">
        <v>1086</v>
      </c>
      <c r="D1943" t="s">
        <v>13</v>
      </c>
      <c r="E1943" t="s">
        <v>1087</v>
      </c>
      <c r="F1943" t="s">
        <v>1088</v>
      </c>
      <c r="G1943" t="s">
        <v>1089</v>
      </c>
      <c r="H1943" t="s">
        <v>6160</v>
      </c>
      <c r="I1943" t="s">
        <v>24</v>
      </c>
      <c r="J1943">
        <v>156</v>
      </c>
      <c r="K1943">
        <v>1263</v>
      </c>
      <c r="L1943">
        <v>432</v>
      </c>
      <c r="M1943">
        <f>COUNTIF(H1943:$H$2581,H1943)</f>
        <v>8</v>
      </c>
    </row>
    <row r="1944" spans="1:13" x14ac:dyDescent="0.2">
      <c r="A1944">
        <v>857</v>
      </c>
      <c r="B1944" t="s">
        <v>1091</v>
      </c>
      <c r="C1944" t="s">
        <v>1092</v>
      </c>
      <c r="D1944" t="s">
        <v>13</v>
      </c>
      <c r="E1944" t="s">
        <v>1093</v>
      </c>
      <c r="F1944" t="s">
        <v>1094</v>
      </c>
      <c r="G1944" t="s">
        <v>1095</v>
      </c>
      <c r="H1944" t="s">
        <v>6160</v>
      </c>
      <c r="I1944" t="b">
        <v>1</v>
      </c>
      <c r="J1944">
        <v>118</v>
      </c>
      <c r="K1944">
        <v>858</v>
      </c>
      <c r="L1944">
        <v>330</v>
      </c>
      <c r="M1944">
        <f>COUNTIF(H1944:$H$2581,H1944)</f>
        <v>7</v>
      </c>
    </row>
    <row r="1945" spans="1:13" x14ac:dyDescent="0.2">
      <c r="A1945">
        <v>1103</v>
      </c>
      <c r="B1945" t="s">
        <v>1103</v>
      </c>
      <c r="C1945" t="s">
        <v>1104</v>
      </c>
      <c r="D1945" t="s">
        <v>54</v>
      </c>
      <c r="E1945" t="s">
        <v>1105</v>
      </c>
      <c r="F1945" t="s">
        <v>1106</v>
      </c>
      <c r="G1945" t="s">
        <v>1107</v>
      </c>
      <c r="H1945" t="s">
        <v>6160</v>
      </c>
      <c r="I1945" t="s">
        <v>24</v>
      </c>
      <c r="J1945">
        <v>134</v>
      </c>
      <c r="K1945">
        <v>1104</v>
      </c>
      <c r="L1945">
        <v>260</v>
      </c>
      <c r="M1945">
        <f>COUNTIF(H1945:$H$2581,H1945)</f>
        <v>6</v>
      </c>
    </row>
    <row r="1946" spans="1:13" x14ac:dyDescent="0.2">
      <c r="A1946">
        <v>2556</v>
      </c>
      <c r="B1946" t="s">
        <v>636</v>
      </c>
      <c r="C1946" t="s">
        <v>1117</v>
      </c>
      <c r="D1946" t="s">
        <v>33</v>
      </c>
      <c r="E1946" t="s">
        <v>1118</v>
      </c>
      <c r="F1946" t="s">
        <v>639</v>
      </c>
      <c r="G1946" t="s">
        <v>1119</v>
      </c>
      <c r="H1946" t="s">
        <v>6160</v>
      </c>
      <c r="I1946" t="b">
        <v>0</v>
      </c>
      <c r="J1946">
        <v>297</v>
      </c>
      <c r="K1946">
        <v>2557</v>
      </c>
      <c r="L1946">
        <v>385</v>
      </c>
      <c r="M1946">
        <f>COUNTIF(H1946:$H$2581,H1946)</f>
        <v>5</v>
      </c>
    </row>
    <row r="1947" spans="1:13" x14ac:dyDescent="0.2">
      <c r="A1947">
        <v>687</v>
      </c>
      <c r="B1947" t="s">
        <v>1131</v>
      </c>
      <c r="C1947" t="s">
        <v>1132</v>
      </c>
      <c r="D1947" t="s">
        <v>33</v>
      </c>
      <c r="E1947" s="1" t="s">
        <v>1133</v>
      </c>
      <c r="F1947" s="1" t="s">
        <v>1134</v>
      </c>
      <c r="G1947" t="s">
        <v>1135</v>
      </c>
      <c r="H1947" t="s">
        <v>6160</v>
      </c>
      <c r="I1947" t="b">
        <v>0</v>
      </c>
      <c r="J1947">
        <v>102</v>
      </c>
      <c r="K1947">
        <v>688</v>
      </c>
      <c r="L1947">
        <v>95</v>
      </c>
      <c r="M1947">
        <f>COUNTIF(H1947:$H$2581,H1947)</f>
        <v>4</v>
      </c>
    </row>
    <row r="1948" spans="1:13" x14ac:dyDescent="0.2">
      <c r="A1948">
        <v>2557</v>
      </c>
      <c r="B1948" t="s">
        <v>636</v>
      </c>
      <c r="C1948" t="s">
        <v>1136</v>
      </c>
      <c r="D1948" t="s">
        <v>54</v>
      </c>
      <c r="E1948" t="s">
        <v>1137</v>
      </c>
      <c r="F1948" t="s">
        <v>639</v>
      </c>
      <c r="G1948" t="s">
        <v>1138</v>
      </c>
      <c r="H1948" t="s">
        <v>6160</v>
      </c>
      <c r="I1948" t="b">
        <v>0</v>
      </c>
      <c r="J1948">
        <v>297</v>
      </c>
      <c r="K1948">
        <v>2558</v>
      </c>
      <c r="L1948">
        <v>721</v>
      </c>
      <c r="M1948">
        <f>COUNTIF(H1948:$H$2581,H1948)</f>
        <v>3</v>
      </c>
    </row>
    <row r="1949" spans="1:13" x14ac:dyDescent="0.2">
      <c r="A1949">
        <v>2306</v>
      </c>
      <c r="B1949" t="s">
        <v>703</v>
      </c>
      <c r="C1949" t="s">
        <v>1144</v>
      </c>
      <c r="D1949" t="s">
        <v>54</v>
      </c>
      <c r="E1949" t="s">
        <v>1145</v>
      </c>
      <c r="F1949" t="s">
        <v>706</v>
      </c>
      <c r="G1949" t="s">
        <v>1146</v>
      </c>
      <c r="H1949" t="s">
        <v>6160</v>
      </c>
      <c r="I1949" t="s">
        <v>24</v>
      </c>
      <c r="J1949">
        <v>271</v>
      </c>
      <c r="K1949">
        <v>2307</v>
      </c>
      <c r="L1949">
        <v>192</v>
      </c>
      <c r="M1949">
        <f>COUNTIF(H1949:$H$2581,H1949)</f>
        <v>2</v>
      </c>
    </row>
    <row r="1950" spans="1:13" x14ac:dyDescent="0.2">
      <c r="A1950">
        <v>2036</v>
      </c>
      <c r="B1950" t="s">
        <v>1147</v>
      </c>
      <c r="C1950" t="s">
        <v>1148</v>
      </c>
      <c r="D1950" t="s">
        <v>13</v>
      </c>
      <c r="E1950" t="s">
        <v>1149</v>
      </c>
      <c r="F1950" t="s">
        <v>1150</v>
      </c>
      <c r="G1950" t="s">
        <v>1151</v>
      </c>
      <c r="H1950" t="s">
        <v>6160</v>
      </c>
      <c r="I1950" t="b">
        <v>0</v>
      </c>
      <c r="J1950">
        <v>237</v>
      </c>
      <c r="K1950">
        <v>2037</v>
      </c>
      <c r="L1950">
        <v>622</v>
      </c>
      <c r="M1950">
        <f>COUNTIF(H1950:$H$2581,H1950)</f>
        <v>1</v>
      </c>
    </row>
    <row r="1951" spans="1:13" x14ac:dyDescent="0.2">
      <c r="A1951">
        <v>1321</v>
      </c>
      <c r="B1951" t="s">
        <v>1157</v>
      </c>
      <c r="C1951" t="s">
        <v>1158</v>
      </c>
      <c r="D1951" t="s">
        <v>33</v>
      </c>
      <c r="E1951" t="s">
        <v>1159</v>
      </c>
      <c r="F1951" t="s">
        <v>1160</v>
      </c>
      <c r="G1951" t="s">
        <v>1161</v>
      </c>
      <c r="H1951" t="s">
        <v>6201</v>
      </c>
      <c r="I1951" t="b">
        <v>0</v>
      </c>
      <c r="J1951">
        <v>162</v>
      </c>
      <c r="K1951">
        <v>1322</v>
      </c>
      <c r="L1951">
        <v>236</v>
      </c>
      <c r="M1951">
        <f>COUNTIF(H1951:$H$2581,H1951)</f>
        <v>1</v>
      </c>
    </row>
    <row r="1952" spans="1:13" x14ac:dyDescent="0.2">
      <c r="A1952">
        <v>217</v>
      </c>
      <c r="B1952" t="s">
        <v>1120</v>
      </c>
      <c r="C1952" t="s">
        <v>1162</v>
      </c>
      <c r="D1952" t="s">
        <v>13</v>
      </c>
      <c r="E1952" t="s">
        <v>1163</v>
      </c>
      <c r="F1952" s="1" t="s">
        <v>1123</v>
      </c>
      <c r="G1952" t="s">
        <v>1164</v>
      </c>
      <c r="H1952" t="s">
        <v>6215</v>
      </c>
      <c r="I1952" t="b">
        <v>0</v>
      </c>
      <c r="J1952">
        <v>40</v>
      </c>
      <c r="K1952">
        <v>218</v>
      </c>
      <c r="L1952">
        <v>96</v>
      </c>
      <c r="M1952">
        <f>COUNTIF(H1952:$H$2581,H1952)</f>
        <v>1</v>
      </c>
    </row>
    <row r="1953" spans="1:13" x14ac:dyDescent="0.2">
      <c r="A1953">
        <v>1701</v>
      </c>
      <c r="B1953" t="s">
        <v>725</v>
      </c>
      <c r="C1953" t="s">
        <v>1166</v>
      </c>
      <c r="D1953" t="s">
        <v>54</v>
      </c>
      <c r="E1953" t="s">
        <v>1167</v>
      </c>
      <c r="F1953" t="s">
        <v>728</v>
      </c>
      <c r="G1953" t="s">
        <v>1168</v>
      </c>
      <c r="H1953" t="s">
        <v>6238</v>
      </c>
      <c r="I1953" t="b">
        <v>1</v>
      </c>
      <c r="J1953">
        <v>205</v>
      </c>
      <c r="K1953">
        <v>1702</v>
      </c>
      <c r="L1953">
        <v>560</v>
      </c>
      <c r="M1953">
        <f>COUNTIF(H1953:$H$2581,H1953)</f>
        <v>2</v>
      </c>
    </row>
    <row r="1954" spans="1:13" x14ac:dyDescent="0.2">
      <c r="A1954">
        <v>2253</v>
      </c>
      <c r="B1954" t="s">
        <v>1170</v>
      </c>
      <c r="C1954" t="s">
        <v>1171</v>
      </c>
      <c r="D1954" t="s">
        <v>33</v>
      </c>
      <c r="E1954" t="s">
        <v>1172</v>
      </c>
      <c r="F1954" t="s">
        <v>1173</v>
      </c>
      <c r="G1954" t="s">
        <v>1174</v>
      </c>
      <c r="H1954" t="s">
        <v>6238</v>
      </c>
      <c r="I1954" t="b">
        <v>0</v>
      </c>
      <c r="J1954">
        <v>263</v>
      </c>
      <c r="K1954">
        <v>2254</v>
      </c>
      <c r="L1954">
        <v>656</v>
      </c>
      <c r="M1954">
        <f>COUNTIF(H1954:$H$2581,H1954)</f>
        <v>1</v>
      </c>
    </row>
    <row r="1955" spans="1:13" x14ac:dyDescent="0.2">
      <c r="A1955">
        <v>1905</v>
      </c>
      <c r="B1955" t="s">
        <v>872</v>
      </c>
      <c r="C1955" t="s">
        <v>1176</v>
      </c>
      <c r="D1955" t="s">
        <v>33</v>
      </c>
      <c r="E1955" t="s">
        <v>1177</v>
      </c>
      <c r="F1955" t="s">
        <v>875</v>
      </c>
      <c r="G1955" t="s">
        <v>1178</v>
      </c>
      <c r="H1955" t="s">
        <v>6248</v>
      </c>
      <c r="I1955" t="b">
        <v>0</v>
      </c>
      <c r="J1955">
        <v>222</v>
      </c>
      <c r="K1955">
        <v>1906</v>
      </c>
      <c r="L1955">
        <v>599</v>
      </c>
      <c r="M1955">
        <f>COUNTIF(H1955:$H$2581,H1955)</f>
        <v>29</v>
      </c>
    </row>
    <row r="1956" spans="1:13" x14ac:dyDescent="0.2">
      <c r="A1956">
        <v>2179</v>
      </c>
      <c r="B1956" t="s">
        <v>1180</v>
      </c>
      <c r="C1956" t="s">
        <v>1181</v>
      </c>
      <c r="D1956" t="s">
        <v>13</v>
      </c>
      <c r="E1956" t="s">
        <v>1182</v>
      </c>
      <c r="F1956" t="s">
        <v>1183</v>
      </c>
      <c r="G1956" t="s">
        <v>1184</v>
      </c>
      <c r="H1956" t="s">
        <v>6248</v>
      </c>
      <c r="I1956" t="b">
        <v>1</v>
      </c>
      <c r="J1956">
        <v>256</v>
      </c>
      <c r="K1956">
        <v>2180</v>
      </c>
      <c r="L1956">
        <v>646</v>
      </c>
      <c r="M1956">
        <f>COUNTIF(H1956:$H$2581,H1956)</f>
        <v>28</v>
      </c>
    </row>
    <row r="1957" spans="1:13" x14ac:dyDescent="0.2">
      <c r="A1957">
        <v>1128</v>
      </c>
      <c r="B1957" t="s">
        <v>1186</v>
      </c>
      <c r="C1957" t="s">
        <v>1187</v>
      </c>
      <c r="D1957" t="s">
        <v>13</v>
      </c>
      <c r="E1957" t="s">
        <v>1188</v>
      </c>
      <c r="F1957" t="s">
        <v>1189</v>
      </c>
      <c r="G1957" t="s">
        <v>1190</v>
      </c>
      <c r="H1957" t="s">
        <v>6248</v>
      </c>
      <c r="I1957" t="b">
        <v>0</v>
      </c>
      <c r="J1957">
        <v>137</v>
      </c>
      <c r="K1957">
        <v>1129</v>
      </c>
      <c r="L1957">
        <v>391</v>
      </c>
      <c r="M1957">
        <f>COUNTIF(H1957:$H$2581,H1957)</f>
        <v>27</v>
      </c>
    </row>
    <row r="1958" spans="1:13" x14ac:dyDescent="0.2">
      <c r="A1958">
        <v>2089</v>
      </c>
      <c r="B1958" t="s">
        <v>255</v>
      </c>
      <c r="C1958" t="s">
        <v>1206</v>
      </c>
      <c r="D1958" t="s">
        <v>13</v>
      </c>
      <c r="E1958" t="s">
        <v>1207</v>
      </c>
      <c r="F1958" t="s">
        <v>258</v>
      </c>
      <c r="G1958" t="s">
        <v>1208</v>
      </c>
      <c r="H1958" t="s">
        <v>6248</v>
      </c>
      <c r="I1958" t="s">
        <v>24</v>
      </c>
      <c r="J1958">
        <v>242</v>
      </c>
      <c r="K1958">
        <v>2090</v>
      </c>
      <c r="L1958">
        <v>335</v>
      </c>
      <c r="M1958">
        <f>COUNTIF(H1958:$H$2581,H1958)</f>
        <v>26</v>
      </c>
    </row>
    <row r="1959" spans="1:13" x14ac:dyDescent="0.2">
      <c r="A1959">
        <v>1520</v>
      </c>
      <c r="B1959" t="s">
        <v>1209</v>
      </c>
      <c r="C1959" t="s">
        <v>1210</v>
      </c>
      <c r="D1959" t="s">
        <v>33</v>
      </c>
      <c r="E1959" t="s">
        <v>1211</v>
      </c>
      <c r="F1959" t="s">
        <v>1212</v>
      </c>
      <c r="G1959" t="s">
        <v>1213</v>
      </c>
      <c r="H1959" t="s">
        <v>6248</v>
      </c>
      <c r="I1959" t="b">
        <v>0</v>
      </c>
      <c r="J1959">
        <v>185</v>
      </c>
      <c r="K1959">
        <v>1521</v>
      </c>
      <c r="L1959">
        <v>509</v>
      </c>
      <c r="M1959">
        <f>COUNTIF(H1959:$H$2581,H1959)</f>
        <v>25</v>
      </c>
    </row>
    <row r="1960" spans="1:13" x14ac:dyDescent="0.2">
      <c r="A1960">
        <v>1281</v>
      </c>
      <c r="B1960" t="s">
        <v>1221</v>
      </c>
      <c r="C1960" t="s">
        <v>1222</v>
      </c>
      <c r="D1960" t="s">
        <v>13</v>
      </c>
      <c r="E1960" t="s">
        <v>1223</v>
      </c>
      <c r="F1960" t="s">
        <v>1224</v>
      </c>
      <c r="G1960" t="s">
        <v>1225</v>
      </c>
      <c r="H1960" t="s">
        <v>6248</v>
      </c>
      <c r="I1960" t="b">
        <v>1</v>
      </c>
      <c r="J1960">
        <v>158</v>
      </c>
      <c r="K1960">
        <v>1282</v>
      </c>
      <c r="L1960">
        <v>366</v>
      </c>
      <c r="M1960">
        <f>COUNTIF(H1960:$H$2581,H1960)</f>
        <v>24</v>
      </c>
    </row>
    <row r="1961" spans="1:13" x14ac:dyDescent="0.2">
      <c r="A1961">
        <v>534</v>
      </c>
      <c r="B1961" t="s">
        <v>188</v>
      </c>
      <c r="C1961" t="s">
        <v>1226</v>
      </c>
      <c r="D1961" t="s">
        <v>54</v>
      </c>
      <c r="E1961" t="s">
        <v>1227</v>
      </c>
      <c r="F1961" t="s">
        <v>191</v>
      </c>
      <c r="G1961" t="s">
        <v>1228</v>
      </c>
      <c r="H1961" t="s">
        <v>6248</v>
      </c>
      <c r="I1961" t="b">
        <v>0</v>
      </c>
      <c r="J1961">
        <v>80</v>
      </c>
      <c r="K1961">
        <v>535</v>
      </c>
      <c r="L1961">
        <v>238</v>
      </c>
      <c r="M1961">
        <f>COUNTIF(H1961:$H$2581,H1961)</f>
        <v>23</v>
      </c>
    </row>
    <row r="1962" spans="1:13" x14ac:dyDescent="0.2">
      <c r="A1962">
        <v>745</v>
      </c>
      <c r="B1962" t="s">
        <v>1237</v>
      </c>
      <c r="C1962" t="s">
        <v>1230</v>
      </c>
      <c r="D1962" t="s">
        <v>54</v>
      </c>
      <c r="E1962" t="s">
        <v>1238</v>
      </c>
      <c r="F1962" t="s">
        <v>1239</v>
      </c>
      <c r="G1962" t="s">
        <v>1232</v>
      </c>
      <c r="H1962" t="s">
        <v>6248</v>
      </c>
      <c r="I1962" t="s">
        <v>24</v>
      </c>
      <c r="J1962">
        <v>106</v>
      </c>
      <c r="K1962">
        <v>746</v>
      </c>
      <c r="L1962">
        <v>79</v>
      </c>
      <c r="M1962">
        <f>COUNTIF(H1962:$H$2581,H1962)</f>
        <v>22</v>
      </c>
    </row>
    <row r="1963" spans="1:13" x14ac:dyDescent="0.2">
      <c r="A1963">
        <v>2502</v>
      </c>
      <c r="B1963" t="s">
        <v>481</v>
      </c>
      <c r="C1963" t="s">
        <v>1335</v>
      </c>
      <c r="D1963" t="s">
        <v>13</v>
      </c>
      <c r="E1963" t="s">
        <v>1336</v>
      </c>
      <c r="F1963" t="s">
        <v>484</v>
      </c>
      <c r="G1963" t="s">
        <v>1337</v>
      </c>
      <c r="H1963" t="s">
        <v>6248</v>
      </c>
      <c r="I1963" t="s">
        <v>24</v>
      </c>
      <c r="J1963">
        <v>291</v>
      </c>
      <c r="K1963">
        <v>2503</v>
      </c>
      <c r="L1963">
        <v>157</v>
      </c>
      <c r="M1963">
        <f>COUNTIF(H1963:$H$2581,H1963)</f>
        <v>21</v>
      </c>
    </row>
    <row r="1964" spans="1:13" x14ac:dyDescent="0.2">
      <c r="A1964">
        <v>578</v>
      </c>
      <c r="B1964" t="s">
        <v>1338</v>
      </c>
      <c r="C1964" t="s">
        <v>1339</v>
      </c>
      <c r="D1964" t="s">
        <v>33</v>
      </c>
      <c r="E1964" t="s">
        <v>1340</v>
      </c>
      <c r="F1964" t="s">
        <v>1341</v>
      </c>
      <c r="G1964" t="s">
        <v>1342</v>
      </c>
      <c r="H1964" t="s">
        <v>6248</v>
      </c>
      <c r="I1964" t="b">
        <v>0</v>
      </c>
      <c r="J1964">
        <v>86</v>
      </c>
      <c r="K1964">
        <v>579</v>
      </c>
      <c r="L1964">
        <v>256</v>
      </c>
      <c r="M1964">
        <f>COUNTIF(H1964:$H$2581,H1964)</f>
        <v>20</v>
      </c>
    </row>
    <row r="1965" spans="1:13" x14ac:dyDescent="0.2">
      <c r="A1965">
        <v>721</v>
      </c>
      <c r="B1965" t="s">
        <v>1349</v>
      </c>
      <c r="C1965" t="s">
        <v>1354</v>
      </c>
      <c r="D1965" t="s">
        <v>13</v>
      </c>
      <c r="E1965" t="s">
        <v>1355</v>
      </c>
      <c r="F1965" t="s">
        <v>1352</v>
      </c>
      <c r="G1965" t="s">
        <v>1356</v>
      </c>
      <c r="H1965" t="s">
        <v>6248</v>
      </c>
      <c r="I1965" t="b">
        <v>1</v>
      </c>
      <c r="J1965">
        <v>104</v>
      </c>
      <c r="K1965">
        <v>722</v>
      </c>
      <c r="L1965">
        <v>68</v>
      </c>
      <c r="M1965">
        <f>COUNTIF(H1965:$H$2581,H1965)</f>
        <v>19</v>
      </c>
    </row>
    <row r="1966" spans="1:13" x14ac:dyDescent="0.2">
      <c r="A1966">
        <v>2222</v>
      </c>
      <c r="B1966" t="s">
        <v>165</v>
      </c>
      <c r="C1966" t="s">
        <v>1394</v>
      </c>
      <c r="D1966" t="s">
        <v>33</v>
      </c>
      <c r="E1966" t="s">
        <v>1395</v>
      </c>
      <c r="F1966" t="s">
        <v>168</v>
      </c>
      <c r="G1966" t="s">
        <v>1396</v>
      </c>
      <c r="H1966" t="s">
        <v>6248</v>
      </c>
      <c r="I1966" t="s">
        <v>24</v>
      </c>
      <c r="J1966">
        <v>261</v>
      </c>
      <c r="K1966">
        <v>2223</v>
      </c>
      <c r="L1966">
        <v>37</v>
      </c>
      <c r="M1966">
        <f>COUNTIF(H1966:$H$2581,H1966)</f>
        <v>18</v>
      </c>
    </row>
    <row r="1967" spans="1:13" x14ac:dyDescent="0.2">
      <c r="A1967">
        <v>2457</v>
      </c>
      <c r="B1967" t="s">
        <v>1411</v>
      </c>
      <c r="C1967" t="s">
        <v>1412</v>
      </c>
      <c r="D1967" t="s">
        <v>54</v>
      </c>
      <c r="E1967" t="s">
        <v>1413</v>
      </c>
      <c r="F1967" t="s">
        <v>1414</v>
      </c>
      <c r="G1967" t="s">
        <v>1415</v>
      </c>
      <c r="H1967" t="s">
        <v>6248</v>
      </c>
      <c r="I1967" t="b">
        <v>1</v>
      </c>
      <c r="J1967">
        <v>285</v>
      </c>
      <c r="K1967">
        <v>2458</v>
      </c>
      <c r="L1967">
        <v>470</v>
      </c>
      <c r="M1967">
        <f>COUNTIF(H1967:$H$2581,H1967)</f>
        <v>17</v>
      </c>
    </row>
    <row r="1968" spans="1:13" x14ac:dyDescent="0.2">
      <c r="A1968">
        <v>946</v>
      </c>
      <c r="B1968" t="s">
        <v>203</v>
      </c>
      <c r="C1968" t="s">
        <v>1416</v>
      </c>
      <c r="D1968" t="s">
        <v>13</v>
      </c>
      <c r="E1968" t="s">
        <v>1417</v>
      </c>
      <c r="F1968" t="s">
        <v>206</v>
      </c>
      <c r="G1968" t="s">
        <v>1418</v>
      </c>
      <c r="H1968" t="s">
        <v>6248</v>
      </c>
      <c r="I1968" t="b">
        <v>1</v>
      </c>
      <c r="J1968">
        <v>123</v>
      </c>
      <c r="K1968">
        <v>947</v>
      </c>
      <c r="L1968">
        <v>356</v>
      </c>
      <c r="M1968">
        <f>COUNTIF(H1968:$H$2581,H1968)</f>
        <v>16</v>
      </c>
    </row>
    <row r="1969" spans="1:13" x14ac:dyDescent="0.2">
      <c r="A1969">
        <v>1273</v>
      </c>
      <c r="B1969" t="s">
        <v>1273</v>
      </c>
      <c r="C1969" t="s">
        <v>1420</v>
      </c>
      <c r="D1969" t="s">
        <v>13</v>
      </c>
      <c r="E1969" t="s">
        <v>1421</v>
      </c>
      <c r="F1969" t="s">
        <v>1276</v>
      </c>
      <c r="G1969" t="s">
        <v>1422</v>
      </c>
      <c r="H1969" t="s">
        <v>6248</v>
      </c>
      <c r="I1969" t="b">
        <v>1</v>
      </c>
      <c r="J1969">
        <v>157</v>
      </c>
      <c r="K1969">
        <v>1274</v>
      </c>
      <c r="L1969">
        <v>436</v>
      </c>
      <c r="M1969">
        <f>COUNTIF(H1969:$H$2581,H1969)</f>
        <v>15</v>
      </c>
    </row>
    <row r="1970" spans="1:13" x14ac:dyDescent="0.2">
      <c r="A1970">
        <v>74</v>
      </c>
      <c r="B1970" t="s">
        <v>1424</v>
      </c>
      <c r="C1970" t="s">
        <v>1425</v>
      </c>
      <c r="D1970" t="s">
        <v>13</v>
      </c>
      <c r="E1970" t="s">
        <v>1426</v>
      </c>
      <c r="F1970" t="s">
        <v>1427</v>
      </c>
      <c r="G1970" t="s">
        <v>1428</v>
      </c>
      <c r="H1970" t="s">
        <v>6248</v>
      </c>
      <c r="I1970" t="b">
        <v>1</v>
      </c>
      <c r="J1970">
        <v>12</v>
      </c>
      <c r="K1970">
        <v>75</v>
      </c>
      <c r="L1970">
        <v>55</v>
      </c>
      <c r="M1970">
        <f>COUNTIF(H1970:$H$2581,H1970)</f>
        <v>14</v>
      </c>
    </row>
    <row r="1971" spans="1:13" x14ac:dyDescent="0.2">
      <c r="A1971">
        <v>1263</v>
      </c>
      <c r="B1971" t="s">
        <v>1085</v>
      </c>
      <c r="C1971" t="s">
        <v>1430</v>
      </c>
      <c r="D1971" t="s">
        <v>13</v>
      </c>
      <c r="E1971" t="s">
        <v>1431</v>
      </c>
      <c r="F1971" t="s">
        <v>1088</v>
      </c>
      <c r="G1971" t="s">
        <v>1432</v>
      </c>
      <c r="H1971" t="s">
        <v>6248</v>
      </c>
      <c r="I1971" t="s">
        <v>24</v>
      </c>
      <c r="J1971">
        <v>156</v>
      </c>
      <c r="K1971">
        <v>1264</v>
      </c>
      <c r="L1971">
        <v>433</v>
      </c>
      <c r="M1971">
        <f>COUNTIF(H1971:$H$2581,H1971)</f>
        <v>13</v>
      </c>
    </row>
    <row r="1972" spans="1:13" x14ac:dyDescent="0.2">
      <c r="A1972">
        <v>790</v>
      </c>
      <c r="B1972" t="s">
        <v>116</v>
      </c>
      <c r="C1972" t="s">
        <v>1434</v>
      </c>
      <c r="D1972" t="s">
        <v>13</v>
      </c>
      <c r="E1972" t="s">
        <v>1435</v>
      </c>
      <c r="F1972" t="s">
        <v>119</v>
      </c>
      <c r="G1972" t="s">
        <v>1436</v>
      </c>
      <c r="H1972" t="s">
        <v>6248</v>
      </c>
      <c r="I1972" t="s">
        <v>24</v>
      </c>
      <c r="J1972">
        <v>112</v>
      </c>
      <c r="K1972">
        <v>791</v>
      </c>
      <c r="L1972">
        <v>311</v>
      </c>
      <c r="M1972">
        <f>COUNTIF(H1972:$H$2581,H1972)</f>
        <v>12</v>
      </c>
    </row>
    <row r="1973" spans="1:13" x14ac:dyDescent="0.2">
      <c r="A1973">
        <v>1666</v>
      </c>
      <c r="B1973" t="s">
        <v>1059</v>
      </c>
      <c r="C1973" t="s">
        <v>1438</v>
      </c>
      <c r="D1973" t="s">
        <v>13</v>
      </c>
      <c r="E1973" t="s">
        <v>1439</v>
      </c>
      <c r="F1973" t="s">
        <v>1062</v>
      </c>
      <c r="G1973" t="s">
        <v>1440</v>
      </c>
      <c r="H1973" t="s">
        <v>6248</v>
      </c>
      <c r="I1973" t="b">
        <v>1</v>
      </c>
      <c r="J1973">
        <v>201</v>
      </c>
      <c r="K1973">
        <v>1667</v>
      </c>
      <c r="L1973">
        <v>555</v>
      </c>
      <c r="M1973">
        <f>COUNTIF(H1973:$H$2581,H1973)</f>
        <v>11</v>
      </c>
    </row>
    <row r="1974" spans="1:13" x14ac:dyDescent="0.2">
      <c r="A1974">
        <v>1122</v>
      </c>
      <c r="B1974" t="s">
        <v>625</v>
      </c>
      <c r="C1974" t="s">
        <v>1442</v>
      </c>
      <c r="D1974" t="s">
        <v>54</v>
      </c>
      <c r="E1974" t="s">
        <v>1443</v>
      </c>
      <c r="F1974" t="s">
        <v>628</v>
      </c>
      <c r="G1974" t="s">
        <v>1444</v>
      </c>
      <c r="H1974" t="s">
        <v>6248</v>
      </c>
      <c r="I1974" t="b">
        <v>1</v>
      </c>
      <c r="J1974">
        <v>136</v>
      </c>
      <c r="K1974">
        <v>1123</v>
      </c>
      <c r="L1974">
        <v>386</v>
      </c>
      <c r="M1974">
        <f>COUNTIF(H1974:$H$2581,H1974)</f>
        <v>10</v>
      </c>
    </row>
    <row r="1975" spans="1:13" x14ac:dyDescent="0.2">
      <c r="A1975">
        <v>318</v>
      </c>
      <c r="B1975" t="s">
        <v>98</v>
      </c>
      <c r="C1975" t="s">
        <v>1446</v>
      </c>
      <c r="D1975" t="s">
        <v>13</v>
      </c>
      <c r="E1975" t="s">
        <v>1447</v>
      </c>
      <c r="F1975" t="s">
        <v>101</v>
      </c>
      <c r="G1975" t="s">
        <v>1448</v>
      </c>
      <c r="H1975" t="s">
        <v>6248</v>
      </c>
      <c r="I1975" t="s">
        <v>24</v>
      </c>
      <c r="J1975">
        <v>46</v>
      </c>
      <c r="K1975">
        <v>319</v>
      </c>
      <c r="L1975">
        <v>149</v>
      </c>
      <c r="M1975">
        <f>COUNTIF(H1975:$H$2581,H1975)</f>
        <v>9</v>
      </c>
    </row>
    <row r="1976" spans="1:13" x14ac:dyDescent="0.2">
      <c r="A1976">
        <v>2173</v>
      </c>
      <c r="B1976" t="s">
        <v>1024</v>
      </c>
      <c r="C1976" t="s">
        <v>1469</v>
      </c>
      <c r="D1976" t="s">
        <v>33</v>
      </c>
      <c r="E1976" t="s">
        <v>1470</v>
      </c>
      <c r="F1976" t="s">
        <v>1027</v>
      </c>
      <c r="G1976" t="s">
        <v>1471</v>
      </c>
      <c r="H1976" t="s">
        <v>6248</v>
      </c>
      <c r="I1976" t="b">
        <v>0</v>
      </c>
      <c r="J1976">
        <v>255</v>
      </c>
      <c r="K1976">
        <v>2174</v>
      </c>
      <c r="L1976">
        <v>299</v>
      </c>
      <c r="M1976">
        <f>COUNTIF(H1976:$H$2581,H1976)</f>
        <v>8</v>
      </c>
    </row>
    <row r="1977" spans="1:13" x14ac:dyDescent="0.2">
      <c r="A1977">
        <v>1956</v>
      </c>
      <c r="B1977" t="s">
        <v>1472</v>
      </c>
      <c r="C1977" t="s">
        <v>1473</v>
      </c>
      <c r="D1977" t="s">
        <v>13</v>
      </c>
      <c r="E1977" t="s">
        <v>1474</v>
      </c>
      <c r="F1977" t="s">
        <v>1475</v>
      </c>
      <c r="G1977" t="s">
        <v>1476</v>
      </c>
      <c r="H1977" t="s">
        <v>6248</v>
      </c>
      <c r="I1977" t="b">
        <v>0</v>
      </c>
      <c r="J1977">
        <v>225</v>
      </c>
      <c r="K1977">
        <v>1957</v>
      </c>
      <c r="L1977">
        <v>601</v>
      </c>
      <c r="M1977">
        <f>COUNTIF(H1977:$H$2581,H1977)</f>
        <v>7</v>
      </c>
    </row>
    <row r="1978" spans="1:13" x14ac:dyDescent="0.2">
      <c r="A1978">
        <v>1703</v>
      </c>
      <c r="B1978" t="s">
        <v>725</v>
      </c>
      <c r="C1978" t="s">
        <v>1482</v>
      </c>
      <c r="D1978" t="s">
        <v>54</v>
      </c>
      <c r="E1978" t="s">
        <v>1483</v>
      </c>
      <c r="F1978" t="s">
        <v>728</v>
      </c>
      <c r="G1978" t="s">
        <v>1484</v>
      </c>
      <c r="H1978" t="s">
        <v>6248</v>
      </c>
      <c r="I1978" t="b">
        <v>1</v>
      </c>
      <c r="J1978">
        <v>205</v>
      </c>
      <c r="K1978">
        <v>1704</v>
      </c>
      <c r="L1978">
        <v>245</v>
      </c>
      <c r="M1978">
        <f>COUNTIF(H1978:$H$2581,H1978)</f>
        <v>6</v>
      </c>
    </row>
    <row r="1979" spans="1:13" x14ac:dyDescent="0.2">
      <c r="A1979">
        <v>1890</v>
      </c>
      <c r="B1979" t="s">
        <v>1485</v>
      </c>
      <c r="C1979" t="s">
        <v>1486</v>
      </c>
      <c r="D1979" t="s">
        <v>13</v>
      </c>
      <c r="E1979" t="s">
        <v>1487</v>
      </c>
      <c r="F1979" t="s">
        <v>1488</v>
      </c>
      <c r="G1979" t="s">
        <v>1489</v>
      </c>
      <c r="H1979" t="s">
        <v>6248</v>
      </c>
      <c r="I1979" t="b">
        <v>1</v>
      </c>
      <c r="J1979">
        <v>220</v>
      </c>
      <c r="K1979">
        <v>1891</v>
      </c>
      <c r="L1979">
        <v>596</v>
      </c>
      <c r="M1979">
        <f>COUNTIF(H1979:$H$2581,H1979)</f>
        <v>5</v>
      </c>
    </row>
    <row r="1980" spans="1:13" x14ac:dyDescent="0.2">
      <c r="A1980">
        <v>611</v>
      </c>
      <c r="B1980" t="s">
        <v>1491</v>
      </c>
      <c r="C1980" t="s">
        <v>1492</v>
      </c>
      <c r="D1980" t="s">
        <v>33</v>
      </c>
      <c r="E1980" t="s">
        <v>1493</v>
      </c>
      <c r="F1980" t="s">
        <v>1494</v>
      </c>
      <c r="G1980" t="s">
        <v>1495</v>
      </c>
      <c r="H1980" t="s">
        <v>6248</v>
      </c>
      <c r="I1980" t="b">
        <v>0</v>
      </c>
      <c r="J1980">
        <v>91</v>
      </c>
      <c r="K1980">
        <v>612</v>
      </c>
      <c r="L1980">
        <v>269</v>
      </c>
      <c r="M1980">
        <f>COUNTIF(H1980:$H$2581,H1980)</f>
        <v>4</v>
      </c>
    </row>
    <row r="1981" spans="1:13" x14ac:dyDescent="0.2">
      <c r="A1981">
        <v>1736</v>
      </c>
      <c r="B1981" t="s">
        <v>1497</v>
      </c>
      <c r="C1981" t="s">
        <v>1498</v>
      </c>
      <c r="D1981" t="s">
        <v>13</v>
      </c>
      <c r="E1981" t="s">
        <v>1499</v>
      </c>
      <c r="F1981" t="s">
        <v>1500</v>
      </c>
      <c r="G1981" t="s">
        <v>1501</v>
      </c>
      <c r="H1981" t="s">
        <v>6248</v>
      </c>
      <c r="I1981" t="b">
        <v>0</v>
      </c>
      <c r="J1981">
        <v>206</v>
      </c>
      <c r="K1981">
        <v>1737</v>
      </c>
      <c r="L1981">
        <v>567</v>
      </c>
      <c r="M1981">
        <f>COUNTIF(H1981:$H$2581,H1981)</f>
        <v>3</v>
      </c>
    </row>
    <row r="1982" spans="1:13" x14ac:dyDescent="0.2">
      <c r="A1982">
        <v>1566</v>
      </c>
      <c r="B1982" t="s">
        <v>1514</v>
      </c>
      <c r="C1982" t="s">
        <v>1515</v>
      </c>
      <c r="D1982" t="s">
        <v>33</v>
      </c>
      <c r="E1982" t="s">
        <v>1516</v>
      </c>
      <c r="F1982" t="s">
        <v>1517</v>
      </c>
      <c r="G1982" t="s">
        <v>1518</v>
      </c>
      <c r="H1982" t="s">
        <v>6248</v>
      </c>
      <c r="I1982" t="b">
        <v>0</v>
      </c>
      <c r="J1982">
        <v>192</v>
      </c>
      <c r="K1982">
        <v>1567</v>
      </c>
      <c r="L1982">
        <v>112</v>
      </c>
      <c r="M1982">
        <f>COUNTIF(H1982:$H$2581,H1982)</f>
        <v>2</v>
      </c>
    </row>
    <row r="1983" spans="1:13" x14ac:dyDescent="0.2">
      <c r="A1983">
        <v>2378</v>
      </c>
      <c r="B1983" t="s">
        <v>812</v>
      </c>
      <c r="C1983" t="s">
        <v>1519</v>
      </c>
      <c r="D1983" t="s">
        <v>13</v>
      </c>
      <c r="E1983" t="s">
        <v>1520</v>
      </c>
      <c r="F1983" t="s">
        <v>815</v>
      </c>
      <c r="G1983" t="s">
        <v>1521</v>
      </c>
      <c r="H1983" t="s">
        <v>6248</v>
      </c>
      <c r="I1983" t="b">
        <v>1</v>
      </c>
      <c r="J1983">
        <v>277</v>
      </c>
      <c r="K1983">
        <v>2379</v>
      </c>
      <c r="L1983">
        <v>694</v>
      </c>
      <c r="M1983">
        <f>COUNTIF(H1983:$H$2581,H1983)</f>
        <v>1</v>
      </c>
    </row>
    <row r="1984" spans="1:13" x14ac:dyDescent="0.2">
      <c r="A1984">
        <v>117</v>
      </c>
      <c r="B1984" t="s">
        <v>1523</v>
      </c>
      <c r="C1984" t="s">
        <v>1524</v>
      </c>
      <c r="D1984" t="s">
        <v>54</v>
      </c>
      <c r="E1984" t="s">
        <v>1525</v>
      </c>
      <c r="F1984" t="s">
        <v>1526</v>
      </c>
      <c r="G1984" t="s">
        <v>1527</v>
      </c>
      <c r="H1984" t="s">
        <v>6343</v>
      </c>
      <c r="I1984" t="s">
        <v>24</v>
      </c>
      <c r="J1984">
        <v>21</v>
      </c>
      <c r="K1984">
        <v>118</v>
      </c>
      <c r="L1984">
        <v>67</v>
      </c>
      <c r="M1984">
        <f>COUNTIF(H1984:$H$2581,H1984)</f>
        <v>2</v>
      </c>
    </row>
    <row r="1985" spans="1:13" x14ac:dyDescent="0.2">
      <c r="A1985">
        <v>1819</v>
      </c>
      <c r="B1985" t="s">
        <v>434</v>
      </c>
      <c r="C1985" t="s">
        <v>1529</v>
      </c>
      <c r="D1985" t="s">
        <v>13</v>
      </c>
      <c r="E1985" t="s">
        <v>1530</v>
      </c>
      <c r="F1985" t="s">
        <v>437</v>
      </c>
      <c r="G1985" t="s">
        <v>1531</v>
      </c>
      <c r="H1985" t="s">
        <v>6343</v>
      </c>
      <c r="I1985" t="b">
        <v>0</v>
      </c>
      <c r="J1985">
        <v>212</v>
      </c>
      <c r="K1985">
        <v>1820</v>
      </c>
      <c r="L1985">
        <v>580</v>
      </c>
      <c r="M1985">
        <f>COUNTIF(H1985:$H$2581,H1985)</f>
        <v>1</v>
      </c>
    </row>
    <row r="1986" spans="1:13" x14ac:dyDescent="0.2">
      <c r="A1986">
        <v>2381</v>
      </c>
      <c r="B1986" t="s">
        <v>812</v>
      </c>
      <c r="C1986" t="s">
        <v>1519</v>
      </c>
      <c r="D1986" t="s">
        <v>13</v>
      </c>
      <c r="E1986" t="s">
        <v>1537</v>
      </c>
      <c r="F1986" t="s">
        <v>815</v>
      </c>
      <c r="G1986" t="s">
        <v>1538</v>
      </c>
      <c r="H1986" t="s">
        <v>6361</v>
      </c>
      <c r="I1986" t="b">
        <v>1</v>
      </c>
      <c r="J1986">
        <v>277</v>
      </c>
      <c r="K1986">
        <v>2382</v>
      </c>
      <c r="L1986">
        <v>640</v>
      </c>
      <c r="M1986">
        <f>COUNTIF(H1986:$H$2581,H1986)</f>
        <v>1</v>
      </c>
    </row>
    <row r="1987" spans="1:13" x14ac:dyDescent="0.2">
      <c r="A1987">
        <v>2379</v>
      </c>
      <c r="B1987" t="s">
        <v>812</v>
      </c>
      <c r="C1987" t="s">
        <v>1539</v>
      </c>
      <c r="D1987" t="s">
        <v>13</v>
      </c>
      <c r="E1987" t="s">
        <v>1540</v>
      </c>
      <c r="F1987" t="s">
        <v>815</v>
      </c>
      <c r="G1987" t="s">
        <v>1541</v>
      </c>
      <c r="H1987" t="s">
        <v>6368</v>
      </c>
      <c r="I1987" t="b">
        <v>1</v>
      </c>
      <c r="J1987">
        <v>277</v>
      </c>
      <c r="K1987">
        <v>2380</v>
      </c>
      <c r="L1987">
        <v>695</v>
      </c>
      <c r="M1987">
        <f>COUNTIF(H1987:$H$2581,H1987)</f>
        <v>3</v>
      </c>
    </row>
    <row r="1988" spans="1:13" x14ac:dyDescent="0.2">
      <c r="A1988">
        <v>2547</v>
      </c>
      <c r="B1988" t="s">
        <v>1559</v>
      </c>
      <c r="C1988" t="s">
        <v>1560</v>
      </c>
      <c r="D1988" t="s">
        <v>13</v>
      </c>
      <c r="E1988" t="s">
        <v>1561</v>
      </c>
      <c r="F1988" t="s">
        <v>1562</v>
      </c>
      <c r="G1988" t="s">
        <v>1563</v>
      </c>
      <c r="H1988" t="s">
        <v>6368</v>
      </c>
      <c r="I1988" t="s">
        <v>24</v>
      </c>
      <c r="J1988">
        <v>296</v>
      </c>
      <c r="K1988">
        <v>2548</v>
      </c>
      <c r="L1988">
        <v>377</v>
      </c>
      <c r="M1988">
        <f>COUNTIF(H1988:$H$2581,H1988)</f>
        <v>2</v>
      </c>
    </row>
    <row r="1989" spans="1:13" x14ac:dyDescent="0.2">
      <c r="A1989">
        <v>523</v>
      </c>
      <c r="B1989" t="s">
        <v>881</v>
      </c>
      <c r="C1989" t="s">
        <v>1564</v>
      </c>
      <c r="D1989" t="s">
        <v>13</v>
      </c>
      <c r="E1989" t="s">
        <v>1565</v>
      </c>
      <c r="F1989" t="s">
        <v>884</v>
      </c>
      <c r="G1989" t="s">
        <v>1566</v>
      </c>
      <c r="H1989" t="s">
        <v>6368</v>
      </c>
      <c r="I1989" t="s">
        <v>24</v>
      </c>
      <c r="J1989">
        <v>77</v>
      </c>
      <c r="K1989">
        <v>524</v>
      </c>
      <c r="L1989">
        <v>233</v>
      </c>
      <c r="M1989">
        <f>COUNTIF(H1989:$H$2581,H1989)</f>
        <v>1</v>
      </c>
    </row>
    <row r="1990" spans="1:13" x14ac:dyDescent="0.2">
      <c r="A1990">
        <v>386</v>
      </c>
      <c r="B1990" t="s">
        <v>1568</v>
      </c>
      <c r="C1990" t="s">
        <v>1569</v>
      </c>
      <c r="D1990" t="s">
        <v>13</v>
      </c>
      <c r="E1990" t="s">
        <v>1570</v>
      </c>
      <c r="F1990" t="s">
        <v>1571</v>
      </c>
      <c r="G1990" t="s">
        <v>1572</v>
      </c>
      <c r="H1990" t="s">
        <v>6381</v>
      </c>
      <c r="I1990" t="s">
        <v>24</v>
      </c>
      <c r="J1990">
        <v>55</v>
      </c>
      <c r="K1990">
        <v>387</v>
      </c>
      <c r="L1990">
        <v>174</v>
      </c>
      <c r="M1990">
        <f>COUNTIF(H1990:$H$2581,H1990)</f>
        <v>19</v>
      </c>
    </row>
    <row r="1991" spans="1:13" x14ac:dyDescent="0.2">
      <c r="A1991">
        <v>887</v>
      </c>
      <c r="B1991" t="s">
        <v>198</v>
      </c>
      <c r="C1991" t="s">
        <v>1574</v>
      </c>
      <c r="D1991" t="s">
        <v>54</v>
      </c>
      <c r="E1991" t="s">
        <v>1575</v>
      </c>
      <c r="F1991" t="s">
        <v>201</v>
      </c>
      <c r="G1991" t="s">
        <v>1576</v>
      </c>
      <c r="H1991" t="s">
        <v>6381</v>
      </c>
      <c r="I1991" t="b">
        <v>0</v>
      </c>
      <c r="J1991">
        <v>120</v>
      </c>
      <c r="K1991">
        <v>888</v>
      </c>
      <c r="L1991">
        <v>336</v>
      </c>
      <c r="M1991">
        <f>COUNTIF(H1991:$H$2581,H1991)</f>
        <v>18</v>
      </c>
    </row>
    <row r="1992" spans="1:13" x14ac:dyDescent="0.2">
      <c r="A1992">
        <v>86</v>
      </c>
      <c r="B1992" t="s">
        <v>311</v>
      </c>
      <c r="C1992" t="s">
        <v>1578</v>
      </c>
      <c r="D1992" t="s">
        <v>54</v>
      </c>
      <c r="E1992" t="s">
        <v>1579</v>
      </c>
      <c r="F1992" s="1" t="s">
        <v>314</v>
      </c>
      <c r="G1992" t="s">
        <v>1580</v>
      </c>
      <c r="H1992" t="s">
        <v>6381</v>
      </c>
      <c r="I1992" t="s">
        <v>24</v>
      </c>
      <c r="J1992">
        <v>14</v>
      </c>
      <c r="K1992">
        <v>87</v>
      </c>
      <c r="L1992">
        <v>59</v>
      </c>
      <c r="M1992">
        <f>COUNTIF(H1992:$H$2581,H1992)</f>
        <v>17</v>
      </c>
    </row>
    <row r="1993" spans="1:13" x14ac:dyDescent="0.2">
      <c r="A1993">
        <v>1969</v>
      </c>
      <c r="B1993" t="s">
        <v>608</v>
      </c>
      <c r="C1993" t="s">
        <v>1594</v>
      </c>
      <c r="D1993" t="s">
        <v>54</v>
      </c>
      <c r="E1993" t="s">
        <v>1595</v>
      </c>
      <c r="F1993" t="s">
        <v>611</v>
      </c>
      <c r="G1993" t="s">
        <v>1596</v>
      </c>
      <c r="H1993" t="s">
        <v>6381</v>
      </c>
      <c r="I1993" t="b">
        <v>1</v>
      </c>
      <c r="J1993">
        <v>227</v>
      </c>
      <c r="K1993">
        <v>1970</v>
      </c>
      <c r="L1993">
        <v>408</v>
      </c>
      <c r="M1993">
        <f>COUNTIF(H1993:$H$2581,H1993)</f>
        <v>16</v>
      </c>
    </row>
    <row r="1994" spans="1:13" x14ac:dyDescent="0.2">
      <c r="A1994">
        <v>1615</v>
      </c>
      <c r="B1994" t="s">
        <v>720</v>
      </c>
      <c r="C1994" t="s">
        <v>1597</v>
      </c>
      <c r="D1994" t="s">
        <v>54</v>
      </c>
      <c r="E1994" t="s">
        <v>1598</v>
      </c>
      <c r="F1994" t="s">
        <v>723</v>
      </c>
      <c r="G1994" t="s">
        <v>1599</v>
      </c>
      <c r="H1994" t="s">
        <v>6381</v>
      </c>
      <c r="I1994" t="b">
        <v>1</v>
      </c>
      <c r="J1994">
        <v>197</v>
      </c>
      <c r="K1994">
        <v>1616</v>
      </c>
      <c r="L1994">
        <v>545</v>
      </c>
      <c r="M1994">
        <f>COUNTIF(H1994:$H$2581,H1994)</f>
        <v>15</v>
      </c>
    </row>
    <row r="1995" spans="1:13" x14ac:dyDescent="0.2">
      <c r="A1995">
        <v>298</v>
      </c>
      <c r="B1995" t="s">
        <v>784</v>
      </c>
      <c r="C1995" t="s">
        <v>1601</v>
      </c>
      <c r="D1995" t="s">
        <v>33</v>
      </c>
      <c r="E1995" t="s">
        <v>1602</v>
      </c>
      <c r="F1995" t="s">
        <v>787</v>
      </c>
      <c r="G1995" t="s">
        <v>1603</v>
      </c>
      <c r="H1995" t="s">
        <v>6381</v>
      </c>
      <c r="I1995" t="b">
        <v>0</v>
      </c>
      <c r="J1995">
        <v>45</v>
      </c>
      <c r="K1995">
        <v>299</v>
      </c>
      <c r="L1995">
        <v>134</v>
      </c>
      <c r="M1995">
        <f>COUNTIF(H1995:$H$2581,H1995)</f>
        <v>14</v>
      </c>
    </row>
    <row r="1996" spans="1:13" x14ac:dyDescent="0.2">
      <c r="A1996">
        <v>2532</v>
      </c>
      <c r="B1996" t="s">
        <v>754</v>
      </c>
      <c r="C1996" t="s">
        <v>1631</v>
      </c>
      <c r="D1996" t="s">
        <v>33</v>
      </c>
      <c r="E1996" t="s">
        <v>1632</v>
      </c>
      <c r="F1996" t="s">
        <v>757</v>
      </c>
      <c r="G1996" t="s">
        <v>1633</v>
      </c>
      <c r="H1996" t="s">
        <v>6381</v>
      </c>
      <c r="I1996" t="b">
        <v>0</v>
      </c>
      <c r="J1996">
        <v>294</v>
      </c>
      <c r="K1996">
        <v>2533</v>
      </c>
      <c r="L1996">
        <v>97</v>
      </c>
      <c r="M1996">
        <f>COUNTIF(H1996:$H$2581,H1996)</f>
        <v>13</v>
      </c>
    </row>
    <row r="1997" spans="1:13" x14ac:dyDescent="0.2">
      <c r="A1997">
        <v>424</v>
      </c>
      <c r="B1997" t="s">
        <v>1634</v>
      </c>
      <c r="C1997" t="s">
        <v>1635</v>
      </c>
      <c r="D1997" t="s">
        <v>13</v>
      </c>
      <c r="E1997" t="s">
        <v>1636</v>
      </c>
      <c r="F1997" t="s">
        <v>1637</v>
      </c>
      <c r="G1997" t="s">
        <v>1638</v>
      </c>
      <c r="H1997" t="s">
        <v>6381</v>
      </c>
      <c r="I1997" t="s">
        <v>24</v>
      </c>
      <c r="J1997">
        <v>62</v>
      </c>
      <c r="K1997">
        <v>425</v>
      </c>
      <c r="L1997">
        <v>187</v>
      </c>
      <c r="M1997">
        <f>COUNTIF(H1997:$H$2581,H1997)</f>
        <v>12</v>
      </c>
    </row>
    <row r="1998" spans="1:13" x14ac:dyDescent="0.2">
      <c r="A1998">
        <v>1820</v>
      </c>
      <c r="B1998" t="s">
        <v>434</v>
      </c>
      <c r="C1998" t="s">
        <v>1644</v>
      </c>
      <c r="D1998" t="s">
        <v>33</v>
      </c>
      <c r="E1998" t="s">
        <v>1645</v>
      </c>
      <c r="F1998" t="s">
        <v>437</v>
      </c>
      <c r="G1998" t="s">
        <v>1646</v>
      </c>
      <c r="H1998" t="s">
        <v>6381</v>
      </c>
      <c r="I1998" t="b">
        <v>0</v>
      </c>
      <c r="J1998">
        <v>212</v>
      </c>
      <c r="K1998">
        <v>1821</v>
      </c>
      <c r="L1998">
        <v>452</v>
      </c>
      <c r="M1998">
        <f>COUNTIF(H1998:$H$2581,H1998)</f>
        <v>11</v>
      </c>
    </row>
    <row r="1999" spans="1:13" x14ac:dyDescent="0.2">
      <c r="A1999">
        <v>929</v>
      </c>
      <c r="B1999" t="s">
        <v>498</v>
      </c>
      <c r="C1999" t="s">
        <v>1647</v>
      </c>
      <c r="D1999" t="s">
        <v>54</v>
      </c>
      <c r="E1999" t="s">
        <v>1648</v>
      </c>
      <c r="F1999" t="s">
        <v>501</v>
      </c>
      <c r="G1999" t="s">
        <v>1649</v>
      </c>
      <c r="H1999" t="s">
        <v>6381</v>
      </c>
      <c r="I1999" t="b">
        <v>0</v>
      </c>
      <c r="J1999">
        <v>122</v>
      </c>
      <c r="K1999">
        <v>930</v>
      </c>
      <c r="L1999">
        <v>348</v>
      </c>
      <c r="M1999">
        <f>COUNTIF(H1999:$H$2581,H1999)</f>
        <v>10</v>
      </c>
    </row>
    <row r="2000" spans="1:13" x14ac:dyDescent="0.2">
      <c r="A2000">
        <v>1761</v>
      </c>
      <c r="B2000" t="s">
        <v>216</v>
      </c>
      <c r="C2000" t="s">
        <v>1651</v>
      </c>
      <c r="D2000" t="s">
        <v>13</v>
      </c>
      <c r="E2000" t="s">
        <v>1652</v>
      </c>
      <c r="F2000" t="s">
        <v>219</v>
      </c>
      <c r="G2000" t="s">
        <v>1653</v>
      </c>
      <c r="H2000" t="s">
        <v>6381</v>
      </c>
      <c r="I2000" t="b">
        <v>1</v>
      </c>
      <c r="J2000">
        <v>209</v>
      </c>
      <c r="K2000">
        <v>1762</v>
      </c>
      <c r="L2000">
        <v>570</v>
      </c>
      <c r="M2000">
        <f>COUNTIF(H2000:$H$2581,H2000)</f>
        <v>9</v>
      </c>
    </row>
    <row r="2001" spans="1:13" x14ac:dyDescent="0.2">
      <c r="A2001">
        <v>2180</v>
      </c>
      <c r="B2001" t="s">
        <v>1180</v>
      </c>
      <c r="C2001" t="s">
        <v>1655</v>
      </c>
      <c r="D2001" t="s">
        <v>13</v>
      </c>
      <c r="E2001" t="s">
        <v>1656</v>
      </c>
      <c r="F2001" t="s">
        <v>1183</v>
      </c>
      <c r="G2001" t="s">
        <v>1657</v>
      </c>
      <c r="H2001" t="s">
        <v>6381</v>
      </c>
      <c r="I2001" t="b">
        <v>1</v>
      </c>
      <c r="J2001">
        <v>256</v>
      </c>
      <c r="K2001">
        <v>2181</v>
      </c>
      <c r="L2001">
        <v>647</v>
      </c>
      <c r="M2001">
        <f>COUNTIF(H2001:$H$2581,H2001)</f>
        <v>8</v>
      </c>
    </row>
    <row r="2002" spans="1:13" x14ac:dyDescent="0.2">
      <c r="A2002">
        <v>375</v>
      </c>
      <c r="B2002" t="s">
        <v>1659</v>
      </c>
      <c r="C2002" t="s">
        <v>1660</v>
      </c>
      <c r="D2002" t="s">
        <v>33</v>
      </c>
      <c r="E2002" t="s">
        <v>1661</v>
      </c>
      <c r="F2002" t="s">
        <v>1662</v>
      </c>
      <c r="G2002" t="s">
        <v>1663</v>
      </c>
      <c r="H2002" t="s">
        <v>6381</v>
      </c>
      <c r="I2002" t="b">
        <v>0</v>
      </c>
      <c r="J2002">
        <v>52</v>
      </c>
      <c r="K2002">
        <v>376</v>
      </c>
      <c r="L2002">
        <v>170</v>
      </c>
      <c r="M2002">
        <f>COUNTIF(H2002:$H$2581,H2002)</f>
        <v>7</v>
      </c>
    </row>
    <row r="2003" spans="1:13" x14ac:dyDescent="0.2">
      <c r="A2003">
        <v>1172</v>
      </c>
      <c r="B2003" t="s">
        <v>1665</v>
      </c>
      <c r="C2003" t="s">
        <v>1666</v>
      </c>
      <c r="D2003" t="s">
        <v>13</v>
      </c>
      <c r="E2003" t="s">
        <v>1667</v>
      </c>
      <c r="F2003" t="s">
        <v>1668</v>
      </c>
      <c r="G2003" t="s">
        <v>1669</v>
      </c>
      <c r="H2003" t="s">
        <v>6381</v>
      </c>
      <c r="I2003" t="b">
        <v>1</v>
      </c>
      <c r="J2003">
        <v>144</v>
      </c>
      <c r="K2003">
        <v>1173</v>
      </c>
      <c r="L2003">
        <v>405</v>
      </c>
      <c r="M2003">
        <f>COUNTIF(H2003:$H$2581,H2003)</f>
        <v>6</v>
      </c>
    </row>
    <row r="2004" spans="1:13" x14ac:dyDescent="0.2">
      <c r="A2004">
        <v>1086</v>
      </c>
      <c r="B2004" t="s">
        <v>1075</v>
      </c>
      <c r="C2004" t="s">
        <v>1671</v>
      </c>
      <c r="D2004" t="s">
        <v>54</v>
      </c>
      <c r="E2004" t="s">
        <v>1672</v>
      </c>
      <c r="F2004" t="s">
        <v>1078</v>
      </c>
      <c r="G2004" t="s">
        <v>1673</v>
      </c>
      <c r="H2004" t="s">
        <v>6381</v>
      </c>
      <c r="I2004" t="s">
        <v>24</v>
      </c>
      <c r="J2004">
        <v>133</v>
      </c>
      <c r="K2004">
        <v>1087</v>
      </c>
      <c r="L2004">
        <v>378</v>
      </c>
      <c r="M2004">
        <f>COUNTIF(H2004:$H$2581,H2004)</f>
        <v>5</v>
      </c>
    </row>
    <row r="2005" spans="1:13" x14ac:dyDescent="0.2">
      <c r="A2005">
        <v>1437</v>
      </c>
      <c r="B2005" t="s">
        <v>763</v>
      </c>
      <c r="C2005" t="s">
        <v>1675</v>
      </c>
      <c r="D2005" t="s">
        <v>54</v>
      </c>
      <c r="E2005" t="s">
        <v>1676</v>
      </c>
      <c r="F2005" t="s">
        <v>766</v>
      </c>
      <c r="G2005" t="s">
        <v>1677</v>
      </c>
      <c r="H2005" t="s">
        <v>6381</v>
      </c>
      <c r="I2005" t="b">
        <v>1</v>
      </c>
      <c r="J2005">
        <v>174</v>
      </c>
      <c r="K2005">
        <v>1438</v>
      </c>
      <c r="L2005">
        <v>482</v>
      </c>
      <c r="M2005">
        <f>COUNTIF(H2005:$H$2581,H2005)</f>
        <v>4</v>
      </c>
    </row>
    <row r="2006" spans="1:13" x14ac:dyDescent="0.2">
      <c r="A2006">
        <v>1289</v>
      </c>
      <c r="B2006" t="s">
        <v>1679</v>
      </c>
      <c r="C2006" t="s">
        <v>1680</v>
      </c>
      <c r="D2006" t="s">
        <v>13</v>
      </c>
      <c r="E2006" t="s">
        <v>1681</v>
      </c>
      <c r="F2006" t="s">
        <v>1682</v>
      </c>
      <c r="G2006" t="s">
        <v>1683</v>
      </c>
      <c r="H2006" t="s">
        <v>6381</v>
      </c>
      <c r="I2006" t="b">
        <v>1</v>
      </c>
      <c r="J2006">
        <v>159</v>
      </c>
      <c r="K2006">
        <v>1290</v>
      </c>
      <c r="L2006">
        <v>441</v>
      </c>
      <c r="M2006">
        <f>COUNTIF(H2006:$H$2581,H2006)</f>
        <v>3</v>
      </c>
    </row>
    <row r="2007" spans="1:13" x14ac:dyDescent="0.2">
      <c r="A2007">
        <v>1704</v>
      </c>
      <c r="B2007" t="s">
        <v>725</v>
      </c>
      <c r="C2007" t="s">
        <v>1685</v>
      </c>
      <c r="D2007" t="s">
        <v>13</v>
      </c>
      <c r="E2007" t="s">
        <v>1686</v>
      </c>
      <c r="F2007" t="s">
        <v>728</v>
      </c>
      <c r="G2007" t="s">
        <v>1687</v>
      </c>
      <c r="H2007" t="s">
        <v>6381</v>
      </c>
      <c r="I2007" t="b">
        <v>1</v>
      </c>
      <c r="J2007">
        <v>205</v>
      </c>
      <c r="K2007">
        <v>1705</v>
      </c>
      <c r="L2007">
        <v>561</v>
      </c>
      <c r="M2007">
        <f>COUNTIF(H2007:$H$2581,H2007)</f>
        <v>2</v>
      </c>
    </row>
    <row r="2008" spans="1:13" x14ac:dyDescent="0.2">
      <c r="A2008">
        <v>1597</v>
      </c>
      <c r="B2008" t="s">
        <v>1548</v>
      </c>
      <c r="C2008" t="s">
        <v>1689</v>
      </c>
      <c r="D2008" t="s">
        <v>13</v>
      </c>
      <c r="E2008" t="s">
        <v>1690</v>
      </c>
      <c r="F2008" t="s">
        <v>1551</v>
      </c>
      <c r="G2008" t="s">
        <v>1691</v>
      </c>
      <c r="H2008" t="s">
        <v>6381</v>
      </c>
      <c r="I2008" t="b">
        <v>0</v>
      </c>
      <c r="J2008">
        <v>196</v>
      </c>
      <c r="K2008">
        <v>1598</v>
      </c>
      <c r="L2008">
        <v>534</v>
      </c>
      <c r="M2008">
        <f>COUNTIF(H2008:$H$2581,H2008)</f>
        <v>1</v>
      </c>
    </row>
    <row r="2009" spans="1:13" x14ac:dyDescent="0.2">
      <c r="A2009">
        <v>435</v>
      </c>
      <c r="B2009" t="s">
        <v>778</v>
      </c>
      <c r="C2009" t="s">
        <v>1693</v>
      </c>
      <c r="D2009" t="s">
        <v>54</v>
      </c>
      <c r="E2009" t="s">
        <v>1694</v>
      </c>
      <c r="F2009" t="s">
        <v>781</v>
      </c>
      <c r="G2009" t="s">
        <v>1695</v>
      </c>
      <c r="H2009" t="s">
        <v>6444</v>
      </c>
      <c r="I2009" t="b">
        <v>0</v>
      </c>
      <c r="J2009">
        <v>64</v>
      </c>
      <c r="K2009">
        <v>436</v>
      </c>
      <c r="L2009">
        <v>196</v>
      </c>
      <c r="M2009">
        <f>COUNTIF(H2009:$H$2581,H2009)</f>
        <v>1</v>
      </c>
    </row>
    <row r="2010" spans="1:13" x14ac:dyDescent="0.2">
      <c r="A2010">
        <v>1129</v>
      </c>
      <c r="B2010" t="s">
        <v>1186</v>
      </c>
      <c r="C2010" t="s">
        <v>1697</v>
      </c>
      <c r="D2010" t="s">
        <v>33</v>
      </c>
      <c r="E2010" s="1" t="s">
        <v>1698</v>
      </c>
      <c r="F2010" t="s">
        <v>1189</v>
      </c>
      <c r="G2010" t="s">
        <v>1699</v>
      </c>
      <c r="H2010" t="s">
        <v>6455</v>
      </c>
      <c r="I2010" t="b">
        <v>0</v>
      </c>
      <c r="J2010">
        <v>137</v>
      </c>
      <c r="K2010">
        <v>1130</v>
      </c>
      <c r="L2010">
        <v>392</v>
      </c>
      <c r="M2010">
        <f>COUNTIF(H2010:$H$2581,H2010)</f>
        <v>3</v>
      </c>
    </row>
    <row r="2011" spans="1:13" x14ac:dyDescent="0.2">
      <c r="A2011">
        <v>1571</v>
      </c>
      <c r="B2011" t="s">
        <v>744</v>
      </c>
      <c r="C2011" t="s">
        <v>1701</v>
      </c>
      <c r="D2011" t="s">
        <v>13</v>
      </c>
      <c r="E2011" t="s">
        <v>1702</v>
      </c>
      <c r="F2011" t="s">
        <v>747</v>
      </c>
      <c r="G2011" t="s">
        <v>1703</v>
      </c>
      <c r="H2011" t="s">
        <v>6455</v>
      </c>
      <c r="I2011" t="b">
        <v>0</v>
      </c>
      <c r="J2011">
        <v>193</v>
      </c>
      <c r="K2011">
        <v>1572</v>
      </c>
      <c r="L2011">
        <v>524</v>
      </c>
      <c r="M2011">
        <f>COUNTIF(H2011:$H$2581,H2011)</f>
        <v>2</v>
      </c>
    </row>
    <row r="2012" spans="1:13" x14ac:dyDescent="0.2">
      <c r="A2012">
        <v>2548</v>
      </c>
      <c r="B2012" t="s">
        <v>1559</v>
      </c>
      <c r="C2012" t="s">
        <v>1705</v>
      </c>
      <c r="D2012" t="s">
        <v>13</v>
      </c>
      <c r="E2012" t="s">
        <v>1706</v>
      </c>
      <c r="F2012" t="s">
        <v>1562</v>
      </c>
      <c r="G2012" t="s">
        <v>1707</v>
      </c>
      <c r="H2012" t="s">
        <v>6455</v>
      </c>
      <c r="I2012" t="s">
        <v>24</v>
      </c>
      <c r="J2012">
        <v>296</v>
      </c>
      <c r="K2012">
        <v>2549</v>
      </c>
      <c r="L2012">
        <v>719</v>
      </c>
      <c r="M2012">
        <f>COUNTIF(H2012:$H$2581,H2012)</f>
        <v>1</v>
      </c>
    </row>
    <row r="2013" spans="1:13" x14ac:dyDescent="0.2">
      <c r="A2013">
        <v>702</v>
      </c>
      <c r="B2013" t="s">
        <v>730</v>
      </c>
      <c r="C2013" t="s">
        <v>1709</v>
      </c>
      <c r="D2013" t="s">
        <v>33</v>
      </c>
      <c r="E2013" t="s">
        <v>1710</v>
      </c>
      <c r="F2013" t="s">
        <v>733</v>
      </c>
      <c r="G2013" t="s">
        <v>1711</v>
      </c>
      <c r="H2013" t="s">
        <v>6472</v>
      </c>
      <c r="I2013" t="s">
        <v>24</v>
      </c>
      <c r="J2013">
        <v>103</v>
      </c>
      <c r="K2013">
        <v>703</v>
      </c>
      <c r="L2013">
        <v>294</v>
      </c>
      <c r="M2013">
        <f>COUNTIF(H2013:$H$2581,H2013)</f>
        <v>1</v>
      </c>
    </row>
    <row r="2014" spans="1:13" x14ac:dyDescent="0.2">
      <c r="A2014">
        <v>1541</v>
      </c>
      <c r="B2014" t="s">
        <v>282</v>
      </c>
      <c r="C2014" t="s">
        <v>1713</v>
      </c>
      <c r="D2014" t="s">
        <v>13</v>
      </c>
      <c r="E2014" t="s">
        <v>1714</v>
      </c>
      <c r="F2014" t="s">
        <v>285</v>
      </c>
      <c r="G2014" t="s">
        <v>1715</v>
      </c>
      <c r="H2014" t="s">
        <v>6482</v>
      </c>
      <c r="I2014" t="b">
        <v>0</v>
      </c>
      <c r="J2014">
        <v>188</v>
      </c>
      <c r="K2014">
        <v>1542</v>
      </c>
      <c r="L2014">
        <v>512</v>
      </c>
      <c r="M2014">
        <f>COUNTIF(H2014:$H$2581,H2014)</f>
        <v>62</v>
      </c>
    </row>
    <row r="2015" spans="1:13" x14ac:dyDescent="0.2">
      <c r="A2015">
        <v>1964</v>
      </c>
      <c r="B2015" t="s">
        <v>381</v>
      </c>
      <c r="C2015" t="s">
        <v>1722</v>
      </c>
      <c r="D2015" t="s">
        <v>13</v>
      </c>
      <c r="E2015" t="s">
        <v>1723</v>
      </c>
      <c r="F2015" t="s">
        <v>384</v>
      </c>
      <c r="G2015" t="s">
        <v>1724</v>
      </c>
      <c r="H2015" t="s">
        <v>6482</v>
      </c>
      <c r="I2015" t="s">
        <v>24</v>
      </c>
      <c r="J2015">
        <v>226</v>
      </c>
      <c r="K2015">
        <v>1965</v>
      </c>
      <c r="L2015">
        <v>77</v>
      </c>
      <c r="M2015">
        <f>COUNTIF(H2015:$H$2581,H2015)</f>
        <v>61</v>
      </c>
    </row>
    <row r="2016" spans="1:13" x14ac:dyDescent="0.2">
      <c r="A2016">
        <v>1153</v>
      </c>
      <c r="B2016" t="s">
        <v>1725</v>
      </c>
      <c r="C2016" t="s">
        <v>1726</v>
      </c>
      <c r="D2016" t="s">
        <v>13</v>
      </c>
      <c r="E2016" t="s">
        <v>1727</v>
      </c>
      <c r="F2016" t="s">
        <v>1728</v>
      </c>
      <c r="G2016" t="s">
        <v>1729</v>
      </c>
      <c r="H2016" t="s">
        <v>6482</v>
      </c>
      <c r="I2016" t="b">
        <v>0</v>
      </c>
      <c r="J2016">
        <v>141</v>
      </c>
      <c r="K2016">
        <v>1154</v>
      </c>
      <c r="L2016">
        <v>400</v>
      </c>
      <c r="M2016">
        <f>COUNTIF(H2016:$H$2581,H2016)</f>
        <v>60</v>
      </c>
    </row>
    <row r="2017" spans="1:13" x14ac:dyDescent="0.2">
      <c r="A2017">
        <v>2417</v>
      </c>
      <c r="B2017" t="s">
        <v>1327</v>
      </c>
      <c r="C2017" t="s">
        <v>1821</v>
      </c>
      <c r="D2017" t="s">
        <v>33</v>
      </c>
      <c r="E2017" t="s">
        <v>1822</v>
      </c>
      <c r="F2017" t="s">
        <v>1330</v>
      </c>
      <c r="G2017" t="s">
        <v>1823</v>
      </c>
      <c r="H2017" t="s">
        <v>6482</v>
      </c>
      <c r="I2017" t="b">
        <v>0</v>
      </c>
      <c r="J2017">
        <v>283</v>
      </c>
      <c r="K2017">
        <v>2418</v>
      </c>
      <c r="L2017">
        <v>84</v>
      </c>
      <c r="M2017">
        <f>COUNTIF(H2017:$H$2581,H2017)</f>
        <v>59</v>
      </c>
    </row>
    <row r="2018" spans="1:13" x14ac:dyDescent="0.2">
      <c r="A2018">
        <v>930</v>
      </c>
      <c r="B2018" t="s">
        <v>498</v>
      </c>
      <c r="C2018" t="s">
        <v>1824</v>
      </c>
      <c r="D2018" t="s">
        <v>13</v>
      </c>
      <c r="E2018" t="s">
        <v>1825</v>
      </c>
      <c r="F2018" t="s">
        <v>501</v>
      </c>
      <c r="G2018" t="s">
        <v>1826</v>
      </c>
      <c r="H2018" t="s">
        <v>6482</v>
      </c>
      <c r="I2018" t="b">
        <v>0</v>
      </c>
      <c r="J2018">
        <v>122</v>
      </c>
      <c r="K2018">
        <v>931</v>
      </c>
      <c r="L2018">
        <v>349</v>
      </c>
      <c r="M2018">
        <f>COUNTIF(H2018:$H$2581,H2018)</f>
        <v>58</v>
      </c>
    </row>
    <row r="2019" spans="1:13" x14ac:dyDescent="0.2">
      <c r="A2019">
        <v>2048</v>
      </c>
      <c r="B2019" t="s">
        <v>1798</v>
      </c>
      <c r="C2019" t="s">
        <v>1828</v>
      </c>
      <c r="D2019" t="s">
        <v>13</v>
      </c>
      <c r="E2019" t="s">
        <v>1829</v>
      </c>
      <c r="F2019" t="s">
        <v>1801</v>
      </c>
      <c r="G2019" t="s">
        <v>1830</v>
      </c>
      <c r="H2019" t="s">
        <v>6482</v>
      </c>
      <c r="I2019" t="b">
        <v>1</v>
      </c>
      <c r="J2019">
        <v>239</v>
      </c>
      <c r="K2019">
        <v>2049</v>
      </c>
      <c r="L2019">
        <v>624</v>
      </c>
      <c r="M2019">
        <f>COUNTIF(H2019:$H$2581,H2019)</f>
        <v>57</v>
      </c>
    </row>
    <row r="2020" spans="1:13" x14ac:dyDescent="0.2">
      <c r="A2020">
        <v>888</v>
      </c>
      <c r="B2020" t="s">
        <v>198</v>
      </c>
      <c r="C2020" t="s">
        <v>1832</v>
      </c>
      <c r="D2020" t="s">
        <v>33</v>
      </c>
      <c r="E2020" t="s">
        <v>1833</v>
      </c>
      <c r="F2020" t="s">
        <v>201</v>
      </c>
      <c r="G2020" t="s">
        <v>1834</v>
      </c>
      <c r="H2020" t="s">
        <v>6482</v>
      </c>
      <c r="I2020" t="b">
        <v>0</v>
      </c>
      <c r="J2020">
        <v>120</v>
      </c>
      <c r="K2020">
        <v>889</v>
      </c>
      <c r="L2020">
        <v>337</v>
      </c>
      <c r="M2020">
        <f>COUNTIF(H2020:$H$2581,H2020)</f>
        <v>56</v>
      </c>
    </row>
    <row r="2021" spans="1:13" x14ac:dyDescent="0.2">
      <c r="A2021">
        <v>1587</v>
      </c>
      <c r="B2021" t="s">
        <v>211</v>
      </c>
      <c r="C2021" t="s">
        <v>1836</v>
      </c>
      <c r="D2021" t="s">
        <v>54</v>
      </c>
      <c r="E2021" t="s">
        <v>1837</v>
      </c>
      <c r="F2021" t="s">
        <v>214</v>
      </c>
      <c r="G2021" t="s">
        <v>1838</v>
      </c>
      <c r="H2021" t="s">
        <v>6482</v>
      </c>
      <c r="I2021" t="s">
        <v>24</v>
      </c>
      <c r="J2021">
        <v>195</v>
      </c>
      <c r="K2021">
        <v>1588</v>
      </c>
      <c r="L2021">
        <v>530</v>
      </c>
      <c r="M2021">
        <f>COUNTIF(H2021:$H$2581,H2021)</f>
        <v>55</v>
      </c>
    </row>
    <row r="2022" spans="1:13" x14ac:dyDescent="0.2">
      <c r="A2022">
        <v>2549</v>
      </c>
      <c r="B2022" t="s">
        <v>1559</v>
      </c>
      <c r="C2022" t="s">
        <v>2006</v>
      </c>
      <c r="D2022" t="s">
        <v>13</v>
      </c>
      <c r="E2022" t="s">
        <v>2007</v>
      </c>
      <c r="F2022" t="s">
        <v>1562</v>
      </c>
      <c r="G2022" t="s">
        <v>2008</v>
      </c>
      <c r="H2022" t="s">
        <v>6482</v>
      </c>
      <c r="I2022" t="s">
        <v>24</v>
      </c>
      <c r="J2022">
        <v>296</v>
      </c>
      <c r="K2022">
        <v>2550</v>
      </c>
      <c r="L2022">
        <v>10</v>
      </c>
      <c r="M2022">
        <f>COUNTIF(H2022:$H$2581,H2022)</f>
        <v>54</v>
      </c>
    </row>
    <row r="2023" spans="1:13" x14ac:dyDescent="0.2">
      <c r="A2023">
        <v>1202</v>
      </c>
      <c r="B2023" t="s">
        <v>1509</v>
      </c>
      <c r="C2023" t="s">
        <v>2022</v>
      </c>
      <c r="D2023" t="s">
        <v>13</v>
      </c>
      <c r="E2023" t="s">
        <v>2023</v>
      </c>
      <c r="F2023" t="s">
        <v>1512</v>
      </c>
      <c r="G2023" t="s">
        <v>2024</v>
      </c>
      <c r="H2023" t="s">
        <v>6482</v>
      </c>
      <c r="I2023" t="b">
        <v>1</v>
      </c>
      <c r="J2023">
        <v>147</v>
      </c>
      <c r="K2023">
        <v>1203</v>
      </c>
      <c r="L2023">
        <v>98</v>
      </c>
      <c r="M2023">
        <f>COUNTIF(H2023:$H$2581,H2023)</f>
        <v>53</v>
      </c>
    </row>
    <row r="2024" spans="1:13" x14ac:dyDescent="0.2">
      <c r="A2024">
        <v>1029</v>
      </c>
      <c r="B2024" t="s">
        <v>1215</v>
      </c>
      <c r="C2024" t="s">
        <v>2025</v>
      </c>
      <c r="D2024" t="s">
        <v>13</v>
      </c>
      <c r="E2024" t="s">
        <v>2026</v>
      </c>
      <c r="F2024" t="s">
        <v>1218</v>
      </c>
      <c r="G2024" t="s">
        <v>2027</v>
      </c>
      <c r="H2024" t="s">
        <v>6482</v>
      </c>
      <c r="I2024" t="b">
        <v>1</v>
      </c>
      <c r="J2024">
        <v>129</v>
      </c>
      <c r="K2024">
        <v>1030</v>
      </c>
      <c r="L2024">
        <v>367</v>
      </c>
      <c r="M2024">
        <f>COUNTIF(H2024:$H$2581,H2024)</f>
        <v>52</v>
      </c>
    </row>
    <row r="2025" spans="1:13" x14ac:dyDescent="0.2">
      <c r="A2025">
        <v>2514</v>
      </c>
      <c r="B2025" t="s">
        <v>2029</v>
      </c>
      <c r="C2025" t="s">
        <v>2030</v>
      </c>
      <c r="D2025" t="s">
        <v>54</v>
      </c>
      <c r="E2025" t="s">
        <v>2031</v>
      </c>
      <c r="F2025" t="s">
        <v>2032</v>
      </c>
      <c r="G2025" t="s">
        <v>2033</v>
      </c>
      <c r="H2025" t="s">
        <v>6482</v>
      </c>
      <c r="I2025" t="s">
        <v>24</v>
      </c>
      <c r="J2025">
        <v>292</v>
      </c>
      <c r="K2025">
        <v>2515</v>
      </c>
      <c r="L2025">
        <v>713</v>
      </c>
      <c r="M2025">
        <f>COUNTIF(H2025:$H$2581,H2025)</f>
        <v>51</v>
      </c>
    </row>
    <row r="2026" spans="1:13" x14ac:dyDescent="0.2">
      <c r="A2026">
        <v>159</v>
      </c>
      <c r="B2026" t="s">
        <v>2035</v>
      </c>
      <c r="C2026" t="s">
        <v>2036</v>
      </c>
      <c r="D2026" t="s">
        <v>13</v>
      </c>
      <c r="E2026" t="s">
        <v>2037</v>
      </c>
      <c r="F2026" t="s">
        <v>2038</v>
      </c>
      <c r="G2026" t="s">
        <v>2039</v>
      </c>
      <c r="H2026" t="s">
        <v>6482</v>
      </c>
      <c r="I2026" t="s">
        <v>24</v>
      </c>
      <c r="J2026">
        <v>29</v>
      </c>
      <c r="K2026">
        <v>160</v>
      </c>
      <c r="L2026">
        <v>82</v>
      </c>
      <c r="M2026">
        <f>COUNTIF(H2026:$H$2581,H2026)</f>
        <v>50</v>
      </c>
    </row>
    <row r="2027" spans="1:13" x14ac:dyDescent="0.2">
      <c r="A2027">
        <v>180</v>
      </c>
      <c r="B2027" t="s">
        <v>557</v>
      </c>
      <c r="C2027" t="s">
        <v>2041</v>
      </c>
      <c r="D2027" t="s">
        <v>13</v>
      </c>
      <c r="E2027" t="s">
        <v>2042</v>
      </c>
      <c r="F2027" t="s">
        <v>560</v>
      </c>
      <c r="G2027" t="s">
        <v>2043</v>
      </c>
      <c r="H2027" t="s">
        <v>6482</v>
      </c>
      <c r="I2027" t="s">
        <v>24</v>
      </c>
      <c r="J2027">
        <v>34</v>
      </c>
      <c r="K2027">
        <v>181</v>
      </c>
      <c r="L2027">
        <v>85</v>
      </c>
      <c r="M2027">
        <f>COUNTIF(H2027:$H$2581,H2027)</f>
        <v>49</v>
      </c>
    </row>
    <row r="2028" spans="1:13" x14ac:dyDescent="0.2">
      <c r="A2028">
        <v>1439</v>
      </c>
      <c r="B2028" t="s">
        <v>763</v>
      </c>
      <c r="C2028" t="s">
        <v>2045</v>
      </c>
      <c r="D2028" t="s">
        <v>13</v>
      </c>
      <c r="E2028" t="s">
        <v>2046</v>
      </c>
      <c r="F2028" t="s">
        <v>766</v>
      </c>
      <c r="G2028" t="s">
        <v>2047</v>
      </c>
      <c r="H2028" t="s">
        <v>6482</v>
      </c>
      <c r="I2028" t="b">
        <v>1</v>
      </c>
      <c r="J2028">
        <v>174</v>
      </c>
      <c r="K2028">
        <v>1440</v>
      </c>
      <c r="L2028">
        <v>483</v>
      </c>
      <c r="M2028">
        <f>COUNTIF(H2028:$H$2581,H2028)</f>
        <v>48</v>
      </c>
    </row>
    <row r="2029" spans="1:13" x14ac:dyDescent="0.2">
      <c r="A2029">
        <v>2107</v>
      </c>
      <c r="B2029" t="s">
        <v>984</v>
      </c>
      <c r="C2029" t="s">
        <v>2049</v>
      </c>
      <c r="D2029" t="s">
        <v>54</v>
      </c>
      <c r="E2029" t="s">
        <v>2050</v>
      </c>
      <c r="F2029" t="s">
        <v>987</v>
      </c>
      <c r="G2029" t="s">
        <v>2051</v>
      </c>
      <c r="H2029" t="s">
        <v>6482</v>
      </c>
      <c r="I2029" t="s">
        <v>24</v>
      </c>
      <c r="J2029">
        <v>243</v>
      </c>
      <c r="K2029">
        <v>2108</v>
      </c>
      <c r="L2029">
        <v>634</v>
      </c>
      <c r="M2029">
        <f>COUNTIF(H2029:$H$2581,H2029)</f>
        <v>47</v>
      </c>
    </row>
    <row r="2030" spans="1:13" x14ac:dyDescent="0.2">
      <c r="A2030">
        <v>2245</v>
      </c>
      <c r="B2030" t="s">
        <v>411</v>
      </c>
      <c r="C2030" t="s">
        <v>2059</v>
      </c>
      <c r="D2030" t="s">
        <v>54</v>
      </c>
      <c r="E2030" t="s">
        <v>2060</v>
      </c>
      <c r="F2030" t="s">
        <v>414</v>
      </c>
      <c r="G2030" t="s">
        <v>2061</v>
      </c>
      <c r="H2030" t="s">
        <v>6482</v>
      </c>
      <c r="I2030" t="s">
        <v>24</v>
      </c>
      <c r="J2030">
        <v>262</v>
      </c>
      <c r="K2030">
        <v>2246</v>
      </c>
      <c r="L2030">
        <v>282</v>
      </c>
      <c r="M2030">
        <f>COUNTIF(H2030:$H$2581,H2030)</f>
        <v>46</v>
      </c>
    </row>
    <row r="2031" spans="1:13" x14ac:dyDescent="0.2">
      <c r="A2031">
        <v>780</v>
      </c>
      <c r="B2031" t="s">
        <v>373</v>
      </c>
      <c r="C2031" t="s">
        <v>2062</v>
      </c>
      <c r="D2031" t="s">
        <v>54</v>
      </c>
      <c r="E2031" t="s">
        <v>2063</v>
      </c>
      <c r="F2031" s="1" t="s">
        <v>376</v>
      </c>
      <c r="G2031" t="s">
        <v>2064</v>
      </c>
      <c r="H2031" t="s">
        <v>6482</v>
      </c>
      <c r="I2031" t="s">
        <v>24</v>
      </c>
      <c r="J2031">
        <v>111</v>
      </c>
      <c r="K2031">
        <v>781</v>
      </c>
      <c r="L2031">
        <v>309</v>
      </c>
      <c r="M2031">
        <f>COUNTIF(H2031:$H$2581,H2031)</f>
        <v>45</v>
      </c>
    </row>
    <row r="2032" spans="1:13" x14ac:dyDescent="0.2">
      <c r="A2032">
        <v>2515</v>
      </c>
      <c r="B2032" t="s">
        <v>2029</v>
      </c>
      <c r="C2032" t="s">
        <v>2066</v>
      </c>
      <c r="D2032" t="s">
        <v>13</v>
      </c>
      <c r="E2032" t="s">
        <v>2067</v>
      </c>
      <c r="F2032" t="s">
        <v>2032</v>
      </c>
      <c r="G2032" t="s">
        <v>2068</v>
      </c>
      <c r="H2032" t="s">
        <v>6482</v>
      </c>
      <c r="I2032" t="s">
        <v>24</v>
      </c>
      <c r="J2032">
        <v>292</v>
      </c>
      <c r="K2032">
        <v>2516</v>
      </c>
      <c r="L2032">
        <v>714</v>
      </c>
      <c r="M2032">
        <f>COUNTIF(H2032:$H$2581,H2032)</f>
        <v>44</v>
      </c>
    </row>
    <row r="2033" spans="1:13" x14ac:dyDescent="0.2">
      <c r="A2033">
        <v>1821</v>
      </c>
      <c r="B2033" t="s">
        <v>434</v>
      </c>
      <c r="C2033" t="s">
        <v>2070</v>
      </c>
      <c r="D2033" t="s">
        <v>54</v>
      </c>
      <c r="E2033" t="s">
        <v>2071</v>
      </c>
      <c r="F2033" t="s">
        <v>437</v>
      </c>
      <c r="G2033" t="s">
        <v>2072</v>
      </c>
      <c r="H2033" t="s">
        <v>6482</v>
      </c>
      <c r="I2033" t="b">
        <v>0</v>
      </c>
      <c r="J2033">
        <v>212</v>
      </c>
      <c r="K2033">
        <v>1822</v>
      </c>
      <c r="L2033">
        <v>581</v>
      </c>
      <c r="M2033">
        <f>COUNTIF(H2033:$H$2581,H2033)</f>
        <v>43</v>
      </c>
    </row>
    <row r="2034" spans="1:13" x14ac:dyDescent="0.2">
      <c r="A2034">
        <v>299</v>
      </c>
      <c r="B2034" t="s">
        <v>784</v>
      </c>
      <c r="C2034" t="s">
        <v>2074</v>
      </c>
      <c r="D2034" t="s">
        <v>13</v>
      </c>
      <c r="E2034" t="s">
        <v>2075</v>
      </c>
      <c r="F2034" t="s">
        <v>787</v>
      </c>
      <c r="G2034" t="s">
        <v>2076</v>
      </c>
      <c r="H2034" t="s">
        <v>6482</v>
      </c>
      <c r="I2034" t="b">
        <v>0</v>
      </c>
      <c r="J2034">
        <v>45</v>
      </c>
      <c r="K2034">
        <v>300</v>
      </c>
      <c r="L2034">
        <v>135</v>
      </c>
      <c r="M2034">
        <f>COUNTIF(H2034:$H$2581,H2034)</f>
        <v>42</v>
      </c>
    </row>
    <row r="2035" spans="1:13" x14ac:dyDescent="0.2">
      <c r="A2035">
        <v>2033</v>
      </c>
      <c r="B2035" t="s">
        <v>1019</v>
      </c>
      <c r="C2035" t="s">
        <v>2078</v>
      </c>
      <c r="D2035" t="s">
        <v>13</v>
      </c>
      <c r="E2035" t="s">
        <v>2079</v>
      </c>
      <c r="F2035" t="s">
        <v>1022</v>
      </c>
      <c r="G2035" t="s">
        <v>2080</v>
      </c>
      <c r="H2035" t="s">
        <v>6482</v>
      </c>
      <c r="I2035" t="b">
        <v>0</v>
      </c>
      <c r="J2035">
        <v>236</v>
      </c>
      <c r="K2035">
        <v>2034</v>
      </c>
      <c r="L2035">
        <v>620</v>
      </c>
      <c r="M2035">
        <f>COUNTIF(H2035:$H$2581,H2035)</f>
        <v>41</v>
      </c>
    </row>
    <row r="2036" spans="1:13" x14ac:dyDescent="0.2">
      <c r="A2036">
        <v>2172</v>
      </c>
      <c r="B2036" t="s">
        <v>1024</v>
      </c>
      <c r="C2036" t="s">
        <v>2086</v>
      </c>
      <c r="D2036" t="s">
        <v>54</v>
      </c>
      <c r="E2036" t="s">
        <v>2087</v>
      </c>
      <c r="F2036" t="s">
        <v>1027</v>
      </c>
      <c r="G2036" t="s">
        <v>2088</v>
      </c>
      <c r="H2036" t="s">
        <v>6482</v>
      </c>
      <c r="I2036" t="b">
        <v>0</v>
      </c>
      <c r="J2036">
        <v>255</v>
      </c>
      <c r="K2036">
        <v>2173</v>
      </c>
      <c r="L2036">
        <v>422</v>
      </c>
      <c r="M2036">
        <f>COUNTIF(H2036:$H$2581,H2036)</f>
        <v>40</v>
      </c>
    </row>
    <row r="2037" spans="1:13" x14ac:dyDescent="0.2">
      <c r="A2037">
        <v>1477</v>
      </c>
      <c r="B2037" t="s">
        <v>1773</v>
      </c>
      <c r="C2037" t="s">
        <v>2089</v>
      </c>
      <c r="D2037" t="s">
        <v>54</v>
      </c>
      <c r="E2037" t="s">
        <v>2090</v>
      </c>
      <c r="F2037" t="s">
        <v>1776</v>
      </c>
      <c r="G2037" t="s">
        <v>2091</v>
      </c>
      <c r="H2037" t="s">
        <v>6482</v>
      </c>
      <c r="I2037" t="b">
        <v>0</v>
      </c>
      <c r="J2037">
        <v>180</v>
      </c>
      <c r="K2037">
        <v>1478</v>
      </c>
      <c r="L2037">
        <v>499</v>
      </c>
      <c r="M2037">
        <f>COUNTIF(H2037:$H$2581,H2037)</f>
        <v>39</v>
      </c>
    </row>
    <row r="2038" spans="1:13" x14ac:dyDescent="0.2">
      <c r="A2038">
        <v>2263</v>
      </c>
      <c r="B2038" t="s">
        <v>2093</v>
      </c>
      <c r="C2038" t="s">
        <v>2094</v>
      </c>
      <c r="D2038" t="s">
        <v>33</v>
      </c>
      <c r="E2038" t="s">
        <v>2095</v>
      </c>
      <c r="F2038" t="s">
        <v>2096</v>
      </c>
      <c r="G2038" t="s">
        <v>2097</v>
      </c>
      <c r="H2038" t="s">
        <v>6482</v>
      </c>
      <c r="I2038" t="b">
        <v>0</v>
      </c>
      <c r="J2038">
        <v>264</v>
      </c>
      <c r="K2038">
        <v>2264</v>
      </c>
      <c r="L2038">
        <v>663</v>
      </c>
      <c r="M2038">
        <f>COUNTIF(H2038:$H$2581,H2038)</f>
        <v>38</v>
      </c>
    </row>
    <row r="2039" spans="1:13" x14ac:dyDescent="0.2">
      <c r="A2039">
        <v>370</v>
      </c>
      <c r="B2039" t="s">
        <v>2099</v>
      </c>
      <c r="C2039" t="s">
        <v>2100</v>
      </c>
      <c r="D2039" t="s">
        <v>13</v>
      </c>
      <c r="E2039" t="s">
        <v>2101</v>
      </c>
      <c r="F2039" t="s">
        <v>2102</v>
      </c>
      <c r="G2039" t="s">
        <v>2103</v>
      </c>
      <c r="H2039" t="s">
        <v>6482</v>
      </c>
      <c r="I2039" t="b">
        <v>0</v>
      </c>
      <c r="J2039">
        <v>51</v>
      </c>
      <c r="K2039">
        <v>371</v>
      </c>
      <c r="L2039">
        <v>169</v>
      </c>
      <c r="M2039">
        <f>COUNTIF(H2039:$H$2581,H2039)</f>
        <v>37</v>
      </c>
    </row>
    <row r="2040" spans="1:13" x14ac:dyDescent="0.2">
      <c r="A2040">
        <v>275</v>
      </c>
      <c r="B2040" t="s">
        <v>2105</v>
      </c>
      <c r="C2040" t="s">
        <v>2106</v>
      </c>
      <c r="D2040" t="s">
        <v>54</v>
      </c>
      <c r="E2040" t="s">
        <v>2107</v>
      </c>
      <c r="F2040" t="s">
        <v>2108</v>
      </c>
      <c r="G2040" t="s">
        <v>2109</v>
      </c>
      <c r="H2040" t="s">
        <v>6482</v>
      </c>
      <c r="I2040" t="s">
        <v>24</v>
      </c>
      <c r="J2040">
        <v>44</v>
      </c>
      <c r="K2040">
        <v>276</v>
      </c>
      <c r="L2040">
        <v>119</v>
      </c>
      <c r="M2040">
        <f>COUNTIF(H2040:$H$2581,H2040)</f>
        <v>36</v>
      </c>
    </row>
    <row r="2041" spans="1:13" x14ac:dyDescent="0.2">
      <c r="A2041">
        <v>2399</v>
      </c>
      <c r="B2041" t="s">
        <v>1987</v>
      </c>
      <c r="C2041" t="s">
        <v>2111</v>
      </c>
      <c r="D2041" t="s">
        <v>13</v>
      </c>
      <c r="E2041" t="s">
        <v>2112</v>
      </c>
      <c r="F2041" t="s">
        <v>1990</v>
      </c>
      <c r="G2041" t="s">
        <v>2113</v>
      </c>
      <c r="H2041" t="s">
        <v>6482</v>
      </c>
      <c r="I2041" t="b">
        <v>1</v>
      </c>
      <c r="J2041">
        <v>281</v>
      </c>
      <c r="K2041">
        <v>2400</v>
      </c>
      <c r="L2041">
        <v>699</v>
      </c>
      <c r="M2041">
        <f>COUNTIF(H2041:$H$2581,H2041)</f>
        <v>35</v>
      </c>
    </row>
    <row r="2042" spans="1:13" x14ac:dyDescent="0.2">
      <c r="A2042">
        <v>1682</v>
      </c>
      <c r="B2042" t="s">
        <v>2134</v>
      </c>
      <c r="C2042" t="s">
        <v>2135</v>
      </c>
      <c r="D2042" t="s">
        <v>13</v>
      </c>
      <c r="E2042" t="s">
        <v>2136</v>
      </c>
      <c r="F2042" t="s">
        <v>2137</v>
      </c>
      <c r="G2042" t="s">
        <v>2138</v>
      </c>
      <c r="H2042" t="s">
        <v>6482</v>
      </c>
      <c r="I2042" t="b">
        <v>0</v>
      </c>
      <c r="J2042">
        <v>203</v>
      </c>
      <c r="K2042">
        <v>1683</v>
      </c>
      <c r="L2042">
        <v>43</v>
      </c>
      <c r="M2042">
        <f>COUNTIF(H2042:$H$2581,H2042)</f>
        <v>34</v>
      </c>
    </row>
    <row r="2043" spans="1:13" x14ac:dyDescent="0.2">
      <c r="A2043">
        <v>740</v>
      </c>
      <c r="B2043" t="s">
        <v>1450</v>
      </c>
      <c r="C2043" t="s">
        <v>2139</v>
      </c>
      <c r="D2043" t="s">
        <v>13</v>
      </c>
      <c r="E2043" t="s">
        <v>2140</v>
      </c>
      <c r="F2043" s="1" t="s">
        <v>1453</v>
      </c>
      <c r="G2043" t="s">
        <v>2141</v>
      </c>
      <c r="H2043" t="s">
        <v>6482</v>
      </c>
      <c r="I2043" t="b">
        <v>0</v>
      </c>
      <c r="J2043">
        <v>105</v>
      </c>
      <c r="K2043">
        <v>741</v>
      </c>
      <c r="L2043">
        <v>300</v>
      </c>
      <c r="M2043">
        <f>COUNTIF(H2043:$H$2581,H2043)</f>
        <v>33</v>
      </c>
    </row>
    <row r="2044" spans="1:13" x14ac:dyDescent="0.2">
      <c r="A2044">
        <v>1599</v>
      </c>
      <c r="B2044" t="s">
        <v>1548</v>
      </c>
      <c r="C2044" t="s">
        <v>2143</v>
      </c>
      <c r="D2044" t="s">
        <v>13</v>
      </c>
      <c r="E2044" t="s">
        <v>2144</v>
      </c>
      <c r="F2044" t="s">
        <v>1551</v>
      </c>
      <c r="G2044" t="s">
        <v>2145</v>
      </c>
      <c r="H2044" t="s">
        <v>6482</v>
      </c>
      <c r="I2044" t="b">
        <v>0</v>
      </c>
      <c r="J2044">
        <v>196</v>
      </c>
      <c r="K2044">
        <v>1600</v>
      </c>
      <c r="L2044">
        <v>535</v>
      </c>
      <c r="M2044">
        <f>COUNTIF(H2044:$H$2581,H2044)</f>
        <v>32</v>
      </c>
    </row>
    <row r="2045" spans="1:13" x14ac:dyDescent="0.2">
      <c r="A2045">
        <v>1970</v>
      </c>
      <c r="B2045" t="s">
        <v>608</v>
      </c>
      <c r="C2045" t="s">
        <v>2147</v>
      </c>
      <c r="D2045" t="s">
        <v>13</v>
      </c>
      <c r="E2045" t="s">
        <v>2148</v>
      </c>
      <c r="F2045" t="s">
        <v>611</v>
      </c>
      <c r="G2045" t="s">
        <v>2149</v>
      </c>
      <c r="H2045" t="s">
        <v>6482</v>
      </c>
      <c r="I2045" t="b">
        <v>1</v>
      </c>
      <c r="J2045">
        <v>227</v>
      </c>
      <c r="K2045">
        <v>1971</v>
      </c>
      <c r="L2045">
        <v>604</v>
      </c>
      <c r="M2045">
        <f>COUNTIF(H2045:$H$2581,H2045)</f>
        <v>31</v>
      </c>
    </row>
    <row r="2046" spans="1:13" x14ac:dyDescent="0.2">
      <c r="A2046">
        <v>703</v>
      </c>
      <c r="B2046" t="s">
        <v>730</v>
      </c>
      <c r="C2046" t="s">
        <v>2151</v>
      </c>
      <c r="D2046" t="s">
        <v>13</v>
      </c>
      <c r="E2046" t="s">
        <v>2152</v>
      </c>
      <c r="F2046" t="s">
        <v>733</v>
      </c>
      <c r="G2046" t="s">
        <v>2153</v>
      </c>
      <c r="H2046" t="s">
        <v>6482</v>
      </c>
      <c r="I2046" t="s">
        <v>24</v>
      </c>
      <c r="J2046">
        <v>103</v>
      </c>
      <c r="K2046">
        <v>704</v>
      </c>
      <c r="L2046">
        <v>295</v>
      </c>
      <c r="M2046">
        <f>COUNTIF(H2046:$H$2581,H2046)</f>
        <v>30</v>
      </c>
    </row>
    <row r="2047" spans="1:13" x14ac:dyDescent="0.2">
      <c r="A2047">
        <v>1173</v>
      </c>
      <c r="B2047" t="s">
        <v>1665</v>
      </c>
      <c r="C2047" t="s">
        <v>2155</v>
      </c>
      <c r="D2047" t="s">
        <v>13</v>
      </c>
      <c r="E2047" t="s">
        <v>2156</v>
      </c>
      <c r="F2047" t="s">
        <v>1668</v>
      </c>
      <c r="G2047" t="s">
        <v>2157</v>
      </c>
      <c r="H2047" t="s">
        <v>6482</v>
      </c>
      <c r="I2047" t="b">
        <v>1</v>
      </c>
      <c r="J2047">
        <v>144</v>
      </c>
      <c r="K2047">
        <v>1174</v>
      </c>
      <c r="L2047">
        <v>406</v>
      </c>
      <c r="M2047">
        <f>COUNTIF(H2047:$H$2581,H2047)</f>
        <v>29</v>
      </c>
    </row>
    <row r="2048" spans="1:13" x14ac:dyDescent="0.2">
      <c r="A2048">
        <v>858</v>
      </c>
      <c r="B2048" t="s">
        <v>1091</v>
      </c>
      <c r="C2048" t="s">
        <v>2159</v>
      </c>
      <c r="D2048" t="s">
        <v>54</v>
      </c>
      <c r="E2048" t="s">
        <v>2160</v>
      </c>
      <c r="F2048" t="s">
        <v>1094</v>
      </c>
      <c r="G2048" t="s">
        <v>2161</v>
      </c>
      <c r="H2048" t="s">
        <v>6482</v>
      </c>
      <c r="I2048" t="b">
        <v>1</v>
      </c>
      <c r="J2048">
        <v>118</v>
      </c>
      <c r="K2048">
        <v>859</v>
      </c>
      <c r="L2048">
        <v>331</v>
      </c>
      <c r="M2048">
        <f>COUNTIF(H2048:$H$2581,H2048)</f>
        <v>28</v>
      </c>
    </row>
    <row r="2049" spans="1:13" x14ac:dyDescent="0.2">
      <c r="A2049">
        <v>1999</v>
      </c>
      <c r="B2049" t="s">
        <v>1009</v>
      </c>
      <c r="C2049" t="s">
        <v>2163</v>
      </c>
      <c r="D2049" t="s">
        <v>54</v>
      </c>
      <c r="E2049" t="s">
        <v>2164</v>
      </c>
      <c r="F2049" t="s">
        <v>1012</v>
      </c>
      <c r="G2049" t="s">
        <v>2165</v>
      </c>
      <c r="H2049" t="s">
        <v>6482</v>
      </c>
      <c r="I2049" t="s">
        <v>24</v>
      </c>
      <c r="J2049">
        <v>232</v>
      </c>
      <c r="K2049">
        <v>2000</v>
      </c>
      <c r="L2049">
        <v>612</v>
      </c>
      <c r="M2049">
        <f>COUNTIF(H2049:$H$2581,H2049)</f>
        <v>27</v>
      </c>
    </row>
    <row r="2050" spans="1:13" x14ac:dyDescent="0.2">
      <c r="A2050">
        <v>1358</v>
      </c>
      <c r="B2050" t="s">
        <v>603</v>
      </c>
      <c r="C2050" t="s">
        <v>2167</v>
      </c>
      <c r="D2050" t="s">
        <v>33</v>
      </c>
      <c r="E2050" t="s">
        <v>2168</v>
      </c>
      <c r="F2050" t="s">
        <v>606</v>
      </c>
      <c r="G2050" t="s">
        <v>2169</v>
      </c>
      <c r="H2050" t="s">
        <v>6482</v>
      </c>
      <c r="I2050" t="s">
        <v>24</v>
      </c>
      <c r="J2050">
        <v>166</v>
      </c>
      <c r="K2050">
        <v>1359</v>
      </c>
      <c r="L2050">
        <v>456</v>
      </c>
      <c r="M2050">
        <f>COUNTIF(H2050:$H$2581,H2050)</f>
        <v>26</v>
      </c>
    </row>
    <row r="2051" spans="1:13" x14ac:dyDescent="0.2">
      <c r="A2051">
        <v>2458</v>
      </c>
      <c r="B2051" t="s">
        <v>1411</v>
      </c>
      <c r="C2051" t="s">
        <v>2196</v>
      </c>
      <c r="D2051" t="s">
        <v>13</v>
      </c>
      <c r="E2051" t="s">
        <v>2197</v>
      </c>
      <c r="F2051" t="s">
        <v>1414</v>
      </c>
      <c r="G2051" t="s">
        <v>2198</v>
      </c>
      <c r="H2051" t="s">
        <v>6482</v>
      </c>
      <c r="I2051" t="b">
        <v>1</v>
      </c>
      <c r="J2051">
        <v>285</v>
      </c>
      <c r="K2051">
        <v>2459</v>
      </c>
      <c r="L2051">
        <v>204</v>
      </c>
      <c r="M2051">
        <f>COUNTIF(H2051:$H$2581,H2051)</f>
        <v>25</v>
      </c>
    </row>
    <row r="2052" spans="1:13" x14ac:dyDescent="0.2">
      <c r="A2052">
        <v>2308</v>
      </c>
      <c r="B2052" t="s">
        <v>703</v>
      </c>
      <c r="C2052" t="s">
        <v>2208</v>
      </c>
      <c r="D2052" t="s">
        <v>54</v>
      </c>
      <c r="E2052" t="s">
        <v>2209</v>
      </c>
      <c r="F2052" t="s">
        <v>706</v>
      </c>
      <c r="G2052" t="s">
        <v>2210</v>
      </c>
      <c r="H2052" t="s">
        <v>6482</v>
      </c>
      <c r="I2052" t="s">
        <v>24</v>
      </c>
      <c r="J2052">
        <v>271</v>
      </c>
      <c r="K2052">
        <v>2309</v>
      </c>
      <c r="L2052">
        <v>32</v>
      </c>
      <c r="M2052">
        <f>COUNTIF(H2052:$H$2581,H2052)</f>
        <v>24</v>
      </c>
    </row>
    <row r="2053" spans="1:13" x14ac:dyDescent="0.2">
      <c r="A2053">
        <v>953</v>
      </c>
      <c r="B2053" t="s">
        <v>203</v>
      </c>
      <c r="C2053" t="s">
        <v>2215</v>
      </c>
      <c r="D2053" t="s">
        <v>54</v>
      </c>
      <c r="E2053" t="s">
        <v>2216</v>
      </c>
      <c r="F2053" t="s">
        <v>206</v>
      </c>
      <c r="G2053" t="s">
        <v>2217</v>
      </c>
      <c r="H2053" t="s">
        <v>6482</v>
      </c>
      <c r="I2053" t="b">
        <v>1</v>
      </c>
      <c r="J2053">
        <v>123</v>
      </c>
      <c r="K2053">
        <v>954</v>
      </c>
      <c r="L2053">
        <v>323</v>
      </c>
      <c r="M2053">
        <f>COUNTIF(H2053:$H$2581,H2053)</f>
        <v>23</v>
      </c>
    </row>
    <row r="2054" spans="1:13" x14ac:dyDescent="0.2">
      <c r="A2054">
        <v>1022</v>
      </c>
      <c r="B2054" t="s">
        <v>2218</v>
      </c>
      <c r="C2054" t="s">
        <v>2219</v>
      </c>
      <c r="D2054" t="s">
        <v>13</v>
      </c>
      <c r="E2054" t="s">
        <v>2220</v>
      </c>
      <c r="F2054" t="s">
        <v>2221</v>
      </c>
      <c r="G2054" t="s">
        <v>2222</v>
      </c>
      <c r="H2054" t="s">
        <v>6482</v>
      </c>
      <c r="I2054" t="b">
        <v>0</v>
      </c>
      <c r="J2054">
        <v>128</v>
      </c>
      <c r="K2054">
        <v>1023</v>
      </c>
      <c r="L2054">
        <v>363</v>
      </c>
      <c r="M2054">
        <f>COUNTIF(H2054:$H$2581,H2054)</f>
        <v>22</v>
      </c>
    </row>
    <row r="2055" spans="1:13" x14ac:dyDescent="0.2">
      <c r="A2055">
        <v>2569</v>
      </c>
      <c r="B2055" t="s">
        <v>226</v>
      </c>
      <c r="C2055" t="s">
        <v>2255</v>
      </c>
      <c r="D2055" t="s">
        <v>54</v>
      </c>
      <c r="E2055" t="s">
        <v>2256</v>
      </c>
      <c r="F2055" t="s">
        <v>229</v>
      </c>
      <c r="G2055" t="s">
        <v>2257</v>
      </c>
      <c r="H2055" t="s">
        <v>6482</v>
      </c>
      <c r="I2055" t="b">
        <v>1</v>
      </c>
      <c r="J2055">
        <v>299</v>
      </c>
      <c r="K2055">
        <v>2570</v>
      </c>
      <c r="L2055">
        <v>289</v>
      </c>
      <c r="M2055">
        <f>COUNTIF(H2055:$H$2581,H2055)</f>
        <v>21</v>
      </c>
    </row>
    <row r="2056" spans="1:13" x14ac:dyDescent="0.2">
      <c r="A2056">
        <v>1600</v>
      </c>
      <c r="B2056" t="s">
        <v>1548</v>
      </c>
      <c r="C2056" t="s">
        <v>2258</v>
      </c>
      <c r="D2056" t="s">
        <v>13</v>
      </c>
      <c r="E2056" t="s">
        <v>2259</v>
      </c>
      <c r="F2056" t="s">
        <v>1551</v>
      </c>
      <c r="G2056" t="s">
        <v>2260</v>
      </c>
      <c r="H2056" t="s">
        <v>6482</v>
      </c>
      <c r="I2056" t="b">
        <v>0</v>
      </c>
      <c r="J2056">
        <v>196</v>
      </c>
      <c r="K2056">
        <v>1601</v>
      </c>
      <c r="L2056">
        <v>536</v>
      </c>
      <c r="M2056">
        <f>COUNTIF(H2056:$H$2581,H2056)</f>
        <v>20</v>
      </c>
    </row>
    <row r="2057" spans="1:13" x14ac:dyDescent="0.2">
      <c r="A2057">
        <v>1395</v>
      </c>
      <c r="B2057" t="s">
        <v>170</v>
      </c>
      <c r="C2057" t="s">
        <v>2262</v>
      </c>
      <c r="D2057" t="s">
        <v>13</v>
      </c>
      <c r="E2057" t="s">
        <v>2263</v>
      </c>
      <c r="F2057" t="s">
        <v>173</v>
      </c>
      <c r="G2057" t="s">
        <v>2264</v>
      </c>
      <c r="H2057" t="s">
        <v>6482</v>
      </c>
      <c r="I2057" t="b">
        <v>1</v>
      </c>
      <c r="J2057">
        <v>168</v>
      </c>
      <c r="K2057">
        <v>1396</v>
      </c>
      <c r="L2057">
        <v>467</v>
      </c>
      <c r="M2057">
        <f>COUNTIF(H2057:$H$2581,H2057)</f>
        <v>19</v>
      </c>
    </row>
    <row r="2058" spans="1:13" x14ac:dyDescent="0.2">
      <c r="A2058">
        <v>480</v>
      </c>
      <c r="B2058" t="s">
        <v>2266</v>
      </c>
      <c r="C2058" t="s">
        <v>2267</v>
      </c>
      <c r="D2058" t="s">
        <v>13</v>
      </c>
      <c r="E2058" t="s">
        <v>2268</v>
      </c>
      <c r="F2058" t="s">
        <v>2269</v>
      </c>
      <c r="G2058" t="s">
        <v>2270</v>
      </c>
      <c r="H2058" t="s">
        <v>6482</v>
      </c>
      <c r="I2058" t="s">
        <v>24</v>
      </c>
      <c r="J2058">
        <v>68</v>
      </c>
      <c r="K2058">
        <v>481</v>
      </c>
      <c r="L2058">
        <v>216</v>
      </c>
      <c r="M2058">
        <f>COUNTIF(H2058:$H$2581,H2058)</f>
        <v>18</v>
      </c>
    </row>
    <row r="2059" spans="1:13" x14ac:dyDescent="0.2">
      <c r="A2059">
        <v>1348</v>
      </c>
      <c r="B2059" t="s">
        <v>864</v>
      </c>
      <c r="C2059" t="s">
        <v>865</v>
      </c>
      <c r="D2059" t="s">
        <v>13</v>
      </c>
      <c r="E2059" t="s">
        <v>2272</v>
      </c>
      <c r="F2059" t="s">
        <v>867</v>
      </c>
      <c r="G2059" t="s">
        <v>2273</v>
      </c>
      <c r="H2059" t="s">
        <v>6482</v>
      </c>
      <c r="I2059" t="b">
        <v>0</v>
      </c>
      <c r="J2059">
        <v>164</v>
      </c>
      <c r="K2059">
        <v>1349</v>
      </c>
      <c r="L2059">
        <v>451</v>
      </c>
      <c r="M2059">
        <f>COUNTIF(H2059:$H$2581,H2059)</f>
        <v>17</v>
      </c>
    </row>
    <row r="2060" spans="1:13" x14ac:dyDescent="0.2">
      <c r="A2060">
        <v>1822</v>
      </c>
      <c r="B2060" t="s">
        <v>434</v>
      </c>
      <c r="C2060" t="s">
        <v>2279</v>
      </c>
      <c r="D2060" t="s">
        <v>54</v>
      </c>
      <c r="E2060" t="s">
        <v>2280</v>
      </c>
      <c r="F2060" t="s">
        <v>437</v>
      </c>
      <c r="G2060" t="s">
        <v>2281</v>
      </c>
      <c r="H2060" t="s">
        <v>6482</v>
      </c>
      <c r="I2060" t="b">
        <v>0</v>
      </c>
      <c r="J2060">
        <v>212</v>
      </c>
      <c r="K2060">
        <v>1823</v>
      </c>
      <c r="L2060">
        <v>136</v>
      </c>
      <c r="M2060">
        <f>COUNTIF(H2060:$H$2581,H2060)</f>
        <v>16</v>
      </c>
    </row>
    <row r="2061" spans="1:13" x14ac:dyDescent="0.2">
      <c r="A2061">
        <v>2533</v>
      </c>
      <c r="B2061" t="s">
        <v>754</v>
      </c>
      <c r="C2061" t="s">
        <v>2324</v>
      </c>
      <c r="D2061" t="s">
        <v>33</v>
      </c>
      <c r="E2061" t="s">
        <v>2325</v>
      </c>
      <c r="F2061" t="s">
        <v>757</v>
      </c>
      <c r="G2061" t="s">
        <v>2326</v>
      </c>
      <c r="H2061" t="s">
        <v>6482</v>
      </c>
      <c r="I2061" t="b">
        <v>0</v>
      </c>
      <c r="J2061">
        <v>294</v>
      </c>
      <c r="K2061">
        <v>2534</v>
      </c>
      <c r="L2061">
        <v>120</v>
      </c>
      <c r="M2061">
        <f>COUNTIF(H2061:$H$2581,H2061)</f>
        <v>15</v>
      </c>
    </row>
    <row r="2062" spans="1:13" x14ac:dyDescent="0.2">
      <c r="A2062">
        <v>2421</v>
      </c>
      <c r="B2062" t="s">
        <v>1327</v>
      </c>
      <c r="C2062" t="s">
        <v>2414</v>
      </c>
      <c r="D2062" t="s">
        <v>33</v>
      </c>
      <c r="E2062" t="s">
        <v>2415</v>
      </c>
      <c r="F2062" t="s">
        <v>1330</v>
      </c>
      <c r="G2062" t="s">
        <v>2416</v>
      </c>
      <c r="H2062" t="s">
        <v>6482</v>
      </c>
      <c r="I2062" t="b">
        <v>0</v>
      </c>
      <c r="J2062">
        <v>283</v>
      </c>
      <c r="K2062">
        <v>2422</v>
      </c>
      <c r="L2062">
        <v>121</v>
      </c>
      <c r="M2062">
        <f>COUNTIF(H2062:$H$2581,H2062)</f>
        <v>14</v>
      </c>
    </row>
    <row r="2063" spans="1:13" x14ac:dyDescent="0.2">
      <c r="A2063">
        <v>536</v>
      </c>
      <c r="B2063" t="s">
        <v>188</v>
      </c>
      <c r="C2063" t="s">
        <v>2417</v>
      </c>
      <c r="D2063" t="s">
        <v>33</v>
      </c>
      <c r="E2063" t="s">
        <v>2418</v>
      </c>
      <c r="F2063" t="s">
        <v>191</v>
      </c>
      <c r="G2063" t="s">
        <v>2419</v>
      </c>
      <c r="H2063" t="s">
        <v>6482</v>
      </c>
      <c r="I2063" t="b">
        <v>0</v>
      </c>
      <c r="J2063">
        <v>80</v>
      </c>
      <c r="K2063">
        <v>537</v>
      </c>
      <c r="L2063">
        <v>239</v>
      </c>
      <c r="M2063">
        <f>COUNTIF(H2063:$H$2581,H2063)</f>
        <v>13</v>
      </c>
    </row>
    <row r="2064" spans="1:13" x14ac:dyDescent="0.2">
      <c r="A2064">
        <v>2459</v>
      </c>
      <c r="B2064" t="s">
        <v>1411</v>
      </c>
      <c r="C2064" t="s">
        <v>2431</v>
      </c>
      <c r="D2064" t="s">
        <v>13</v>
      </c>
      <c r="E2064" t="s">
        <v>2432</v>
      </c>
      <c r="F2064" t="s">
        <v>1414</v>
      </c>
      <c r="G2064" t="s">
        <v>2433</v>
      </c>
      <c r="H2064" t="s">
        <v>6482</v>
      </c>
      <c r="I2064" t="b">
        <v>1</v>
      </c>
      <c r="J2064">
        <v>285</v>
      </c>
      <c r="K2064">
        <v>2460</v>
      </c>
      <c r="L2064">
        <v>453</v>
      </c>
      <c r="M2064">
        <f>COUNTIF(H2064:$H$2581,H2064)</f>
        <v>12</v>
      </c>
    </row>
    <row r="2065" spans="1:13" x14ac:dyDescent="0.2">
      <c r="A2065">
        <v>690</v>
      </c>
      <c r="B2065" t="s">
        <v>1131</v>
      </c>
      <c r="C2065" t="s">
        <v>2434</v>
      </c>
      <c r="D2065" t="s">
        <v>33</v>
      </c>
      <c r="E2065" t="s">
        <v>2435</v>
      </c>
      <c r="F2065" s="1" t="s">
        <v>1134</v>
      </c>
      <c r="G2065" t="s">
        <v>2436</v>
      </c>
      <c r="H2065" t="s">
        <v>6482</v>
      </c>
      <c r="I2065" t="b">
        <v>0</v>
      </c>
      <c r="J2065">
        <v>102</v>
      </c>
      <c r="K2065">
        <v>691</v>
      </c>
      <c r="L2065">
        <v>291</v>
      </c>
      <c r="M2065">
        <f>COUNTIF(H2065:$H$2581,H2065)</f>
        <v>11</v>
      </c>
    </row>
    <row r="2066" spans="1:13" x14ac:dyDescent="0.2">
      <c r="A2066">
        <v>1505</v>
      </c>
      <c r="B2066" t="s">
        <v>2438</v>
      </c>
      <c r="C2066" t="s">
        <v>2439</v>
      </c>
      <c r="D2066" t="s">
        <v>13</v>
      </c>
      <c r="E2066" t="s">
        <v>2440</v>
      </c>
      <c r="F2066" t="s">
        <v>2441</v>
      </c>
      <c r="G2066" t="s">
        <v>2442</v>
      </c>
      <c r="H2066" t="s">
        <v>6482</v>
      </c>
      <c r="I2066" t="b">
        <v>0</v>
      </c>
      <c r="J2066">
        <v>183</v>
      </c>
      <c r="K2066">
        <v>1506</v>
      </c>
      <c r="L2066">
        <v>504</v>
      </c>
      <c r="M2066">
        <f>COUNTIF(H2066:$H$2581,H2066)</f>
        <v>10</v>
      </c>
    </row>
    <row r="2067" spans="1:13" x14ac:dyDescent="0.2">
      <c r="A2067">
        <v>1265</v>
      </c>
      <c r="B2067" t="s">
        <v>1085</v>
      </c>
      <c r="C2067" t="s">
        <v>2444</v>
      </c>
      <c r="D2067" t="s">
        <v>13</v>
      </c>
      <c r="E2067" t="s">
        <v>2445</v>
      </c>
      <c r="F2067" t="s">
        <v>1088</v>
      </c>
      <c r="G2067" t="s">
        <v>2446</v>
      </c>
      <c r="H2067" t="s">
        <v>6482</v>
      </c>
      <c r="I2067" t="s">
        <v>24</v>
      </c>
      <c r="J2067">
        <v>156</v>
      </c>
      <c r="K2067">
        <v>1266</v>
      </c>
      <c r="L2067">
        <v>434</v>
      </c>
      <c r="M2067">
        <f>COUNTIF(H2067:$H$2581,H2067)</f>
        <v>9</v>
      </c>
    </row>
    <row r="2068" spans="1:13" x14ac:dyDescent="0.2">
      <c r="A2068">
        <v>2422</v>
      </c>
      <c r="B2068" t="s">
        <v>1327</v>
      </c>
      <c r="C2068" t="s">
        <v>2475</v>
      </c>
      <c r="D2068" t="s">
        <v>33</v>
      </c>
      <c r="E2068" t="s">
        <v>2476</v>
      </c>
      <c r="F2068" t="s">
        <v>1330</v>
      </c>
      <c r="G2068" t="s">
        <v>2477</v>
      </c>
      <c r="H2068" t="s">
        <v>6482</v>
      </c>
      <c r="I2068" t="b">
        <v>0</v>
      </c>
      <c r="J2068">
        <v>283</v>
      </c>
      <c r="K2068">
        <v>2423</v>
      </c>
      <c r="L2068">
        <v>16</v>
      </c>
      <c r="M2068">
        <f>COUNTIF(H2068:$H$2581,H2068)</f>
        <v>8</v>
      </c>
    </row>
    <row r="2069" spans="1:13" x14ac:dyDescent="0.2">
      <c r="A2069">
        <v>1744</v>
      </c>
      <c r="B2069" t="s">
        <v>1403</v>
      </c>
      <c r="C2069" t="s">
        <v>2478</v>
      </c>
      <c r="D2069" t="s">
        <v>13</v>
      </c>
      <c r="E2069" t="s">
        <v>2479</v>
      </c>
      <c r="F2069" t="s">
        <v>1406</v>
      </c>
      <c r="G2069" t="s">
        <v>2480</v>
      </c>
      <c r="H2069" t="s">
        <v>6482</v>
      </c>
      <c r="I2069" t="b">
        <v>1</v>
      </c>
      <c r="J2069">
        <v>207</v>
      </c>
      <c r="K2069">
        <v>1745</v>
      </c>
      <c r="L2069">
        <v>568</v>
      </c>
      <c r="M2069">
        <f>COUNTIF(H2069:$H$2581,H2069)</f>
        <v>7</v>
      </c>
    </row>
    <row r="2070" spans="1:13" x14ac:dyDescent="0.2">
      <c r="A2070">
        <v>2011</v>
      </c>
      <c r="B2070" t="s">
        <v>444</v>
      </c>
      <c r="C2070" t="s">
        <v>2496</v>
      </c>
      <c r="D2070" t="s">
        <v>13</v>
      </c>
      <c r="E2070" t="s">
        <v>2497</v>
      </c>
      <c r="F2070" t="s">
        <v>447</v>
      </c>
      <c r="G2070" t="s">
        <v>2498</v>
      </c>
      <c r="H2070" t="s">
        <v>6482</v>
      </c>
      <c r="I2070" t="s">
        <v>24</v>
      </c>
      <c r="J2070">
        <v>233</v>
      </c>
      <c r="K2070">
        <v>2012</v>
      </c>
      <c r="L2070">
        <v>182</v>
      </c>
      <c r="M2070">
        <f>COUNTIF(H2070:$H$2581,H2070)</f>
        <v>6</v>
      </c>
    </row>
    <row r="2071" spans="1:13" x14ac:dyDescent="0.2">
      <c r="A2071">
        <v>2393</v>
      </c>
      <c r="B2071" t="s">
        <v>2316</v>
      </c>
      <c r="C2071" t="s">
        <v>2506</v>
      </c>
      <c r="D2071" t="s">
        <v>13</v>
      </c>
      <c r="E2071" t="s">
        <v>2507</v>
      </c>
      <c r="F2071" t="s">
        <v>2319</v>
      </c>
      <c r="G2071" t="s">
        <v>2508</v>
      </c>
      <c r="H2071" t="s">
        <v>6482</v>
      </c>
      <c r="I2071" t="b">
        <v>1</v>
      </c>
      <c r="J2071">
        <v>279</v>
      </c>
      <c r="K2071">
        <v>2394</v>
      </c>
      <c r="L2071">
        <v>60</v>
      </c>
      <c r="M2071">
        <f>COUNTIF(H2071:$H$2581,H2071)</f>
        <v>5</v>
      </c>
    </row>
    <row r="2072" spans="1:13" x14ac:dyDescent="0.2">
      <c r="A2072">
        <v>1977</v>
      </c>
      <c r="B2072" t="s">
        <v>1621</v>
      </c>
      <c r="C2072" t="s">
        <v>2522</v>
      </c>
      <c r="D2072" t="s">
        <v>13</v>
      </c>
      <c r="E2072" t="s">
        <v>2523</v>
      </c>
      <c r="F2072" t="s">
        <v>1624</v>
      </c>
      <c r="G2072" t="s">
        <v>2524</v>
      </c>
      <c r="H2072" t="s">
        <v>6482</v>
      </c>
      <c r="I2072" t="s">
        <v>24</v>
      </c>
      <c r="J2072">
        <v>228</v>
      </c>
      <c r="K2072">
        <v>1978</v>
      </c>
      <c r="L2072">
        <v>99</v>
      </c>
      <c r="M2072">
        <f>COUNTIF(H2072:$H$2581,H2072)</f>
        <v>4</v>
      </c>
    </row>
    <row r="2073" spans="1:13" x14ac:dyDescent="0.2">
      <c r="A2073">
        <v>951</v>
      </c>
      <c r="B2073" t="s">
        <v>203</v>
      </c>
      <c r="C2073" t="s">
        <v>2529</v>
      </c>
      <c r="D2073" t="s">
        <v>13</v>
      </c>
      <c r="E2073" t="s">
        <v>2530</v>
      </c>
      <c r="F2073" t="s">
        <v>206</v>
      </c>
      <c r="G2073" t="s">
        <v>2531</v>
      </c>
      <c r="H2073" t="s">
        <v>6482</v>
      </c>
      <c r="I2073" t="b">
        <v>1</v>
      </c>
      <c r="J2073">
        <v>123</v>
      </c>
      <c r="K2073">
        <v>952</v>
      </c>
      <c r="L2073">
        <v>175</v>
      </c>
      <c r="M2073">
        <f>COUNTIF(H2073:$H$2581,H2073)</f>
        <v>3</v>
      </c>
    </row>
    <row r="2074" spans="1:13" x14ac:dyDescent="0.2">
      <c r="A2074">
        <v>931</v>
      </c>
      <c r="B2074" t="s">
        <v>498</v>
      </c>
      <c r="C2074" t="s">
        <v>2536</v>
      </c>
      <c r="D2074" t="s">
        <v>33</v>
      </c>
      <c r="E2074" t="s">
        <v>2537</v>
      </c>
      <c r="F2074" t="s">
        <v>501</v>
      </c>
      <c r="G2074" t="s">
        <v>2538</v>
      </c>
      <c r="H2074" t="s">
        <v>6482</v>
      </c>
      <c r="I2074" t="b">
        <v>0</v>
      </c>
      <c r="J2074">
        <v>122</v>
      </c>
      <c r="K2074">
        <v>932</v>
      </c>
      <c r="L2074">
        <v>205</v>
      </c>
      <c r="M2074">
        <f>COUNTIF(H2074:$H$2581,H2074)</f>
        <v>2</v>
      </c>
    </row>
    <row r="2075" spans="1:13" x14ac:dyDescent="0.2">
      <c r="A2075">
        <v>1870</v>
      </c>
      <c r="B2075" t="s">
        <v>749</v>
      </c>
      <c r="C2075" t="s">
        <v>2539</v>
      </c>
      <c r="D2075" t="s">
        <v>54</v>
      </c>
      <c r="E2075" t="s">
        <v>2540</v>
      </c>
      <c r="F2075" t="s">
        <v>752</v>
      </c>
      <c r="G2075" t="s">
        <v>2541</v>
      </c>
      <c r="H2075" t="s">
        <v>6482</v>
      </c>
      <c r="I2075" t="s">
        <v>24</v>
      </c>
      <c r="J2075">
        <v>218</v>
      </c>
      <c r="K2075">
        <v>1871</v>
      </c>
      <c r="L2075">
        <v>592</v>
      </c>
      <c r="M2075">
        <f>COUNTIF(H2075:$H$2581,H2075)</f>
        <v>1</v>
      </c>
    </row>
    <row r="2076" spans="1:13" x14ac:dyDescent="0.2">
      <c r="A2076">
        <v>1601</v>
      </c>
      <c r="B2076" t="s">
        <v>1548</v>
      </c>
      <c r="C2076" t="s">
        <v>2547</v>
      </c>
      <c r="D2076" t="s">
        <v>13</v>
      </c>
      <c r="E2076" t="s">
        <v>2548</v>
      </c>
      <c r="F2076" t="s">
        <v>1551</v>
      </c>
      <c r="G2076" t="s">
        <v>2549</v>
      </c>
      <c r="H2076" t="s">
        <v>6687</v>
      </c>
      <c r="I2076" t="b">
        <v>0</v>
      </c>
      <c r="J2076">
        <v>196</v>
      </c>
      <c r="K2076">
        <v>1602</v>
      </c>
      <c r="L2076">
        <v>511</v>
      </c>
      <c r="M2076">
        <f>COUNTIF(H2076:$H$2581,H2076)</f>
        <v>1</v>
      </c>
    </row>
    <row r="2077" spans="1:13" x14ac:dyDescent="0.2">
      <c r="A2077">
        <v>1709</v>
      </c>
      <c r="B2077" t="s">
        <v>725</v>
      </c>
      <c r="C2077" t="s">
        <v>2550</v>
      </c>
      <c r="D2077" t="s">
        <v>54</v>
      </c>
      <c r="E2077" t="s">
        <v>2551</v>
      </c>
      <c r="F2077" t="s">
        <v>728</v>
      </c>
      <c r="G2077" t="s">
        <v>2552</v>
      </c>
      <c r="H2077" t="s">
        <v>6698</v>
      </c>
      <c r="I2077" t="b">
        <v>1</v>
      </c>
      <c r="J2077">
        <v>205</v>
      </c>
      <c r="K2077">
        <v>1710</v>
      </c>
      <c r="L2077">
        <v>562</v>
      </c>
      <c r="M2077">
        <f>COUNTIF(H2077:$H$2581,H2077)</f>
        <v>2</v>
      </c>
    </row>
    <row r="2078" spans="1:13" x14ac:dyDescent="0.2">
      <c r="A2078">
        <v>2534</v>
      </c>
      <c r="B2078" t="s">
        <v>754</v>
      </c>
      <c r="C2078" t="s">
        <v>2564</v>
      </c>
      <c r="D2078" t="s">
        <v>33</v>
      </c>
      <c r="E2078" t="s">
        <v>2565</v>
      </c>
      <c r="F2078" t="s">
        <v>757</v>
      </c>
      <c r="G2078" t="s">
        <v>2566</v>
      </c>
      <c r="H2078" t="s">
        <v>6698</v>
      </c>
      <c r="I2078" t="b">
        <v>0</v>
      </c>
      <c r="J2078">
        <v>294</v>
      </c>
      <c r="K2078">
        <v>2535</v>
      </c>
      <c r="L2078">
        <v>286</v>
      </c>
      <c r="M2078">
        <f>COUNTIF(H2078:$H$2581,H2078)</f>
        <v>1</v>
      </c>
    </row>
    <row r="2079" spans="1:13" x14ac:dyDescent="0.2">
      <c r="A2079">
        <v>2012</v>
      </c>
      <c r="B2079" t="s">
        <v>444</v>
      </c>
      <c r="C2079" t="s">
        <v>2567</v>
      </c>
      <c r="D2079" t="s">
        <v>13</v>
      </c>
      <c r="E2079" t="s">
        <v>2568</v>
      </c>
      <c r="F2079" t="s">
        <v>447</v>
      </c>
      <c r="G2079" t="s">
        <v>2569</v>
      </c>
      <c r="H2079" t="s">
        <v>6708</v>
      </c>
      <c r="I2079" t="s">
        <v>24</v>
      </c>
      <c r="J2079">
        <v>233</v>
      </c>
      <c r="K2079">
        <v>2013</v>
      </c>
      <c r="L2079">
        <v>616</v>
      </c>
      <c r="M2079">
        <f>COUNTIF(H2079:$H$2581,H2079)</f>
        <v>5</v>
      </c>
    </row>
    <row r="2080" spans="1:13" x14ac:dyDescent="0.2">
      <c r="A2080">
        <v>2478</v>
      </c>
      <c r="B2080" t="s">
        <v>1626</v>
      </c>
      <c r="C2080" t="s">
        <v>2587</v>
      </c>
      <c r="D2080" t="s">
        <v>54</v>
      </c>
      <c r="E2080" t="s">
        <v>2588</v>
      </c>
      <c r="F2080" t="s">
        <v>1629</v>
      </c>
      <c r="G2080" t="s">
        <v>2589</v>
      </c>
      <c r="H2080" t="s">
        <v>6708</v>
      </c>
      <c r="I2080" t="b">
        <v>0</v>
      </c>
      <c r="J2080">
        <v>287</v>
      </c>
      <c r="K2080">
        <v>2479</v>
      </c>
      <c r="L2080">
        <v>546</v>
      </c>
      <c r="M2080">
        <f>COUNTIF(H2080:$H$2581,H2080)</f>
        <v>4</v>
      </c>
    </row>
    <row r="2081" spans="1:13" x14ac:dyDescent="0.2">
      <c r="A2081">
        <v>595</v>
      </c>
      <c r="B2081" t="s">
        <v>1097</v>
      </c>
      <c r="C2081" t="s">
        <v>2590</v>
      </c>
      <c r="D2081" t="s">
        <v>54</v>
      </c>
      <c r="E2081" t="s">
        <v>2591</v>
      </c>
      <c r="F2081" t="s">
        <v>1100</v>
      </c>
      <c r="G2081" t="s">
        <v>2592</v>
      </c>
      <c r="H2081" t="s">
        <v>6708</v>
      </c>
      <c r="I2081" t="b">
        <v>0</v>
      </c>
      <c r="J2081">
        <v>90</v>
      </c>
      <c r="K2081">
        <v>596</v>
      </c>
      <c r="L2081">
        <v>261</v>
      </c>
      <c r="M2081">
        <f>COUNTIF(H2081:$H$2581,H2081)</f>
        <v>3</v>
      </c>
    </row>
    <row r="2082" spans="1:13" x14ac:dyDescent="0.2">
      <c r="A2082">
        <v>814</v>
      </c>
      <c r="B2082" t="s">
        <v>594</v>
      </c>
      <c r="C2082" t="s">
        <v>2594</v>
      </c>
      <c r="D2082" t="s">
        <v>54</v>
      </c>
      <c r="E2082" t="s">
        <v>2595</v>
      </c>
      <c r="F2082" t="s">
        <v>597</v>
      </c>
      <c r="G2082" t="s">
        <v>2596</v>
      </c>
      <c r="H2082" t="s">
        <v>6708</v>
      </c>
      <c r="I2082" t="b">
        <v>1</v>
      </c>
      <c r="J2082">
        <v>114</v>
      </c>
      <c r="K2082">
        <v>815</v>
      </c>
      <c r="L2082">
        <v>322</v>
      </c>
      <c r="M2082">
        <f>COUNTIF(H2082:$H$2581,H2082)</f>
        <v>2</v>
      </c>
    </row>
    <row r="2083" spans="1:13" x14ac:dyDescent="0.2">
      <c r="A2083">
        <v>319</v>
      </c>
      <c r="B2083" t="s">
        <v>98</v>
      </c>
      <c r="C2083" t="s">
        <v>2602</v>
      </c>
      <c r="D2083" t="s">
        <v>33</v>
      </c>
      <c r="E2083" t="s">
        <v>2603</v>
      </c>
      <c r="F2083" t="s">
        <v>101</v>
      </c>
      <c r="G2083" t="s">
        <v>2604</v>
      </c>
      <c r="H2083" t="s">
        <v>6708</v>
      </c>
      <c r="I2083" t="s">
        <v>24</v>
      </c>
      <c r="J2083">
        <v>46</v>
      </c>
      <c r="K2083">
        <v>320</v>
      </c>
      <c r="L2083">
        <v>66</v>
      </c>
      <c r="M2083">
        <f>COUNTIF(H2083:$H$2581,H2083)</f>
        <v>1</v>
      </c>
    </row>
    <row r="2084" spans="1:13" x14ac:dyDescent="0.2">
      <c r="A2084">
        <v>2297</v>
      </c>
      <c r="B2084" t="s">
        <v>969</v>
      </c>
      <c r="C2084" t="s">
        <v>2605</v>
      </c>
      <c r="D2084" t="s">
        <v>13</v>
      </c>
      <c r="E2084" t="s">
        <v>2606</v>
      </c>
      <c r="F2084" t="s">
        <v>972</v>
      </c>
      <c r="G2084" t="s">
        <v>2607</v>
      </c>
      <c r="H2084" t="s">
        <v>6735</v>
      </c>
      <c r="I2084" t="b">
        <v>0</v>
      </c>
      <c r="J2084">
        <v>269</v>
      </c>
      <c r="K2084">
        <v>2298</v>
      </c>
      <c r="L2084">
        <v>673</v>
      </c>
      <c r="M2084">
        <f>COUNTIF(H2084:$H$2581,H2084)</f>
        <v>1</v>
      </c>
    </row>
    <row r="2085" spans="1:13" x14ac:dyDescent="0.2">
      <c r="A2085">
        <v>2353</v>
      </c>
      <c r="B2085" t="s">
        <v>504</v>
      </c>
      <c r="C2085" t="s">
        <v>2628</v>
      </c>
      <c r="D2085" t="s">
        <v>54</v>
      </c>
      <c r="E2085" t="s">
        <v>2629</v>
      </c>
      <c r="F2085" t="s">
        <v>507</v>
      </c>
      <c r="G2085" t="s">
        <v>2630</v>
      </c>
      <c r="H2085" t="s">
        <v>6750</v>
      </c>
      <c r="I2085" t="s">
        <v>24</v>
      </c>
      <c r="J2085">
        <v>275</v>
      </c>
      <c r="K2085">
        <v>2354</v>
      </c>
      <c r="L2085">
        <v>262</v>
      </c>
      <c r="M2085">
        <f>COUNTIF(H2085:$H$2581,H2085)</f>
        <v>2</v>
      </c>
    </row>
    <row r="2086" spans="1:13" x14ac:dyDescent="0.2">
      <c r="A2086">
        <v>2326</v>
      </c>
      <c r="B2086" t="s">
        <v>900</v>
      </c>
      <c r="C2086" t="s">
        <v>2631</v>
      </c>
      <c r="D2086" t="s">
        <v>54</v>
      </c>
      <c r="E2086" t="s">
        <v>2632</v>
      </c>
      <c r="F2086" t="s">
        <v>903</v>
      </c>
      <c r="G2086" t="s">
        <v>2633</v>
      </c>
      <c r="H2086" t="s">
        <v>6750</v>
      </c>
      <c r="I2086" t="b">
        <v>0</v>
      </c>
      <c r="J2086">
        <v>274</v>
      </c>
      <c r="K2086">
        <v>2327</v>
      </c>
      <c r="L2086">
        <v>682</v>
      </c>
      <c r="M2086">
        <f>COUNTIF(H2086:$H$2581,H2086)</f>
        <v>1</v>
      </c>
    </row>
    <row r="2087" spans="1:13" x14ac:dyDescent="0.2">
      <c r="A2087">
        <v>741</v>
      </c>
      <c r="B2087" t="s">
        <v>1450</v>
      </c>
      <c r="C2087" t="s">
        <v>2635</v>
      </c>
      <c r="D2087" t="s">
        <v>33</v>
      </c>
      <c r="E2087" t="s">
        <v>2636</v>
      </c>
      <c r="F2087" s="1" t="s">
        <v>1453</v>
      </c>
      <c r="G2087" t="s">
        <v>2637</v>
      </c>
      <c r="H2087" t="s">
        <v>6764</v>
      </c>
      <c r="I2087" t="b">
        <v>0</v>
      </c>
      <c r="J2087">
        <v>105</v>
      </c>
      <c r="K2087">
        <v>742</v>
      </c>
      <c r="L2087">
        <v>301</v>
      </c>
      <c r="M2087">
        <f>COUNTIF(H2087:$H$2581,H2087)</f>
        <v>16</v>
      </c>
    </row>
    <row r="2088" spans="1:13" x14ac:dyDescent="0.2">
      <c r="A2088">
        <v>301</v>
      </c>
      <c r="B2088" t="s">
        <v>784</v>
      </c>
      <c r="C2088" t="s">
        <v>2639</v>
      </c>
      <c r="D2088" t="s">
        <v>33</v>
      </c>
      <c r="E2088" t="s">
        <v>2640</v>
      </c>
      <c r="F2088" t="s">
        <v>787</v>
      </c>
      <c r="G2088" t="s">
        <v>2641</v>
      </c>
      <c r="H2088" t="s">
        <v>6764</v>
      </c>
      <c r="I2088" t="b">
        <v>0</v>
      </c>
      <c r="J2088">
        <v>45</v>
      </c>
      <c r="K2088">
        <v>302</v>
      </c>
      <c r="L2088">
        <v>137</v>
      </c>
      <c r="M2088">
        <f>COUNTIF(H2088:$H$2581,H2088)</f>
        <v>15</v>
      </c>
    </row>
    <row r="2089" spans="1:13" x14ac:dyDescent="0.2">
      <c r="A2089">
        <v>1677</v>
      </c>
      <c r="B2089" t="s">
        <v>1112</v>
      </c>
      <c r="C2089" t="s">
        <v>2643</v>
      </c>
      <c r="D2089" t="s">
        <v>13</v>
      </c>
      <c r="E2089" t="s">
        <v>2644</v>
      </c>
      <c r="F2089" t="s">
        <v>1115</v>
      </c>
      <c r="G2089" t="s">
        <v>2645</v>
      </c>
      <c r="H2089" t="s">
        <v>6764</v>
      </c>
      <c r="I2089" t="b">
        <v>1</v>
      </c>
      <c r="J2089">
        <v>202</v>
      </c>
      <c r="K2089">
        <v>1678</v>
      </c>
      <c r="L2089">
        <v>558</v>
      </c>
      <c r="M2089">
        <f>COUNTIF(H2089:$H$2581,H2089)</f>
        <v>14</v>
      </c>
    </row>
    <row r="2090" spans="1:13" x14ac:dyDescent="0.2">
      <c r="A2090">
        <v>2031</v>
      </c>
      <c r="B2090" t="s">
        <v>134</v>
      </c>
      <c r="C2090" t="s">
        <v>2647</v>
      </c>
      <c r="D2090" t="s">
        <v>13</v>
      </c>
      <c r="E2090" t="s">
        <v>2648</v>
      </c>
      <c r="F2090" t="s">
        <v>137</v>
      </c>
      <c r="G2090" t="s">
        <v>2649</v>
      </c>
      <c r="H2090" t="s">
        <v>6764</v>
      </c>
      <c r="I2090" t="s">
        <v>24</v>
      </c>
      <c r="J2090">
        <v>235</v>
      </c>
      <c r="K2090">
        <v>2032</v>
      </c>
      <c r="L2090">
        <v>619</v>
      </c>
      <c r="M2090">
        <f>COUNTIF(H2090:$H$2581,H2090)</f>
        <v>13</v>
      </c>
    </row>
    <row r="2091" spans="1:13" x14ac:dyDescent="0.2">
      <c r="A2091">
        <v>1449</v>
      </c>
      <c r="B2091" t="s">
        <v>2651</v>
      </c>
      <c r="C2091" t="s">
        <v>2652</v>
      </c>
      <c r="D2091" t="s">
        <v>54</v>
      </c>
      <c r="E2091" t="s">
        <v>2653</v>
      </c>
      <c r="F2091" t="s">
        <v>2654</v>
      </c>
      <c r="G2091" t="s">
        <v>2655</v>
      </c>
      <c r="H2091" t="s">
        <v>6764</v>
      </c>
      <c r="I2091" t="b">
        <v>0</v>
      </c>
      <c r="J2091">
        <v>176</v>
      </c>
      <c r="K2091">
        <v>1450</v>
      </c>
      <c r="L2091">
        <v>486</v>
      </c>
      <c r="M2091">
        <f>COUNTIF(H2091:$H$2581,H2091)</f>
        <v>12</v>
      </c>
    </row>
    <row r="2092" spans="1:13" x14ac:dyDescent="0.2">
      <c r="A2092">
        <v>2198</v>
      </c>
      <c r="B2092" t="s">
        <v>1803</v>
      </c>
      <c r="C2092" t="s">
        <v>2664</v>
      </c>
      <c r="D2092" t="s">
        <v>33</v>
      </c>
      <c r="E2092" t="s">
        <v>2665</v>
      </c>
      <c r="F2092" t="s">
        <v>1806</v>
      </c>
      <c r="G2092" t="s">
        <v>2666</v>
      </c>
      <c r="H2092" t="s">
        <v>6764</v>
      </c>
      <c r="I2092" t="b">
        <v>0</v>
      </c>
      <c r="J2092">
        <v>258</v>
      </c>
      <c r="K2092">
        <v>2199</v>
      </c>
      <c r="L2092">
        <v>423</v>
      </c>
      <c r="M2092">
        <f>COUNTIF(H2092:$H$2581,H2092)</f>
        <v>11</v>
      </c>
    </row>
    <row r="2093" spans="1:13" x14ac:dyDescent="0.2">
      <c r="A2093">
        <v>1311</v>
      </c>
      <c r="B2093" t="s">
        <v>1915</v>
      </c>
      <c r="C2093" t="s">
        <v>2667</v>
      </c>
      <c r="D2093" t="s">
        <v>13</v>
      </c>
      <c r="E2093" t="s">
        <v>2668</v>
      </c>
      <c r="F2093" t="s">
        <v>1918</v>
      </c>
      <c r="G2093" t="s">
        <v>2669</v>
      </c>
      <c r="H2093" t="s">
        <v>6764</v>
      </c>
      <c r="I2093" t="s">
        <v>24</v>
      </c>
      <c r="J2093">
        <v>161</v>
      </c>
      <c r="K2093">
        <v>1312</v>
      </c>
      <c r="L2093">
        <v>447</v>
      </c>
      <c r="M2093">
        <f>COUNTIF(H2093:$H$2581,H2093)</f>
        <v>10</v>
      </c>
    </row>
    <row r="2094" spans="1:13" x14ac:dyDescent="0.2">
      <c r="A2094">
        <v>1450</v>
      </c>
      <c r="B2094" t="s">
        <v>2651</v>
      </c>
      <c r="C2094" t="s">
        <v>2671</v>
      </c>
      <c r="D2094" t="s">
        <v>54</v>
      </c>
      <c r="E2094" t="s">
        <v>2672</v>
      </c>
      <c r="F2094" t="s">
        <v>2654</v>
      </c>
      <c r="G2094" t="s">
        <v>2673</v>
      </c>
      <c r="H2094" t="s">
        <v>6764</v>
      </c>
      <c r="I2094" t="b">
        <v>0</v>
      </c>
      <c r="J2094">
        <v>176</v>
      </c>
      <c r="K2094">
        <v>1451</v>
      </c>
      <c r="L2094">
        <v>487</v>
      </c>
      <c r="M2094">
        <f>COUNTIF(H2094:$H$2581,H2094)</f>
        <v>9</v>
      </c>
    </row>
    <row r="2095" spans="1:13" x14ac:dyDescent="0.2">
      <c r="A2095">
        <v>2210</v>
      </c>
      <c r="B2095" t="s">
        <v>2675</v>
      </c>
      <c r="C2095" t="s">
        <v>2676</v>
      </c>
      <c r="D2095" t="s">
        <v>13</v>
      </c>
      <c r="E2095" t="s">
        <v>2677</v>
      </c>
      <c r="F2095" t="s">
        <v>2678</v>
      </c>
      <c r="G2095" t="s">
        <v>2679</v>
      </c>
      <c r="H2095" t="s">
        <v>6764</v>
      </c>
      <c r="I2095" t="s">
        <v>24</v>
      </c>
      <c r="J2095">
        <v>260</v>
      </c>
      <c r="K2095">
        <v>2211</v>
      </c>
      <c r="L2095">
        <v>651</v>
      </c>
      <c r="M2095">
        <f>COUNTIF(H2095:$H$2581,H2095)</f>
        <v>8</v>
      </c>
    </row>
    <row r="2096" spans="1:13" x14ac:dyDescent="0.2">
      <c r="A2096">
        <v>2517</v>
      </c>
      <c r="B2096" t="s">
        <v>2029</v>
      </c>
      <c r="C2096" t="s">
        <v>2681</v>
      </c>
      <c r="D2096" t="s">
        <v>13</v>
      </c>
      <c r="E2096" t="s">
        <v>2682</v>
      </c>
      <c r="F2096" t="s">
        <v>2032</v>
      </c>
      <c r="G2096" t="s">
        <v>2683</v>
      </c>
      <c r="H2096" t="s">
        <v>6764</v>
      </c>
      <c r="I2096" t="s">
        <v>24</v>
      </c>
      <c r="J2096">
        <v>292</v>
      </c>
      <c r="K2096">
        <v>2518</v>
      </c>
      <c r="L2096">
        <v>715</v>
      </c>
      <c r="M2096">
        <f>COUNTIF(H2096:$H$2581,H2096)</f>
        <v>7</v>
      </c>
    </row>
    <row r="2097" spans="1:13" x14ac:dyDescent="0.2">
      <c r="A2097">
        <v>2050</v>
      </c>
      <c r="B2097" t="s">
        <v>1798</v>
      </c>
      <c r="C2097" t="s">
        <v>2689</v>
      </c>
      <c r="D2097" t="s">
        <v>13</v>
      </c>
      <c r="E2097" t="s">
        <v>2690</v>
      </c>
      <c r="F2097" t="s">
        <v>1801</v>
      </c>
      <c r="G2097" t="s">
        <v>2691</v>
      </c>
      <c r="H2097" t="s">
        <v>6764</v>
      </c>
      <c r="I2097" t="b">
        <v>1</v>
      </c>
      <c r="J2097">
        <v>239</v>
      </c>
      <c r="K2097">
        <v>2051</v>
      </c>
      <c r="L2097">
        <v>563</v>
      </c>
      <c r="M2097">
        <f>COUNTIF(H2097:$H$2581,H2097)</f>
        <v>6</v>
      </c>
    </row>
    <row r="2098" spans="1:13" x14ac:dyDescent="0.2">
      <c r="A2098">
        <v>2318</v>
      </c>
      <c r="B2098" t="s">
        <v>1029</v>
      </c>
      <c r="C2098" t="s">
        <v>2692</v>
      </c>
      <c r="D2098" t="s">
        <v>13</v>
      </c>
      <c r="E2098" t="s">
        <v>2693</v>
      </c>
      <c r="F2098" t="s">
        <v>1032</v>
      </c>
      <c r="G2098" t="s">
        <v>2694</v>
      </c>
      <c r="H2098" t="s">
        <v>6764</v>
      </c>
      <c r="I2098" t="s">
        <v>24</v>
      </c>
      <c r="J2098">
        <v>273</v>
      </c>
      <c r="K2098">
        <v>2319</v>
      </c>
      <c r="L2098">
        <v>680</v>
      </c>
      <c r="M2098">
        <f>COUNTIF(H2098:$H$2581,H2098)</f>
        <v>5</v>
      </c>
    </row>
    <row r="2099" spans="1:13" x14ac:dyDescent="0.2">
      <c r="A2099">
        <v>1764</v>
      </c>
      <c r="B2099" t="s">
        <v>216</v>
      </c>
      <c r="C2099" t="s">
        <v>2700</v>
      </c>
      <c r="D2099" t="s">
        <v>54</v>
      </c>
      <c r="E2099" t="s">
        <v>2701</v>
      </c>
      <c r="F2099" t="s">
        <v>219</v>
      </c>
      <c r="G2099" t="s">
        <v>2702</v>
      </c>
      <c r="H2099" t="s">
        <v>6764</v>
      </c>
      <c r="I2099" t="b">
        <v>1</v>
      </c>
      <c r="J2099">
        <v>209</v>
      </c>
      <c r="K2099">
        <v>1765</v>
      </c>
      <c r="L2099">
        <v>564</v>
      </c>
      <c r="M2099">
        <f>COUNTIF(H2099:$H$2581,H2099)</f>
        <v>4</v>
      </c>
    </row>
    <row r="2100" spans="1:13" x14ac:dyDescent="0.2">
      <c r="A2100">
        <v>1930</v>
      </c>
      <c r="B2100" t="s">
        <v>439</v>
      </c>
      <c r="C2100" t="s">
        <v>2707</v>
      </c>
      <c r="D2100" t="s">
        <v>33</v>
      </c>
      <c r="E2100" t="s">
        <v>2708</v>
      </c>
      <c r="F2100" t="s">
        <v>442</v>
      </c>
      <c r="G2100" t="s">
        <v>2709</v>
      </c>
      <c r="H2100" t="s">
        <v>6764</v>
      </c>
      <c r="I2100" t="b">
        <v>0</v>
      </c>
      <c r="J2100">
        <v>224</v>
      </c>
      <c r="K2100">
        <v>1931</v>
      </c>
      <c r="L2100">
        <v>600</v>
      </c>
      <c r="M2100">
        <f>COUNTIF(H2100:$H$2581,H2100)</f>
        <v>3</v>
      </c>
    </row>
    <row r="2101" spans="1:13" x14ac:dyDescent="0.2">
      <c r="A2101">
        <v>1219</v>
      </c>
      <c r="B2101" t="s">
        <v>265</v>
      </c>
      <c r="C2101" t="s">
        <v>2710</v>
      </c>
      <c r="D2101" t="s">
        <v>54</v>
      </c>
      <c r="E2101" t="s">
        <v>2711</v>
      </c>
      <c r="F2101" t="s">
        <v>268</v>
      </c>
      <c r="G2101" t="s">
        <v>2712</v>
      </c>
      <c r="H2101" t="s">
        <v>6764</v>
      </c>
      <c r="I2101" t="s">
        <v>24</v>
      </c>
      <c r="J2101">
        <v>149</v>
      </c>
      <c r="K2101">
        <v>1220</v>
      </c>
      <c r="L2101">
        <v>418</v>
      </c>
      <c r="M2101">
        <f>COUNTIF(H2101:$H$2581,H2101)</f>
        <v>2</v>
      </c>
    </row>
    <row r="2102" spans="1:13" x14ac:dyDescent="0.2">
      <c r="A2102">
        <v>649</v>
      </c>
      <c r="B2102" t="s">
        <v>2726</v>
      </c>
      <c r="C2102" t="s">
        <v>2727</v>
      </c>
      <c r="D2102" t="s">
        <v>54</v>
      </c>
      <c r="E2102" t="s">
        <v>2728</v>
      </c>
      <c r="F2102" t="s">
        <v>2729</v>
      </c>
      <c r="G2102" t="s">
        <v>2730</v>
      </c>
      <c r="H2102" t="s">
        <v>6764</v>
      </c>
      <c r="I2102" t="b">
        <v>0</v>
      </c>
      <c r="J2102">
        <v>93</v>
      </c>
      <c r="K2102">
        <v>650</v>
      </c>
      <c r="L2102">
        <v>47</v>
      </c>
      <c r="M2102">
        <f>COUNTIF(H2102:$H$2581,H2102)</f>
        <v>1</v>
      </c>
    </row>
    <row r="2103" spans="1:13" x14ac:dyDescent="0.2">
      <c r="A2103">
        <v>384</v>
      </c>
      <c r="B2103" t="s">
        <v>2731</v>
      </c>
      <c r="C2103" t="s">
        <v>2732</v>
      </c>
      <c r="D2103" t="s">
        <v>13</v>
      </c>
      <c r="E2103" s="1" t="s">
        <v>2733</v>
      </c>
      <c r="F2103" t="s">
        <v>2734</v>
      </c>
      <c r="G2103" t="s">
        <v>2735</v>
      </c>
      <c r="H2103" t="s">
        <v>6820</v>
      </c>
      <c r="I2103" t="s">
        <v>24</v>
      </c>
      <c r="J2103">
        <v>53</v>
      </c>
      <c r="K2103">
        <v>385</v>
      </c>
      <c r="L2103">
        <v>173</v>
      </c>
      <c r="M2103">
        <f>COUNTIF(H2103:$H$2581,H2103)</f>
        <v>1</v>
      </c>
    </row>
    <row r="2104" spans="1:13" x14ac:dyDescent="0.2">
      <c r="A2104">
        <v>1154</v>
      </c>
      <c r="B2104" t="s">
        <v>1725</v>
      </c>
      <c r="C2104" t="s">
        <v>2737</v>
      </c>
      <c r="D2104" t="s">
        <v>13</v>
      </c>
      <c r="E2104" t="s">
        <v>2738</v>
      </c>
      <c r="F2104" t="s">
        <v>1728</v>
      </c>
      <c r="G2104" t="s">
        <v>2739</v>
      </c>
      <c r="H2104" t="s">
        <v>6835</v>
      </c>
      <c r="I2104" t="b">
        <v>0</v>
      </c>
      <c r="J2104">
        <v>141</v>
      </c>
      <c r="K2104">
        <v>1155</v>
      </c>
      <c r="L2104">
        <v>401</v>
      </c>
      <c r="M2104">
        <f>COUNTIF(H2104:$H$2581,H2104)</f>
        <v>27</v>
      </c>
    </row>
    <row r="2105" spans="1:13" x14ac:dyDescent="0.2">
      <c r="A2105">
        <v>2558</v>
      </c>
      <c r="B2105" t="s">
        <v>636</v>
      </c>
      <c r="C2105" t="s">
        <v>2745</v>
      </c>
      <c r="D2105" t="s">
        <v>33</v>
      </c>
      <c r="E2105" t="s">
        <v>2746</v>
      </c>
      <c r="F2105" t="s">
        <v>639</v>
      </c>
      <c r="G2105" t="s">
        <v>2747</v>
      </c>
      <c r="H2105" t="s">
        <v>6835</v>
      </c>
      <c r="I2105" t="b">
        <v>0</v>
      </c>
      <c r="J2105">
        <v>297</v>
      </c>
      <c r="K2105">
        <v>2559</v>
      </c>
      <c r="L2105">
        <v>387</v>
      </c>
      <c r="M2105">
        <f>COUNTIF(H2105:$H$2581,H2105)</f>
        <v>26</v>
      </c>
    </row>
    <row r="2106" spans="1:13" x14ac:dyDescent="0.2">
      <c r="A2106">
        <v>468</v>
      </c>
      <c r="B2106" t="s">
        <v>928</v>
      </c>
      <c r="C2106" t="s">
        <v>2748</v>
      </c>
      <c r="D2106" t="s">
        <v>54</v>
      </c>
      <c r="E2106" t="s">
        <v>2749</v>
      </c>
      <c r="F2106" t="s">
        <v>931</v>
      </c>
      <c r="G2106" t="s">
        <v>2750</v>
      </c>
      <c r="H2106" t="s">
        <v>6835</v>
      </c>
      <c r="I2106" t="b">
        <v>0</v>
      </c>
      <c r="J2106">
        <v>67</v>
      </c>
      <c r="K2106">
        <v>469</v>
      </c>
      <c r="L2106">
        <v>211</v>
      </c>
      <c r="M2106">
        <f>COUNTIF(H2106:$H$2581,H2106)</f>
        <v>25</v>
      </c>
    </row>
    <row r="2107" spans="1:13" x14ac:dyDescent="0.2">
      <c r="A2107">
        <v>2364</v>
      </c>
      <c r="B2107" t="s">
        <v>1816</v>
      </c>
      <c r="C2107" t="s">
        <v>2752</v>
      </c>
      <c r="D2107" t="s">
        <v>13</v>
      </c>
      <c r="E2107" t="s">
        <v>2753</v>
      </c>
      <c r="F2107" t="s">
        <v>1819</v>
      </c>
      <c r="G2107" t="s">
        <v>2754</v>
      </c>
      <c r="H2107" t="s">
        <v>6835</v>
      </c>
      <c r="I2107" t="s">
        <v>24</v>
      </c>
      <c r="J2107">
        <v>276</v>
      </c>
      <c r="K2107">
        <v>2365</v>
      </c>
      <c r="L2107">
        <v>691</v>
      </c>
      <c r="M2107">
        <f>COUNTIF(H2107:$H$2581,H2107)</f>
        <v>24</v>
      </c>
    </row>
    <row r="2108" spans="1:13" x14ac:dyDescent="0.2">
      <c r="A2108">
        <v>2559</v>
      </c>
      <c r="B2108" t="s">
        <v>636</v>
      </c>
      <c r="C2108" t="s">
        <v>2756</v>
      </c>
      <c r="D2108" t="s">
        <v>54</v>
      </c>
      <c r="E2108" t="s">
        <v>2757</v>
      </c>
      <c r="F2108" t="s">
        <v>639</v>
      </c>
      <c r="G2108" t="s">
        <v>2758</v>
      </c>
      <c r="H2108" t="s">
        <v>6835</v>
      </c>
      <c r="I2108" t="b">
        <v>0</v>
      </c>
      <c r="J2108">
        <v>297</v>
      </c>
      <c r="K2108">
        <v>2560</v>
      </c>
      <c r="L2108">
        <v>722</v>
      </c>
      <c r="M2108">
        <f>COUNTIF(H2108:$H$2581,H2108)</f>
        <v>23</v>
      </c>
    </row>
    <row r="2109" spans="1:13" x14ac:dyDescent="0.2">
      <c r="A2109">
        <v>2126</v>
      </c>
      <c r="B2109" t="s">
        <v>581</v>
      </c>
      <c r="C2109" t="s">
        <v>2760</v>
      </c>
      <c r="D2109" t="s">
        <v>13</v>
      </c>
      <c r="E2109" t="s">
        <v>2761</v>
      </c>
      <c r="F2109" s="1" t="s">
        <v>584</v>
      </c>
      <c r="G2109" t="s">
        <v>2762</v>
      </c>
      <c r="H2109" t="s">
        <v>6835</v>
      </c>
      <c r="I2109" t="b">
        <v>1</v>
      </c>
      <c r="J2109">
        <v>246</v>
      </c>
      <c r="K2109">
        <v>2127</v>
      </c>
      <c r="L2109">
        <v>641</v>
      </c>
      <c r="M2109">
        <f>COUNTIF(H2109:$H$2581,H2109)</f>
        <v>22</v>
      </c>
    </row>
    <row r="2110" spans="1:13" x14ac:dyDescent="0.2">
      <c r="A2110">
        <v>1602</v>
      </c>
      <c r="B2110" t="s">
        <v>1548</v>
      </c>
      <c r="C2110" t="s">
        <v>2764</v>
      </c>
      <c r="D2110" t="s">
        <v>13</v>
      </c>
      <c r="E2110" t="s">
        <v>2765</v>
      </c>
      <c r="F2110" t="s">
        <v>1551</v>
      </c>
      <c r="G2110" t="s">
        <v>2766</v>
      </c>
      <c r="H2110" t="s">
        <v>6835</v>
      </c>
      <c r="I2110" t="b">
        <v>0</v>
      </c>
      <c r="J2110">
        <v>196</v>
      </c>
      <c r="K2110">
        <v>1603</v>
      </c>
      <c r="L2110">
        <v>537</v>
      </c>
      <c r="M2110">
        <f>COUNTIF(H2110:$H$2581,H2110)</f>
        <v>21</v>
      </c>
    </row>
    <row r="2111" spans="1:13" x14ac:dyDescent="0.2">
      <c r="A2111">
        <v>1687</v>
      </c>
      <c r="B2111" t="s">
        <v>129</v>
      </c>
      <c r="C2111" t="s">
        <v>2772</v>
      </c>
      <c r="D2111" t="s">
        <v>54</v>
      </c>
      <c r="E2111" t="s">
        <v>2773</v>
      </c>
      <c r="F2111" t="s">
        <v>132</v>
      </c>
      <c r="G2111" t="s">
        <v>2774</v>
      </c>
      <c r="H2111" t="s">
        <v>6835</v>
      </c>
      <c r="I2111" t="b">
        <v>1</v>
      </c>
      <c r="J2111">
        <v>204</v>
      </c>
      <c r="K2111">
        <v>1688</v>
      </c>
      <c r="L2111">
        <v>81</v>
      </c>
      <c r="M2111">
        <f>COUNTIF(H2111:$H$2581,H2111)</f>
        <v>20</v>
      </c>
    </row>
    <row r="2112" spans="1:13" x14ac:dyDescent="0.2">
      <c r="A2112">
        <v>1155</v>
      </c>
      <c r="B2112" t="s">
        <v>1725</v>
      </c>
      <c r="C2112" t="s">
        <v>2775</v>
      </c>
      <c r="D2112" t="s">
        <v>13</v>
      </c>
      <c r="E2112" t="s">
        <v>2776</v>
      </c>
      <c r="F2112" t="s">
        <v>1728</v>
      </c>
      <c r="G2112" t="s">
        <v>2777</v>
      </c>
      <c r="H2112" t="s">
        <v>6835</v>
      </c>
      <c r="I2112" t="b">
        <v>0</v>
      </c>
      <c r="J2112">
        <v>141</v>
      </c>
      <c r="K2112">
        <v>1156</v>
      </c>
      <c r="L2112">
        <v>402</v>
      </c>
      <c r="M2112">
        <f>COUNTIF(H2112:$H$2581,H2112)</f>
        <v>19</v>
      </c>
    </row>
    <row r="2113" spans="1:13" x14ac:dyDescent="0.2">
      <c r="A2113">
        <v>499</v>
      </c>
      <c r="B2113" t="s">
        <v>1738</v>
      </c>
      <c r="C2113" t="s">
        <v>2779</v>
      </c>
      <c r="D2113" t="s">
        <v>54</v>
      </c>
      <c r="E2113" t="s">
        <v>2780</v>
      </c>
      <c r="F2113" t="s">
        <v>1741</v>
      </c>
      <c r="G2113" t="s">
        <v>2781</v>
      </c>
      <c r="H2113" t="s">
        <v>6835</v>
      </c>
      <c r="I2113" t="b">
        <v>0</v>
      </c>
      <c r="J2113">
        <v>71</v>
      </c>
      <c r="K2113">
        <v>500</v>
      </c>
      <c r="L2113">
        <v>221</v>
      </c>
      <c r="M2113">
        <f>COUNTIF(H2113:$H$2581,H2113)</f>
        <v>18</v>
      </c>
    </row>
    <row r="2114" spans="1:13" x14ac:dyDescent="0.2">
      <c r="A2114">
        <v>2052</v>
      </c>
      <c r="B2114" t="s">
        <v>1798</v>
      </c>
      <c r="C2114" t="s">
        <v>2783</v>
      </c>
      <c r="D2114" t="s">
        <v>13</v>
      </c>
      <c r="E2114" t="s">
        <v>2784</v>
      </c>
      <c r="F2114" t="s">
        <v>1801</v>
      </c>
      <c r="G2114" t="s">
        <v>2785</v>
      </c>
      <c r="H2114" t="s">
        <v>6835</v>
      </c>
      <c r="I2114" t="b">
        <v>1</v>
      </c>
      <c r="J2114">
        <v>239</v>
      </c>
      <c r="K2114">
        <v>2053</v>
      </c>
      <c r="L2114">
        <v>625</v>
      </c>
      <c r="M2114">
        <f>COUNTIF(H2114:$H$2581,H2114)</f>
        <v>17</v>
      </c>
    </row>
    <row r="2115" spans="1:13" x14ac:dyDescent="0.2">
      <c r="A2115">
        <v>1931</v>
      </c>
      <c r="B2115" t="s">
        <v>439</v>
      </c>
      <c r="C2115" t="s">
        <v>2802</v>
      </c>
      <c r="D2115" t="s">
        <v>54</v>
      </c>
      <c r="E2115" t="s">
        <v>2803</v>
      </c>
      <c r="F2115" t="s">
        <v>442</v>
      </c>
      <c r="G2115" t="s">
        <v>2804</v>
      </c>
      <c r="H2115" t="s">
        <v>6835</v>
      </c>
      <c r="I2115" t="b">
        <v>0</v>
      </c>
      <c r="J2115">
        <v>224</v>
      </c>
      <c r="K2115">
        <v>1932</v>
      </c>
      <c r="L2115">
        <v>38</v>
      </c>
      <c r="M2115">
        <f>COUNTIF(H2115:$H$2581,H2115)</f>
        <v>16</v>
      </c>
    </row>
    <row r="2116" spans="1:13" x14ac:dyDescent="0.2">
      <c r="A2116">
        <v>2423</v>
      </c>
      <c r="B2116" t="s">
        <v>1327</v>
      </c>
      <c r="C2116" t="s">
        <v>2854</v>
      </c>
      <c r="D2116" t="s">
        <v>54</v>
      </c>
      <c r="E2116" t="s">
        <v>2855</v>
      </c>
      <c r="F2116" t="s">
        <v>1330</v>
      </c>
      <c r="G2116" t="s">
        <v>2856</v>
      </c>
      <c r="H2116" t="s">
        <v>6835</v>
      </c>
      <c r="I2116" t="b">
        <v>0</v>
      </c>
      <c r="J2116">
        <v>283</v>
      </c>
      <c r="K2116">
        <v>2424</v>
      </c>
      <c r="L2116">
        <v>17</v>
      </c>
      <c r="M2116">
        <f>COUNTIF(H2116:$H$2581,H2116)</f>
        <v>15</v>
      </c>
    </row>
    <row r="2117" spans="1:13" x14ac:dyDescent="0.2">
      <c r="A2117">
        <v>2187</v>
      </c>
      <c r="B2117" t="s">
        <v>2870</v>
      </c>
      <c r="C2117" t="s">
        <v>2871</v>
      </c>
      <c r="D2117" t="s">
        <v>13</v>
      </c>
      <c r="E2117" t="s">
        <v>2872</v>
      </c>
      <c r="F2117" t="s">
        <v>2873</v>
      </c>
      <c r="G2117" t="s">
        <v>2874</v>
      </c>
      <c r="H2117" t="s">
        <v>6835</v>
      </c>
      <c r="I2117" t="s">
        <v>24</v>
      </c>
      <c r="J2117">
        <v>257</v>
      </c>
      <c r="K2117">
        <v>2188</v>
      </c>
      <c r="L2117">
        <v>18</v>
      </c>
      <c r="M2117">
        <f>COUNTIF(H2117:$H$2581,H2117)</f>
        <v>14</v>
      </c>
    </row>
    <row r="2118" spans="1:13" x14ac:dyDescent="0.2">
      <c r="A2118">
        <v>960</v>
      </c>
      <c r="B2118" t="s">
        <v>203</v>
      </c>
      <c r="C2118" t="s">
        <v>2879</v>
      </c>
      <c r="D2118" t="s">
        <v>13</v>
      </c>
      <c r="E2118" t="s">
        <v>2880</v>
      </c>
      <c r="F2118" t="s">
        <v>206</v>
      </c>
      <c r="G2118" t="s">
        <v>2881</v>
      </c>
      <c r="H2118" t="s">
        <v>6835</v>
      </c>
      <c r="I2118" t="b">
        <v>1</v>
      </c>
      <c r="J2118">
        <v>123</v>
      </c>
      <c r="K2118">
        <v>961</v>
      </c>
      <c r="L2118">
        <v>350</v>
      </c>
      <c r="M2118">
        <f>COUNTIF(H2118:$H$2581,H2118)</f>
        <v>13</v>
      </c>
    </row>
    <row r="2119" spans="1:13" x14ac:dyDescent="0.2">
      <c r="A2119">
        <v>1445</v>
      </c>
      <c r="B2119" t="s">
        <v>2882</v>
      </c>
      <c r="C2119" t="s">
        <v>2883</v>
      </c>
      <c r="D2119" t="s">
        <v>13</v>
      </c>
      <c r="E2119" t="s">
        <v>2884</v>
      </c>
      <c r="F2119" t="s">
        <v>2885</v>
      </c>
      <c r="G2119" t="s">
        <v>2886</v>
      </c>
      <c r="H2119" t="s">
        <v>6835</v>
      </c>
      <c r="I2119" t="b">
        <v>1</v>
      </c>
      <c r="J2119">
        <v>175</v>
      </c>
      <c r="K2119">
        <v>1446</v>
      </c>
      <c r="L2119">
        <v>485</v>
      </c>
      <c r="M2119">
        <f>COUNTIF(H2119:$H$2581,H2119)</f>
        <v>12</v>
      </c>
    </row>
    <row r="2120" spans="1:13" x14ac:dyDescent="0.2">
      <c r="A2120">
        <v>1361</v>
      </c>
      <c r="B2120" t="s">
        <v>603</v>
      </c>
      <c r="C2120" t="s">
        <v>2888</v>
      </c>
      <c r="D2120" t="s">
        <v>33</v>
      </c>
      <c r="E2120" t="s">
        <v>2889</v>
      </c>
      <c r="F2120" t="s">
        <v>606</v>
      </c>
      <c r="G2120" t="s">
        <v>2890</v>
      </c>
      <c r="H2120" t="s">
        <v>6835</v>
      </c>
      <c r="I2120" t="s">
        <v>24</v>
      </c>
      <c r="J2120">
        <v>166</v>
      </c>
      <c r="K2120">
        <v>1362</v>
      </c>
      <c r="L2120">
        <v>457</v>
      </c>
      <c r="M2120">
        <f>COUNTIF(H2120:$H$2581,H2120)</f>
        <v>11</v>
      </c>
    </row>
    <row r="2121" spans="1:13" x14ac:dyDescent="0.2">
      <c r="A2121">
        <v>2473</v>
      </c>
      <c r="B2121" t="s">
        <v>2899</v>
      </c>
      <c r="C2121" t="s">
        <v>2900</v>
      </c>
      <c r="D2121" t="s">
        <v>54</v>
      </c>
      <c r="E2121" t="s">
        <v>2901</v>
      </c>
      <c r="F2121" t="s">
        <v>2902</v>
      </c>
      <c r="G2121" t="s">
        <v>2903</v>
      </c>
      <c r="H2121" t="s">
        <v>6835</v>
      </c>
      <c r="I2121" t="b">
        <v>0</v>
      </c>
      <c r="J2121">
        <v>286</v>
      </c>
      <c r="K2121">
        <v>2474</v>
      </c>
      <c r="L2121">
        <v>246</v>
      </c>
      <c r="M2121">
        <f>COUNTIF(H2121:$H$2581,H2121)</f>
        <v>10</v>
      </c>
    </row>
    <row r="2122" spans="1:13" x14ac:dyDescent="0.2">
      <c r="A2122">
        <v>1385</v>
      </c>
      <c r="B2122" t="s">
        <v>681</v>
      </c>
      <c r="C2122" t="s">
        <v>2904</v>
      </c>
      <c r="D2122" t="s">
        <v>33</v>
      </c>
      <c r="E2122" t="s">
        <v>2905</v>
      </c>
      <c r="F2122" t="s">
        <v>684</v>
      </c>
      <c r="G2122" t="s">
        <v>2906</v>
      </c>
      <c r="H2122" t="s">
        <v>6835</v>
      </c>
      <c r="I2122" t="b">
        <v>0</v>
      </c>
      <c r="J2122">
        <v>167</v>
      </c>
      <c r="K2122">
        <v>1386</v>
      </c>
      <c r="L2122">
        <v>462</v>
      </c>
      <c r="M2122">
        <f>COUNTIF(H2122:$H$2581,H2122)</f>
        <v>9</v>
      </c>
    </row>
    <row r="2123" spans="1:13" x14ac:dyDescent="0.2">
      <c r="A2123">
        <v>2051</v>
      </c>
      <c r="B2123" t="s">
        <v>1798</v>
      </c>
      <c r="C2123" t="s">
        <v>2921</v>
      </c>
      <c r="D2123" t="s">
        <v>33</v>
      </c>
      <c r="E2123" t="s">
        <v>2922</v>
      </c>
      <c r="F2123" t="s">
        <v>1801</v>
      </c>
      <c r="G2123" t="s">
        <v>2923</v>
      </c>
      <c r="H2123" t="s">
        <v>6835</v>
      </c>
      <c r="I2123" t="b">
        <v>1</v>
      </c>
      <c r="J2123">
        <v>239</v>
      </c>
      <c r="K2123">
        <v>2052</v>
      </c>
      <c r="L2123">
        <v>357</v>
      </c>
      <c r="M2123">
        <f>COUNTIF(H2123:$H$2581,H2123)</f>
        <v>8</v>
      </c>
    </row>
    <row r="2124" spans="1:13" x14ac:dyDescent="0.2">
      <c r="A2124">
        <v>1267</v>
      </c>
      <c r="B2124" t="s">
        <v>1085</v>
      </c>
      <c r="C2124" t="s">
        <v>2924</v>
      </c>
      <c r="D2124" t="s">
        <v>54</v>
      </c>
      <c r="E2124" t="s">
        <v>2925</v>
      </c>
      <c r="F2124" t="s">
        <v>1088</v>
      </c>
      <c r="G2124" t="s">
        <v>2926</v>
      </c>
      <c r="H2124" t="s">
        <v>6835</v>
      </c>
      <c r="I2124" t="s">
        <v>24</v>
      </c>
      <c r="J2124">
        <v>156</v>
      </c>
      <c r="K2124">
        <v>1268</v>
      </c>
      <c r="L2124">
        <v>435</v>
      </c>
      <c r="M2124">
        <f>COUNTIF(H2124:$H$2581,H2124)</f>
        <v>7</v>
      </c>
    </row>
    <row r="2125" spans="1:13" x14ac:dyDescent="0.2">
      <c r="A2125">
        <v>1507</v>
      </c>
      <c r="B2125" t="s">
        <v>2438</v>
      </c>
      <c r="C2125" t="s">
        <v>2928</v>
      </c>
      <c r="D2125" t="s">
        <v>54</v>
      </c>
      <c r="E2125" t="s">
        <v>2929</v>
      </c>
      <c r="F2125" t="s">
        <v>2441</v>
      </c>
      <c r="G2125" t="s">
        <v>2930</v>
      </c>
      <c r="H2125" t="s">
        <v>6835</v>
      </c>
      <c r="I2125" t="b">
        <v>0</v>
      </c>
      <c r="J2125">
        <v>183</v>
      </c>
      <c r="K2125">
        <v>1508</v>
      </c>
      <c r="L2125">
        <v>505</v>
      </c>
      <c r="M2125">
        <f>COUNTIF(H2125:$H$2581,H2125)</f>
        <v>6</v>
      </c>
    </row>
    <row r="2126" spans="1:13" x14ac:dyDescent="0.2">
      <c r="A2126">
        <v>1994</v>
      </c>
      <c r="B2126" t="s">
        <v>1957</v>
      </c>
      <c r="C2126" t="s">
        <v>2932</v>
      </c>
      <c r="D2126" t="s">
        <v>13</v>
      </c>
      <c r="E2126" t="s">
        <v>2933</v>
      </c>
      <c r="F2126" t="s">
        <v>1960</v>
      </c>
      <c r="G2126" t="s">
        <v>2934</v>
      </c>
      <c r="H2126" t="s">
        <v>6835</v>
      </c>
      <c r="I2126" t="s">
        <v>24</v>
      </c>
      <c r="J2126">
        <v>231</v>
      </c>
      <c r="K2126">
        <v>1995</v>
      </c>
      <c r="L2126">
        <v>609</v>
      </c>
      <c r="M2126">
        <f>COUNTIF(H2126:$H$2581,H2126)</f>
        <v>5</v>
      </c>
    </row>
    <row r="2127" spans="1:13" x14ac:dyDescent="0.2">
      <c r="A2127">
        <v>2277</v>
      </c>
      <c r="B2127" t="s">
        <v>11</v>
      </c>
      <c r="C2127" t="s">
        <v>2936</v>
      </c>
      <c r="D2127" t="s">
        <v>13</v>
      </c>
      <c r="E2127" t="s">
        <v>2937</v>
      </c>
      <c r="F2127" t="s">
        <v>15</v>
      </c>
      <c r="G2127" t="s">
        <v>2938</v>
      </c>
      <c r="H2127" t="s">
        <v>6835</v>
      </c>
      <c r="I2127" t="b">
        <v>0</v>
      </c>
      <c r="J2127">
        <v>267</v>
      </c>
      <c r="K2127">
        <v>2278</v>
      </c>
      <c r="L2127">
        <v>671</v>
      </c>
      <c r="M2127">
        <f>COUNTIF(H2127:$H$2581,H2127)</f>
        <v>4</v>
      </c>
    </row>
    <row r="2128" spans="1:13" x14ac:dyDescent="0.2">
      <c r="A2128">
        <v>2551</v>
      </c>
      <c r="B2128" t="s">
        <v>1559</v>
      </c>
      <c r="C2128" t="s">
        <v>2974</v>
      </c>
      <c r="D2128" t="s">
        <v>54</v>
      </c>
      <c r="E2128" t="s">
        <v>2975</v>
      </c>
      <c r="F2128" t="s">
        <v>1562</v>
      </c>
      <c r="G2128" t="s">
        <v>2976</v>
      </c>
      <c r="H2128" t="s">
        <v>6835</v>
      </c>
      <c r="I2128" t="s">
        <v>24</v>
      </c>
      <c r="J2128">
        <v>296</v>
      </c>
      <c r="K2128">
        <v>2552</v>
      </c>
      <c r="L2128">
        <v>100</v>
      </c>
      <c r="M2128">
        <f>COUNTIF(H2128:$H$2581,H2128)</f>
        <v>3</v>
      </c>
    </row>
    <row r="2129" spans="1:13" x14ac:dyDescent="0.2">
      <c r="A2129">
        <v>1603</v>
      </c>
      <c r="B2129" t="s">
        <v>1548</v>
      </c>
      <c r="C2129" t="s">
        <v>2977</v>
      </c>
      <c r="D2129" t="s">
        <v>54</v>
      </c>
      <c r="E2129" t="s">
        <v>2978</v>
      </c>
      <c r="F2129" t="s">
        <v>1551</v>
      </c>
      <c r="G2129" t="s">
        <v>2979</v>
      </c>
      <c r="H2129" t="s">
        <v>6835</v>
      </c>
      <c r="I2129" t="b">
        <v>0</v>
      </c>
      <c r="J2129">
        <v>196</v>
      </c>
      <c r="K2129">
        <v>1604</v>
      </c>
      <c r="L2129">
        <v>538</v>
      </c>
      <c r="M2129">
        <f>COUNTIF(H2129:$H$2581,H2129)</f>
        <v>2</v>
      </c>
    </row>
    <row r="2130" spans="1:13" x14ac:dyDescent="0.2">
      <c r="A2130">
        <v>1115</v>
      </c>
      <c r="B2130" t="s">
        <v>1892</v>
      </c>
      <c r="C2130" t="s">
        <v>2981</v>
      </c>
      <c r="D2130" t="s">
        <v>13</v>
      </c>
      <c r="E2130" t="s">
        <v>2982</v>
      </c>
      <c r="F2130" t="s">
        <v>1895</v>
      </c>
      <c r="G2130" t="s">
        <v>2983</v>
      </c>
      <c r="H2130" t="s">
        <v>6835</v>
      </c>
      <c r="I2130" t="s">
        <v>24</v>
      </c>
      <c r="J2130">
        <v>135</v>
      </c>
      <c r="K2130">
        <v>1116</v>
      </c>
      <c r="L2130">
        <v>380</v>
      </c>
      <c r="M2130">
        <f>COUNTIF(H2130:$H$2581,H2130)</f>
        <v>1</v>
      </c>
    </row>
    <row r="2131" spans="1:13" x14ac:dyDescent="0.2">
      <c r="A2131">
        <v>2474</v>
      </c>
      <c r="B2131" t="s">
        <v>2899</v>
      </c>
      <c r="C2131" t="s">
        <v>2989</v>
      </c>
      <c r="D2131" t="s">
        <v>13</v>
      </c>
      <c r="E2131" t="s">
        <v>2990</v>
      </c>
      <c r="F2131" t="s">
        <v>2902</v>
      </c>
      <c r="G2131" t="s">
        <v>2991</v>
      </c>
      <c r="H2131" t="s">
        <v>6934</v>
      </c>
      <c r="I2131" t="b">
        <v>0</v>
      </c>
      <c r="J2131">
        <v>286</v>
      </c>
      <c r="K2131">
        <v>2475</v>
      </c>
      <c r="L2131">
        <v>513</v>
      </c>
      <c r="M2131">
        <f>COUNTIF(H2131:$H$2581,H2131)</f>
        <v>1</v>
      </c>
    </row>
    <row r="2132" spans="1:13" x14ac:dyDescent="0.2">
      <c r="A2132">
        <v>322</v>
      </c>
      <c r="B2132" t="s">
        <v>98</v>
      </c>
      <c r="C2132" t="s">
        <v>2996</v>
      </c>
      <c r="D2132" t="s">
        <v>54</v>
      </c>
      <c r="E2132" t="s">
        <v>2997</v>
      </c>
      <c r="F2132" t="s">
        <v>101</v>
      </c>
      <c r="G2132" t="s">
        <v>2998</v>
      </c>
      <c r="H2132" t="s">
        <v>6941</v>
      </c>
      <c r="I2132" t="s">
        <v>24</v>
      </c>
      <c r="J2132">
        <v>46</v>
      </c>
      <c r="K2132">
        <v>323</v>
      </c>
      <c r="L2132">
        <v>61</v>
      </c>
      <c r="M2132">
        <f>COUNTIF(H2132:$H$2581,H2132)</f>
        <v>4</v>
      </c>
    </row>
    <row r="2133" spans="1:13" x14ac:dyDescent="0.2">
      <c r="A2133">
        <v>2225</v>
      </c>
      <c r="B2133" t="s">
        <v>165</v>
      </c>
      <c r="C2133" t="s">
        <v>3009</v>
      </c>
      <c r="D2133" t="s">
        <v>13</v>
      </c>
      <c r="E2133" t="s">
        <v>3010</v>
      </c>
      <c r="F2133" t="s">
        <v>168</v>
      </c>
      <c r="G2133" t="s">
        <v>3011</v>
      </c>
      <c r="H2133" t="s">
        <v>6941</v>
      </c>
      <c r="I2133" t="s">
        <v>24</v>
      </c>
      <c r="J2133">
        <v>261</v>
      </c>
      <c r="K2133">
        <v>2226</v>
      </c>
      <c r="L2133">
        <v>151</v>
      </c>
      <c r="M2133">
        <f>COUNTIF(H2133:$H$2581,H2133)</f>
        <v>3</v>
      </c>
    </row>
    <row r="2134" spans="1:13" x14ac:dyDescent="0.2">
      <c r="A2134">
        <v>723</v>
      </c>
      <c r="B2134" t="s">
        <v>1349</v>
      </c>
      <c r="C2134" t="s">
        <v>3019</v>
      </c>
      <c r="D2134" t="s">
        <v>13</v>
      </c>
      <c r="E2134" t="s">
        <v>3020</v>
      </c>
      <c r="F2134" t="s">
        <v>1352</v>
      </c>
      <c r="G2134" t="s">
        <v>3021</v>
      </c>
      <c r="H2134" t="s">
        <v>6941</v>
      </c>
      <c r="I2134" t="b">
        <v>1</v>
      </c>
      <c r="J2134">
        <v>104</v>
      </c>
      <c r="K2134">
        <v>724</v>
      </c>
      <c r="L2134">
        <v>219</v>
      </c>
      <c r="M2134">
        <f>COUNTIF(H2134:$H$2581,H2134)</f>
        <v>2</v>
      </c>
    </row>
    <row r="2135" spans="1:13" x14ac:dyDescent="0.2">
      <c r="A2135">
        <v>1544</v>
      </c>
      <c r="B2135" t="s">
        <v>282</v>
      </c>
      <c r="C2135" t="s">
        <v>3022</v>
      </c>
      <c r="D2135" t="s">
        <v>33</v>
      </c>
      <c r="E2135" t="s">
        <v>3023</v>
      </c>
      <c r="F2135" t="s">
        <v>285</v>
      </c>
      <c r="G2135" t="s">
        <v>3024</v>
      </c>
      <c r="H2135" t="s">
        <v>6941</v>
      </c>
      <c r="I2135" t="b">
        <v>0</v>
      </c>
      <c r="J2135">
        <v>188</v>
      </c>
      <c r="K2135">
        <v>1545</v>
      </c>
      <c r="L2135">
        <v>514</v>
      </c>
      <c r="M2135">
        <f>COUNTIF(H2135:$H$2581,H2135)</f>
        <v>1</v>
      </c>
    </row>
    <row r="2136" spans="1:13" x14ac:dyDescent="0.2">
      <c r="A2136">
        <v>2037</v>
      </c>
      <c r="B2136" t="s">
        <v>1147</v>
      </c>
      <c r="C2136" t="s">
        <v>1148</v>
      </c>
      <c r="D2136" t="s">
        <v>13</v>
      </c>
      <c r="E2136" t="s">
        <v>3026</v>
      </c>
      <c r="F2136" t="s">
        <v>1150</v>
      </c>
      <c r="G2136" t="s">
        <v>3027</v>
      </c>
      <c r="H2136" t="s">
        <v>6979</v>
      </c>
      <c r="I2136" t="b">
        <v>0</v>
      </c>
      <c r="J2136">
        <v>237</v>
      </c>
      <c r="K2136">
        <v>2038</v>
      </c>
      <c r="L2136">
        <v>623</v>
      </c>
      <c r="M2136">
        <f>COUNTIF(H2136:$H$2581,H2136)</f>
        <v>10</v>
      </c>
    </row>
    <row r="2137" spans="1:13" x14ac:dyDescent="0.2">
      <c r="A2137">
        <v>1426</v>
      </c>
      <c r="B2137" t="s">
        <v>3029</v>
      </c>
      <c r="C2137" t="s">
        <v>3030</v>
      </c>
      <c r="D2137" t="s">
        <v>13</v>
      </c>
      <c r="E2137" t="s">
        <v>3031</v>
      </c>
      <c r="F2137" t="s">
        <v>3032</v>
      </c>
      <c r="G2137" t="s">
        <v>3033</v>
      </c>
      <c r="H2137" t="s">
        <v>6979</v>
      </c>
      <c r="I2137" t="s">
        <v>24</v>
      </c>
      <c r="J2137">
        <v>172</v>
      </c>
      <c r="K2137">
        <v>1427</v>
      </c>
      <c r="L2137">
        <v>478</v>
      </c>
      <c r="M2137">
        <f>COUNTIF(H2137:$H$2581,H2137)</f>
        <v>9</v>
      </c>
    </row>
    <row r="2138" spans="1:13" x14ac:dyDescent="0.2">
      <c r="A2138">
        <v>2205</v>
      </c>
      <c r="B2138" t="s">
        <v>3041</v>
      </c>
      <c r="C2138" t="s">
        <v>3042</v>
      </c>
      <c r="D2138" t="s">
        <v>33</v>
      </c>
      <c r="E2138" t="s">
        <v>3043</v>
      </c>
      <c r="F2138" t="s">
        <v>3044</v>
      </c>
      <c r="G2138" t="s">
        <v>3045</v>
      </c>
      <c r="H2138" t="s">
        <v>6979</v>
      </c>
      <c r="I2138" t="b">
        <v>0</v>
      </c>
      <c r="J2138">
        <v>259</v>
      </c>
      <c r="K2138">
        <v>2206</v>
      </c>
      <c r="L2138">
        <v>477</v>
      </c>
      <c r="M2138">
        <f>COUNTIF(H2138:$H$2581,H2138)</f>
        <v>8</v>
      </c>
    </row>
    <row r="2139" spans="1:13" x14ac:dyDescent="0.2">
      <c r="A2139">
        <v>1209</v>
      </c>
      <c r="B2139" t="s">
        <v>768</v>
      </c>
      <c r="C2139" t="s">
        <v>3046</v>
      </c>
      <c r="D2139" t="s">
        <v>54</v>
      </c>
      <c r="E2139" s="1" t="s">
        <v>3047</v>
      </c>
      <c r="F2139" t="s">
        <v>771</v>
      </c>
      <c r="G2139" t="s">
        <v>3048</v>
      </c>
      <c r="H2139" t="s">
        <v>6979</v>
      </c>
      <c r="I2139" t="s">
        <v>24</v>
      </c>
      <c r="J2139">
        <v>148</v>
      </c>
      <c r="K2139">
        <v>1210</v>
      </c>
      <c r="L2139">
        <v>410</v>
      </c>
      <c r="M2139">
        <f>COUNTIF(H2139:$H$2581,H2139)</f>
        <v>7</v>
      </c>
    </row>
    <row r="2140" spans="1:13" x14ac:dyDescent="0.2">
      <c r="A2140">
        <v>914</v>
      </c>
      <c r="B2140" t="s">
        <v>271</v>
      </c>
      <c r="C2140" t="s">
        <v>3054</v>
      </c>
      <c r="D2140" t="s">
        <v>54</v>
      </c>
      <c r="E2140" t="s">
        <v>3055</v>
      </c>
      <c r="F2140" t="s">
        <v>274</v>
      </c>
      <c r="G2140" t="s">
        <v>3056</v>
      </c>
      <c r="H2140" t="s">
        <v>6979</v>
      </c>
      <c r="I2140" t="s">
        <v>24</v>
      </c>
      <c r="J2140">
        <v>121</v>
      </c>
      <c r="K2140">
        <v>915</v>
      </c>
      <c r="L2140">
        <v>338</v>
      </c>
      <c r="M2140">
        <f>COUNTIF(H2140:$H$2581,H2140)</f>
        <v>6</v>
      </c>
    </row>
    <row r="2141" spans="1:13" x14ac:dyDescent="0.2">
      <c r="A2141">
        <v>933</v>
      </c>
      <c r="B2141" t="s">
        <v>498</v>
      </c>
      <c r="C2141" t="s">
        <v>2875</v>
      </c>
      <c r="D2141" t="s">
        <v>33</v>
      </c>
      <c r="E2141" t="s">
        <v>3057</v>
      </c>
      <c r="F2141" t="s">
        <v>501</v>
      </c>
      <c r="G2141" t="s">
        <v>3058</v>
      </c>
      <c r="H2141" t="s">
        <v>6979</v>
      </c>
      <c r="I2141" t="b">
        <v>0</v>
      </c>
      <c r="J2141">
        <v>122</v>
      </c>
      <c r="K2141">
        <v>934</v>
      </c>
      <c r="L2141">
        <v>351</v>
      </c>
      <c r="M2141">
        <f>COUNTIF(H2141:$H$2581,H2141)</f>
        <v>5</v>
      </c>
    </row>
    <row r="2142" spans="1:13" x14ac:dyDescent="0.2">
      <c r="A2142">
        <v>133</v>
      </c>
      <c r="B2142" t="s">
        <v>58</v>
      </c>
      <c r="C2142" t="s">
        <v>3060</v>
      </c>
      <c r="D2142" t="s">
        <v>54</v>
      </c>
      <c r="E2142" t="s">
        <v>3061</v>
      </c>
      <c r="F2142" t="s">
        <v>61</v>
      </c>
      <c r="G2142" t="s">
        <v>3062</v>
      </c>
      <c r="H2142" t="s">
        <v>6979</v>
      </c>
      <c r="I2142" t="b">
        <v>0</v>
      </c>
      <c r="J2142">
        <v>24</v>
      </c>
      <c r="K2142">
        <v>134</v>
      </c>
      <c r="L2142">
        <v>73</v>
      </c>
      <c r="M2142">
        <f>COUNTIF(H2142:$H$2581,H2142)</f>
        <v>4</v>
      </c>
    </row>
    <row r="2143" spans="1:13" x14ac:dyDescent="0.2">
      <c r="A2143">
        <v>1105</v>
      </c>
      <c r="B2143" t="s">
        <v>1103</v>
      </c>
      <c r="C2143" t="s">
        <v>3064</v>
      </c>
      <c r="D2143" t="s">
        <v>13</v>
      </c>
      <c r="E2143" t="s">
        <v>3068</v>
      </c>
      <c r="F2143" t="s">
        <v>1106</v>
      </c>
      <c r="G2143" t="s">
        <v>3066</v>
      </c>
      <c r="H2143" t="s">
        <v>6979</v>
      </c>
      <c r="I2143" t="s">
        <v>24</v>
      </c>
      <c r="J2143">
        <v>134</v>
      </c>
      <c r="K2143">
        <v>1106</v>
      </c>
      <c r="L2143">
        <v>379</v>
      </c>
      <c r="M2143">
        <f>COUNTIF(H2143:$H$2581,H2143)</f>
        <v>3</v>
      </c>
    </row>
    <row r="2144" spans="1:13" x14ac:dyDescent="0.2">
      <c r="A2144">
        <v>1555</v>
      </c>
      <c r="B2144" t="s">
        <v>3069</v>
      </c>
      <c r="C2144" t="s">
        <v>3070</v>
      </c>
      <c r="D2144" t="s">
        <v>13</v>
      </c>
      <c r="E2144" t="s">
        <v>3071</v>
      </c>
      <c r="F2144" t="s">
        <v>3072</v>
      </c>
      <c r="G2144" t="s">
        <v>3073</v>
      </c>
      <c r="H2144" t="s">
        <v>6979</v>
      </c>
      <c r="I2144" t="b">
        <v>1</v>
      </c>
      <c r="J2144">
        <v>190</v>
      </c>
      <c r="K2144">
        <v>1556</v>
      </c>
      <c r="L2144">
        <v>519</v>
      </c>
      <c r="M2144">
        <f>COUNTIF(H2144:$H$2581,H2144)</f>
        <v>2</v>
      </c>
    </row>
    <row r="2145" spans="1:13" x14ac:dyDescent="0.2">
      <c r="A2145">
        <v>1276</v>
      </c>
      <c r="B2145" t="s">
        <v>1273</v>
      </c>
      <c r="C2145" t="s">
        <v>3075</v>
      </c>
      <c r="D2145" t="s">
        <v>13</v>
      </c>
      <c r="E2145" t="s">
        <v>3076</v>
      </c>
      <c r="F2145" t="s">
        <v>1276</v>
      </c>
      <c r="G2145" t="s">
        <v>3077</v>
      </c>
      <c r="H2145" t="s">
        <v>6979</v>
      </c>
      <c r="I2145" t="b">
        <v>1</v>
      </c>
      <c r="J2145">
        <v>157</v>
      </c>
      <c r="K2145">
        <v>1277</v>
      </c>
      <c r="L2145">
        <v>437</v>
      </c>
      <c r="M2145">
        <f>COUNTIF(H2145:$H$2581,H2145)</f>
        <v>1</v>
      </c>
    </row>
    <row r="2146" spans="1:13" x14ac:dyDescent="0.2">
      <c r="A2146">
        <v>1523</v>
      </c>
      <c r="B2146" t="s">
        <v>1209</v>
      </c>
      <c r="C2146" t="s">
        <v>3079</v>
      </c>
      <c r="D2146" t="s">
        <v>33</v>
      </c>
      <c r="E2146" t="s">
        <v>3080</v>
      </c>
      <c r="F2146" t="s">
        <v>1212</v>
      </c>
      <c r="G2146" t="s">
        <v>3081</v>
      </c>
      <c r="H2146" t="s">
        <v>7021</v>
      </c>
      <c r="I2146" t="b">
        <v>0</v>
      </c>
      <c r="J2146">
        <v>185</v>
      </c>
      <c r="K2146">
        <v>1524</v>
      </c>
      <c r="L2146">
        <v>510</v>
      </c>
      <c r="M2146">
        <f>COUNTIF(H2146:$H$2581,H2146)</f>
        <v>35</v>
      </c>
    </row>
    <row r="2147" spans="1:13" x14ac:dyDescent="0.2">
      <c r="A2147">
        <v>2396</v>
      </c>
      <c r="B2147" t="s">
        <v>3095</v>
      </c>
      <c r="C2147" t="s">
        <v>3096</v>
      </c>
      <c r="D2147" t="s">
        <v>13</v>
      </c>
      <c r="E2147" t="s">
        <v>3097</v>
      </c>
      <c r="F2147" t="s">
        <v>3098</v>
      </c>
      <c r="G2147" t="s">
        <v>3099</v>
      </c>
      <c r="H2147" t="s">
        <v>7021</v>
      </c>
      <c r="I2147" t="b">
        <v>0</v>
      </c>
      <c r="J2147">
        <v>280</v>
      </c>
      <c r="K2147">
        <v>2397</v>
      </c>
      <c r="L2147">
        <v>15</v>
      </c>
      <c r="M2147">
        <f>COUNTIF(H2147:$H$2581,H2147)</f>
        <v>34</v>
      </c>
    </row>
    <row r="2148" spans="1:13" x14ac:dyDescent="0.2">
      <c r="A2148">
        <v>1794</v>
      </c>
      <c r="B2148" t="s">
        <v>1287</v>
      </c>
      <c r="C2148" t="s">
        <v>3100</v>
      </c>
      <c r="D2148" t="s">
        <v>13</v>
      </c>
      <c r="E2148" t="s">
        <v>3101</v>
      </c>
      <c r="F2148" t="s">
        <v>1290</v>
      </c>
      <c r="G2148" t="s">
        <v>3102</v>
      </c>
      <c r="H2148" t="s">
        <v>7021</v>
      </c>
      <c r="I2148" t="s">
        <v>24</v>
      </c>
      <c r="J2148">
        <v>210</v>
      </c>
      <c r="K2148">
        <v>1795</v>
      </c>
      <c r="L2148">
        <v>572</v>
      </c>
      <c r="M2148">
        <f>COUNTIF(H2148:$H$2581,H2148)</f>
        <v>33</v>
      </c>
    </row>
    <row r="2149" spans="1:13" x14ac:dyDescent="0.2">
      <c r="A2149">
        <v>1604</v>
      </c>
      <c r="B2149" t="s">
        <v>1548</v>
      </c>
      <c r="C2149" t="s">
        <v>3104</v>
      </c>
      <c r="D2149" t="s">
        <v>13</v>
      </c>
      <c r="E2149" t="s">
        <v>3105</v>
      </c>
      <c r="F2149" t="s">
        <v>1551</v>
      </c>
      <c r="G2149" t="s">
        <v>3106</v>
      </c>
      <c r="H2149" t="s">
        <v>7021</v>
      </c>
      <c r="I2149" t="b">
        <v>0</v>
      </c>
      <c r="J2149">
        <v>196</v>
      </c>
      <c r="K2149">
        <v>1605</v>
      </c>
      <c r="L2149">
        <v>539</v>
      </c>
      <c r="M2149">
        <f>COUNTIF(H2149:$H$2581,H2149)</f>
        <v>32</v>
      </c>
    </row>
    <row r="2150" spans="1:13" x14ac:dyDescent="0.2">
      <c r="A2150">
        <v>1745</v>
      </c>
      <c r="B2150" t="s">
        <v>1403</v>
      </c>
      <c r="C2150" t="s">
        <v>3108</v>
      </c>
      <c r="D2150" t="s">
        <v>54</v>
      </c>
      <c r="E2150" t="s">
        <v>3109</v>
      </c>
      <c r="F2150" t="s">
        <v>1406</v>
      </c>
      <c r="G2150" t="s">
        <v>3110</v>
      </c>
      <c r="H2150" t="s">
        <v>7021</v>
      </c>
      <c r="I2150" t="b">
        <v>1</v>
      </c>
      <c r="J2150">
        <v>207</v>
      </c>
      <c r="K2150">
        <v>1746</v>
      </c>
      <c r="L2150">
        <v>569</v>
      </c>
      <c r="M2150">
        <f>COUNTIF(H2150:$H$2581,H2150)</f>
        <v>31</v>
      </c>
    </row>
    <row r="2151" spans="1:13" x14ac:dyDescent="0.2">
      <c r="A2151">
        <v>1143</v>
      </c>
      <c r="B2151" t="s">
        <v>957</v>
      </c>
      <c r="C2151" t="s">
        <v>958</v>
      </c>
      <c r="D2151" t="s">
        <v>54</v>
      </c>
      <c r="E2151" t="s">
        <v>3112</v>
      </c>
      <c r="F2151" t="s">
        <v>960</v>
      </c>
      <c r="G2151" t="s">
        <v>3113</v>
      </c>
      <c r="H2151" t="s">
        <v>7021</v>
      </c>
      <c r="I2151" t="s">
        <v>24</v>
      </c>
      <c r="J2151">
        <v>140</v>
      </c>
      <c r="K2151">
        <v>1144</v>
      </c>
      <c r="L2151">
        <v>398</v>
      </c>
      <c r="M2151">
        <f>COUNTIF(H2151:$H$2581,H2151)</f>
        <v>30</v>
      </c>
    </row>
    <row r="2152" spans="1:13" x14ac:dyDescent="0.2">
      <c r="A2152">
        <v>1881</v>
      </c>
      <c r="B2152" t="s">
        <v>619</v>
      </c>
      <c r="C2152" t="s">
        <v>3119</v>
      </c>
      <c r="D2152" t="s">
        <v>13</v>
      </c>
      <c r="E2152" s="1" t="s">
        <v>3120</v>
      </c>
      <c r="F2152" t="s">
        <v>622</v>
      </c>
      <c r="G2152" t="s">
        <v>3121</v>
      </c>
      <c r="H2152" t="s">
        <v>7021</v>
      </c>
      <c r="I2152" t="b">
        <v>1</v>
      </c>
      <c r="J2152">
        <v>219</v>
      </c>
      <c r="K2152">
        <v>1882</v>
      </c>
      <c r="L2152">
        <v>388</v>
      </c>
      <c r="M2152">
        <f>COUNTIF(H2152:$H$2581,H2152)</f>
        <v>29</v>
      </c>
    </row>
    <row r="2153" spans="1:13" x14ac:dyDescent="0.2">
      <c r="A2153">
        <v>2</v>
      </c>
      <c r="B2153" t="s">
        <v>449</v>
      </c>
      <c r="C2153" t="s">
        <v>3122</v>
      </c>
      <c r="D2153" t="s">
        <v>13</v>
      </c>
      <c r="E2153" t="s">
        <v>3123</v>
      </c>
      <c r="F2153" t="s">
        <v>452</v>
      </c>
      <c r="G2153" t="s">
        <v>3124</v>
      </c>
      <c r="H2153" t="s">
        <v>7021</v>
      </c>
      <c r="I2153" t="s">
        <v>24</v>
      </c>
      <c r="J2153">
        <v>2</v>
      </c>
      <c r="K2153">
        <v>3</v>
      </c>
      <c r="L2153">
        <v>3</v>
      </c>
      <c r="M2153">
        <f>COUNTIF(H2153:$H$2581,H2153)</f>
        <v>28</v>
      </c>
    </row>
    <row r="2154" spans="1:13" x14ac:dyDescent="0.2">
      <c r="A2154">
        <v>637</v>
      </c>
      <c r="B2154" t="s">
        <v>237</v>
      </c>
      <c r="C2154" t="s">
        <v>3126</v>
      </c>
      <c r="D2154" t="s">
        <v>54</v>
      </c>
      <c r="E2154" t="s">
        <v>3127</v>
      </c>
      <c r="F2154" t="s">
        <v>240</v>
      </c>
      <c r="G2154" t="s">
        <v>3128</v>
      </c>
      <c r="H2154" t="s">
        <v>7021</v>
      </c>
      <c r="I2154" t="b">
        <v>1</v>
      </c>
      <c r="J2154">
        <v>92</v>
      </c>
      <c r="K2154">
        <v>638</v>
      </c>
      <c r="L2154">
        <v>279</v>
      </c>
      <c r="M2154">
        <f>COUNTIF(H2154:$H$2581,H2154)</f>
        <v>27</v>
      </c>
    </row>
    <row r="2155" spans="1:13" x14ac:dyDescent="0.2">
      <c r="A2155">
        <v>340</v>
      </c>
      <c r="B2155" t="s">
        <v>455</v>
      </c>
      <c r="C2155" t="s">
        <v>3130</v>
      </c>
      <c r="D2155" t="s">
        <v>13</v>
      </c>
      <c r="E2155" t="s">
        <v>3131</v>
      </c>
      <c r="F2155" t="s">
        <v>458</v>
      </c>
      <c r="G2155" t="s">
        <v>3132</v>
      </c>
      <c r="H2155" t="s">
        <v>7021</v>
      </c>
      <c r="I2155" t="b">
        <v>0</v>
      </c>
      <c r="J2155">
        <v>49</v>
      </c>
      <c r="K2155">
        <v>341</v>
      </c>
      <c r="L2155">
        <v>158</v>
      </c>
      <c r="M2155">
        <f>COUNTIF(H2155:$H$2581,H2155)</f>
        <v>26</v>
      </c>
    </row>
    <row r="2156" spans="1:13" x14ac:dyDescent="0.2">
      <c r="A2156">
        <v>934</v>
      </c>
      <c r="B2156" t="s">
        <v>498</v>
      </c>
      <c r="C2156" t="s">
        <v>3134</v>
      </c>
      <c r="D2156" t="s">
        <v>13</v>
      </c>
      <c r="E2156" t="s">
        <v>3135</v>
      </c>
      <c r="F2156" t="s">
        <v>501</v>
      </c>
      <c r="G2156" t="s">
        <v>3136</v>
      </c>
      <c r="H2156" t="s">
        <v>7021</v>
      </c>
      <c r="I2156" t="b">
        <v>0</v>
      </c>
      <c r="J2156">
        <v>122</v>
      </c>
      <c r="K2156">
        <v>935</v>
      </c>
      <c r="L2156">
        <v>352</v>
      </c>
      <c r="M2156">
        <f>COUNTIF(H2156:$H$2581,H2156)</f>
        <v>25</v>
      </c>
    </row>
    <row r="2157" spans="1:13" x14ac:dyDescent="0.2">
      <c r="A2157">
        <v>1406</v>
      </c>
      <c r="B2157" t="s">
        <v>1397</v>
      </c>
      <c r="C2157" t="s">
        <v>3138</v>
      </c>
      <c r="D2157" t="s">
        <v>54</v>
      </c>
      <c r="E2157" t="s">
        <v>3139</v>
      </c>
      <c r="F2157" t="s">
        <v>1400</v>
      </c>
      <c r="G2157" t="s">
        <v>3140</v>
      </c>
      <c r="H2157" t="s">
        <v>7021</v>
      </c>
      <c r="I2157" t="b">
        <v>1</v>
      </c>
      <c r="J2157">
        <v>169</v>
      </c>
      <c r="K2157">
        <v>1407</v>
      </c>
      <c r="L2157">
        <v>471</v>
      </c>
      <c r="M2157">
        <f>COUNTIF(H2157:$H$2581,H2157)</f>
        <v>24</v>
      </c>
    </row>
    <row r="2158" spans="1:13" x14ac:dyDescent="0.2">
      <c r="A2158">
        <v>1545</v>
      </c>
      <c r="B2158" t="s">
        <v>282</v>
      </c>
      <c r="C2158" t="s">
        <v>3142</v>
      </c>
      <c r="D2158" t="s">
        <v>13</v>
      </c>
      <c r="E2158" t="s">
        <v>3143</v>
      </c>
      <c r="F2158" t="s">
        <v>285</v>
      </c>
      <c r="G2158" t="s">
        <v>3144</v>
      </c>
      <c r="H2158" t="s">
        <v>7021</v>
      </c>
      <c r="I2158" t="b">
        <v>0</v>
      </c>
      <c r="J2158">
        <v>188</v>
      </c>
      <c r="K2158">
        <v>1546</v>
      </c>
      <c r="L2158">
        <v>515</v>
      </c>
      <c r="M2158">
        <f>COUNTIF(H2158:$H$2581,H2158)</f>
        <v>23</v>
      </c>
    </row>
    <row r="2159" spans="1:13" x14ac:dyDescent="0.2">
      <c r="A2159">
        <v>1277</v>
      </c>
      <c r="B2159" t="s">
        <v>1273</v>
      </c>
      <c r="C2159" t="s">
        <v>3146</v>
      </c>
      <c r="D2159" t="s">
        <v>13</v>
      </c>
      <c r="E2159" t="s">
        <v>3147</v>
      </c>
      <c r="F2159" t="s">
        <v>1276</v>
      </c>
      <c r="G2159" t="s">
        <v>3148</v>
      </c>
      <c r="H2159" t="s">
        <v>7021</v>
      </c>
      <c r="I2159" t="b">
        <v>1</v>
      </c>
      <c r="J2159">
        <v>157</v>
      </c>
      <c r="K2159">
        <v>1278</v>
      </c>
      <c r="L2159">
        <v>438</v>
      </c>
      <c r="M2159">
        <f>COUNTIF(H2159:$H$2581,H2159)</f>
        <v>22</v>
      </c>
    </row>
    <row r="2160" spans="1:13" x14ac:dyDescent="0.2">
      <c r="A2160">
        <v>2354</v>
      </c>
      <c r="B2160" t="s">
        <v>504</v>
      </c>
      <c r="C2160" t="s">
        <v>3154</v>
      </c>
      <c r="D2160" t="s">
        <v>54</v>
      </c>
      <c r="E2160" t="s">
        <v>3155</v>
      </c>
      <c r="F2160" t="s">
        <v>507</v>
      </c>
      <c r="G2160" t="s">
        <v>3156</v>
      </c>
      <c r="H2160" t="s">
        <v>7021</v>
      </c>
      <c r="I2160" t="s">
        <v>24</v>
      </c>
      <c r="J2160">
        <v>275</v>
      </c>
      <c r="K2160">
        <v>2355</v>
      </c>
      <c r="L2160">
        <v>344</v>
      </c>
      <c r="M2160">
        <f>COUNTIF(H2160:$H$2581,H2160)</f>
        <v>21</v>
      </c>
    </row>
    <row r="2161" spans="1:13" x14ac:dyDescent="0.2">
      <c r="A2161">
        <v>1025</v>
      </c>
      <c r="B2161" t="s">
        <v>2218</v>
      </c>
      <c r="C2161" t="s">
        <v>3163</v>
      </c>
      <c r="D2161" t="s">
        <v>13</v>
      </c>
      <c r="E2161" t="s">
        <v>3164</v>
      </c>
      <c r="F2161" t="s">
        <v>2221</v>
      </c>
      <c r="G2161" t="s">
        <v>3165</v>
      </c>
      <c r="H2161" t="s">
        <v>7021</v>
      </c>
      <c r="I2161" t="b">
        <v>0</v>
      </c>
      <c r="J2161">
        <v>128</v>
      </c>
      <c r="K2161">
        <v>1026</v>
      </c>
      <c r="L2161">
        <v>326</v>
      </c>
      <c r="M2161">
        <f>COUNTIF(H2161:$H$2581,H2161)</f>
        <v>20</v>
      </c>
    </row>
    <row r="2162" spans="1:13" x14ac:dyDescent="0.2">
      <c r="A2162">
        <v>2424</v>
      </c>
      <c r="B2162" t="s">
        <v>1327</v>
      </c>
      <c r="C2162" t="s">
        <v>3179</v>
      </c>
      <c r="D2162" t="s">
        <v>54</v>
      </c>
      <c r="E2162" t="s">
        <v>3180</v>
      </c>
      <c r="F2162" t="s">
        <v>1330</v>
      </c>
      <c r="G2162" t="s">
        <v>3181</v>
      </c>
      <c r="H2162" t="s">
        <v>7021</v>
      </c>
      <c r="I2162" t="b">
        <v>0</v>
      </c>
      <c r="J2162">
        <v>283</v>
      </c>
      <c r="K2162">
        <v>2425</v>
      </c>
      <c r="L2162">
        <v>19</v>
      </c>
      <c r="M2162">
        <f>COUNTIF(H2162:$H$2581,H2162)</f>
        <v>19</v>
      </c>
    </row>
    <row r="2163" spans="1:13" x14ac:dyDescent="0.2">
      <c r="A2163">
        <v>1018</v>
      </c>
      <c r="B2163" t="s">
        <v>3182</v>
      </c>
      <c r="C2163" t="s">
        <v>3183</v>
      </c>
      <c r="D2163" t="s">
        <v>54</v>
      </c>
      <c r="E2163" t="s">
        <v>3184</v>
      </c>
      <c r="F2163" t="s">
        <v>3185</v>
      </c>
      <c r="G2163" t="s">
        <v>3186</v>
      </c>
      <c r="H2163" t="s">
        <v>7021</v>
      </c>
      <c r="I2163" t="s">
        <v>24</v>
      </c>
      <c r="J2163">
        <v>127</v>
      </c>
      <c r="K2163">
        <v>1019</v>
      </c>
      <c r="L2163">
        <v>361</v>
      </c>
      <c r="M2163">
        <f>COUNTIF(H2163:$H$2581,H2163)</f>
        <v>18</v>
      </c>
    </row>
    <row r="2164" spans="1:13" x14ac:dyDescent="0.2">
      <c r="A2164">
        <v>2327</v>
      </c>
      <c r="B2164" t="s">
        <v>900</v>
      </c>
      <c r="C2164" t="s">
        <v>3188</v>
      </c>
      <c r="D2164" t="s">
        <v>13</v>
      </c>
      <c r="E2164" t="s">
        <v>3189</v>
      </c>
      <c r="F2164" t="s">
        <v>903</v>
      </c>
      <c r="G2164" t="s">
        <v>3190</v>
      </c>
      <c r="H2164" t="s">
        <v>7021</v>
      </c>
      <c r="I2164" t="b">
        <v>0</v>
      </c>
      <c r="J2164">
        <v>274</v>
      </c>
      <c r="K2164">
        <v>2328</v>
      </c>
      <c r="L2164">
        <v>683</v>
      </c>
      <c r="M2164">
        <f>COUNTIF(H2164:$H$2581,H2164)</f>
        <v>17</v>
      </c>
    </row>
    <row r="2165" spans="1:13" x14ac:dyDescent="0.2">
      <c r="A2165">
        <v>1291</v>
      </c>
      <c r="B2165" t="s">
        <v>1679</v>
      </c>
      <c r="C2165" t="s">
        <v>3192</v>
      </c>
      <c r="D2165" t="s">
        <v>13</v>
      </c>
      <c r="E2165" t="s">
        <v>3193</v>
      </c>
      <c r="F2165" t="s">
        <v>1682</v>
      </c>
      <c r="G2165" t="s">
        <v>3194</v>
      </c>
      <c r="H2165" t="s">
        <v>7021</v>
      </c>
      <c r="I2165" t="b">
        <v>1</v>
      </c>
      <c r="J2165">
        <v>159</v>
      </c>
      <c r="K2165">
        <v>1292</v>
      </c>
      <c r="L2165">
        <v>442</v>
      </c>
      <c r="M2165">
        <f>COUNTIF(H2165:$H$2581,H2165)</f>
        <v>16</v>
      </c>
    </row>
    <row r="2166" spans="1:13" x14ac:dyDescent="0.2">
      <c r="A2166">
        <v>2475</v>
      </c>
      <c r="B2166" t="s">
        <v>2899</v>
      </c>
      <c r="C2166" t="s">
        <v>3196</v>
      </c>
      <c r="D2166" t="s">
        <v>13</v>
      </c>
      <c r="E2166" t="s">
        <v>3197</v>
      </c>
      <c r="F2166" t="s">
        <v>2902</v>
      </c>
      <c r="G2166" t="s">
        <v>3198</v>
      </c>
      <c r="H2166" t="s">
        <v>7021</v>
      </c>
      <c r="I2166" t="b">
        <v>0</v>
      </c>
      <c r="J2166">
        <v>286</v>
      </c>
      <c r="K2166">
        <v>2476</v>
      </c>
      <c r="L2166">
        <v>707</v>
      </c>
      <c r="M2166">
        <f>COUNTIF(H2166:$H$2581,H2166)</f>
        <v>15</v>
      </c>
    </row>
    <row r="2167" spans="1:13" x14ac:dyDescent="0.2">
      <c r="A2167">
        <v>1039</v>
      </c>
      <c r="B2167" t="s">
        <v>1456</v>
      </c>
      <c r="C2167" t="s">
        <v>3200</v>
      </c>
      <c r="D2167" t="s">
        <v>13</v>
      </c>
      <c r="E2167" t="s">
        <v>3201</v>
      </c>
      <c r="F2167" t="s">
        <v>1459</v>
      </c>
      <c r="G2167" t="s">
        <v>3202</v>
      </c>
      <c r="H2167" t="s">
        <v>7021</v>
      </c>
      <c r="I2167" t="s">
        <v>24</v>
      </c>
      <c r="J2167">
        <v>130</v>
      </c>
      <c r="K2167">
        <v>1040</v>
      </c>
      <c r="L2167">
        <v>369</v>
      </c>
      <c r="M2167">
        <f>COUNTIF(H2167:$H$2581,H2167)</f>
        <v>14</v>
      </c>
    </row>
    <row r="2168" spans="1:13" x14ac:dyDescent="0.2">
      <c r="A2168">
        <v>1302</v>
      </c>
      <c r="B2168" t="s">
        <v>277</v>
      </c>
      <c r="C2168" t="s">
        <v>3214</v>
      </c>
      <c r="D2168" t="s">
        <v>54</v>
      </c>
      <c r="E2168" t="s">
        <v>3215</v>
      </c>
      <c r="F2168" t="s">
        <v>280</v>
      </c>
      <c r="G2168" t="s">
        <v>3216</v>
      </c>
      <c r="H2168" t="s">
        <v>7021</v>
      </c>
      <c r="I2168" t="s">
        <v>24</v>
      </c>
      <c r="J2168">
        <v>160</v>
      </c>
      <c r="K2168">
        <v>1303</v>
      </c>
      <c r="L2168">
        <v>197</v>
      </c>
      <c r="M2168">
        <f>COUNTIF(H2168:$H$2581,H2168)</f>
        <v>13</v>
      </c>
    </row>
    <row r="2169" spans="1:13" x14ac:dyDescent="0.2">
      <c r="A2169">
        <v>101</v>
      </c>
      <c r="B2169" t="s">
        <v>3217</v>
      </c>
      <c r="C2169" t="s">
        <v>3218</v>
      </c>
      <c r="D2169" t="s">
        <v>13</v>
      </c>
      <c r="E2169" t="s">
        <v>3219</v>
      </c>
      <c r="F2169" t="s">
        <v>3220</v>
      </c>
      <c r="G2169" t="s">
        <v>3221</v>
      </c>
      <c r="H2169" t="s">
        <v>7021</v>
      </c>
      <c r="I2169" t="b">
        <v>0</v>
      </c>
      <c r="J2169">
        <v>17</v>
      </c>
      <c r="K2169">
        <v>102</v>
      </c>
      <c r="L2169">
        <v>65</v>
      </c>
      <c r="M2169">
        <f>COUNTIF(H2169:$H$2581,H2169)</f>
        <v>12</v>
      </c>
    </row>
    <row r="2170" spans="1:13" x14ac:dyDescent="0.2">
      <c r="A2170">
        <v>794</v>
      </c>
      <c r="B2170" t="s">
        <v>116</v>
      </c>
      <c r="C2170" t="s">
        <v>3223</v>
      </c>
      <c r="D2170" t="s">
        <v>54</v>
      </c>
      <c r="E2170" t="s">
        <v>3224</v>
      </c>
      <c r="F2170" t="s">
        <v>119</v>
      </c>
      <c r="G2170" t="s">
        <v>3225</v>
      </c>
      <c r="H2170" t="s">
        <v>7021</v>
      </c>
      <c r="I2170" t="s">
        <v>24</v>
      </c>
      <c r="J2170">
        <v>112</v>
      </c>
      <c r="K2170">
        <v>795</v>
      </c>
      <c r="L2170">
        <v>313</v>
      </c>
      <c r="M2170">
        <f>COUNTIF(H2170:$H$2581,H2170)</f>
        <v>11</v>
      </c>
    </row>
    <row r="2171" spans="1:13" x14ac:dyDescent="0.2">
      <c r="A2171">
        <v>597</v>
      </c>
      <c r="B2171" t="s">
        <v>1097</v>
      </c>
      <c r="C2171" t="s">
        <v>3227</v>
      </c>
      <c r="D2171" t="s">
        <v>33</v>
      </c>
      <c r="E2171" t="s">
        <v>3228</v>
      </c>
      <c r="F2171" t="s">
        <v>1100</v>
      </c>
      <c r="G2171" t="s">
        <v>3229</v>
      </c>
      <c r="H2171" t="s">
        <v>7021</v>
      </c>
      <c r="I2171" t="b">
        <v>0</v>
      </c>
      <c r="J2171">
        <v>90</v>
      </c>
      <c r="K2171">
        <v>598</v>
      </c>
      <c r="L2171">
        <v>263</v>
      </c>
      <c r="M2171">
        <f>COUNTIF(H2171:$H$2581,H2171)</f>
        <v>10</v>
      </c>
    </row>
    <row r="2172" spans="1:13" x14ac:dyDescent="0.2">
      <c r="A2172">
        <v>255</v>
      </c>
      <c r="B2172" t="s">
        <v>1503</v>
      </c>
      <c r="C2172" t="s">
        <v>3231</v>
      </c>
      <c r="D2172" t="s">
        <v>54</v>
      </c>
      <c r="E2172" t="s">
        <v>3232</v>
      </c>
      <c r="F2172" t="s">
        <v>1506</v>
      </c>
      <c r="G2172" t="s">
        <v>3233</v>
      </c>
      <c r="H2172" t="s">
        <v>7021</v>
      </c>
      <c r="I2172" t="b">
        <v>0</v>
      </c>
      <c r="J2172">
        <v>42</v>
      </c>
      <c r="K2172">
        <v>256</v>
      </c>
      <c r="L2172">
        <v>113</v>
      </c>
      <c r="M2172">
        <f>COUNTIF(H2172:$H$2581,H2172)</f>
        <v>9</v>
      </c>
    </row>
    <row r="2173" spans="1:13" x14ac:dyDescent="0.2">
      <c r="A2173">
        <v>23</v>
      </c>
      <c r="B2173" t="s">
        <v>2448</v>
      </c>
      <c r="C2173" t="s">
        <v>3235</v>
      </c>
      <c r="D2173" t="s">
        <v>13</v>
      </c>
      <c r="E2173" t="s">
        <v>3236</v>
      </c>
      <c r="F2173" t="s">
        <v>2451</v>
      </c>
      <c r="G2173" t="s">
        <v>3237</v>
      </c>
      <c r="H2173" t="s">
        <v>7021</v>
      </c>
      <c r="I2173" t="s">
        <v>24</v>
      </c>
      <c r="J2173">
        <v>6</v>
      </c>
      <c r="K2173">
        <v>24</v>
      </c>
      <c r="L2173">
        <v>20</v>
      </c>
      <c r="M2173">
        <f>COUNTIF(H2173:$H$2581,H2173)</f>
        <v>8</v>
      </c>
    </row>
    <row r="2174" spans="1:13" x14ac:dyDescent="0.2">
      <c r="A2174">
        <v>1865</v>
      </c>
      <c r="B2174" t="s">
        <v>18</v>
      </c>
      <c r="C2174" t="s">
        <v>3239</v>
      </c>
      <c r="D2174" t="s">
        <v>13</v>
      </c>
      <c r="E2174" t="s">
        <v>3240</v>
      </c>
      <c r="F2174" t="s">
        <v>21</v>
      </c>
      <c r="G2174" t="s">
        <v>3241</v>
      </c>
      <c r="H2174" t="s">
        <v>7021</v>
      </c>
      <c r="I2174" t="s">
        <v>24</v>
      </c>
      <c r="J2174">
        <v>217</v>
      </c>
      <c r="K2174">
        <v>1866</v>
      </c>
      <c r="L2174">
        <v>589</v>
      </c>
      <c r="M2174">
        <f>COUNTIF(H2174:$H$2581,H2174)</f>
        <v>7</v>
      </c>
    </row>
    <row r="2175" spans="1:13" x14ac:dyDescent="0.2">
      <c r="A2175">
        <v>341</v>
      </c>
      <c r="B2175" t="s">
        <v>455</v>
      </c>
      <c r="C2175" t="s">
        <v>3243</v>
      </c>
      <c r="D2175" t="s">
        <v>13</v>
      </c>
      <c r="E2175" t="s">
        <v>3244</v>
      </c>
      <c r="F2175" t="s">
        <v>458</v>
      </c>
      <c r="G2175" t="s">
        <v>3245</v>
      </c>
      <c r="H2175" t="s">
        <v>7021</v>
      </c>
      <c r="I2175" t="b">
        <v>0</v>
      </c>
      <c r="J2175">
        <v>49</v>
      </c>
      <c r="K2175">
        <v>342</v>
      </c>
      <c r="L2175">
        <v>159</v>
      </c>
      <c r="M2175">
        <f>COUNTIF(H2175:$H$2581,H2175)</f>
        <v>6</v>
      </c>
    </row>
    <row r="2176" spans="1:13" x14ac:dyDescent="0.2">
      <c r="A2176">
        <v>330</v>
      </c>
      <c r="B2176" t="s">
        <v>918</v>
      </c>
      <c r="C2176" t="s">
        <v>3247</v>
      </c>
      <c r="D2176" t="s">
        <v>33</v>
      </c>
      <c r="E2176" t="s">
        <v>3248</v>
      </c>
      <c r="F2176" t="s">
        <v>921</v>
      </c>
      <c r="G2176" t="s">
        <v>3249</v>
      </c>
      <c r="H2176" t="s">
        <v>7021</v>
      </c>
      <c r="I2176" t="b">
        <v>0</v>
      </c>
      <c r="J2176">
        <v>47</v>
      </c>
      <c r="K2176">
        <v>331</v>
      </c>
      <c r="L2176">
        <v>153</v>
      </c>
      <c r="M2176">
        <f>COUNTIF(H2176:$H$2581,H2176)</f>
        <v>5</v>
      </c>
    </row>
    <row r="2177" spans="1:13" x14ac:dyDescent="0.2">
      <c r="A2177">
        <v>2427</v>
      </c>
      <c r="B2177" t="s">
        <v>1327</v>
      </c>
      <c r="C2177" t="s">
        <v>3317</v>
      </c>
      <c r="D2177" t="s">
        <v>33</v>
      </c>
      <c r="E2177" t="s">
        <v>3318</v>
      </c>
      <c r="F2177" t="s">
        <v>1330</v>
      </c>
      <c r="G2177" t="s">
        <v>3319</v>
      </c>
      <c r="H2177" t="s">
        <v>7021</v>
      </c>
      <c r="I2177" t="b">
        <v>0</v>
      </c>
      <c r="J2177">
        <v>283</v>
      </c>
      <c r="K2177">
        <v>2428</v>
      </c>
      <c r="L2177">
        <v>21</v>
      </c>
      <c r="M2177">
        <f>COUNTIF(H2177:$H$2581,H2177)</f>
        <v>4</v>
      </c>
    </row>
    <row r="2178" spans="1:13" x14ac:dyDescent="0.2">
      <c r="A2178">
        <v>1568</v>
      </c>
      <c r="B2178" t="s">
        <v>1514</v>
      </c>
      <c r="C2178" t="s">
        <v>3320</v>
      </c>
      <c r="D2178" t="s">
        <v>54</v>
      </c>
      <c r="E2178" t="s">
        <v>3321</v>
      </c>
      <c r="F2178" t="s">
        <v>1517</v>
      </c>
      <c r="G2178" t="s">
        <v>3322</v>
      </c>
      <c r="H2178" t="s">
        <v>7021</v>
      </c>
      <c r="I2178" t="b">
        <v>0</v>
      </c>
      <c r="J2178">
        <v>192</v>
      </c>
      <c r="K2178">
        <v>1569</v>
      </c>
      <c r="L2178">
        <v>522</v>
      </c>
      <c r="M2178">
        <f>COUNTIF(H2178:$H$2581,H2178)</f>
        <v>3</v>
      </c>
    </row>
    <row r="2179" spans="1:13" x14ac:dyDescent="0.2">
      <c r="A2179">
        <v>1508</v>
      </c>
      <c r="B2179" t="s">
        <v>2438</v>
      </c>
      <c r="C2179" t="s">
        <v>3328</v>
      </c>
      <c r="D2179" t="s">
        <v>54</v>
      </c>
      <c r="E2179" t="s">
        <v>3329</v>
      </c>
      <c r="F2179" t="s">
        <v>2441</v>
      </c>
      <c r="G2179" t="s">
        <v>3330</v>
      </c>
      <c r="H2179" t="s">
        <v>7021</v>
      </c>
      <c r="I2179" t="b">
        <v>0</v>
      </c>
      <c r="J2179">
        <v>183</v>
      </c>
      <c r="K2179">
        <v>1509</v>
      </c>
      <c r="L2179">
        <v>411</v>
      </c>
      <c r="M2179">
        <f>COUNTIF(H2179:$H$2581,H2179)</f>
        <v>2</v>
      </c>
    </row>
    <row r="2180" spans="1:13" x14ac:dyDescent="0.2">
      <c r="A2180">
        <v>134</v>
      </c>
      <c r="B2180" t="s">
        <v>58</v>
      </c>
      <c r="C2180" t="s">
        <v>3331</v>
      </c>
      <c r="D2180" t="s">
        <v>54</v>
      </c>
      <c r="E2180" t="s">
        <v>3332</v>
      </c>
      <c r="F2180" t="s">
        <v>61</v>
      </c>
      <c r="G2180" t="s">
        <v>3333</v>
      </c>
      <c r="H2180" t="s">
        <v>7021</v>
      </c>
      <c r="I2180" t="b">
        <v>0</v>
      </c>
      <c r="J2180">
        <v>24</v>
      </c>
      <c r="K2180">
        <v>135</v>
      </c>
      <c r="L2180">
        <v>74</v>
      </c>
      <c r="M2180">
        <f>COUNTIF(H2180:$H$2581,H2180)</f>
        <v>1</v>
      </c>
    </row>
    <row r="2181" spans="1:13" x14ac:dyDescent="0.2">
      <c r="A2181">
        <v>548</v>
      </c>
      <c r="B2181" t="s">
        <v>103</v>
      </c>
      <c r="C2181" t="s">
        <v>3335</v>
      </c>
      <c r="D2181" t="s">
        <v>54</v>
      </c>
      <c r="E2181" t="s">
        <v>3342</v>
      </c>
      <c r="F2181" t="s">
        <v>105</v>
      </c>
      <c r="G2181" t="s">
        <v>3337</v>
      </c>
      <c r="H2181" t="s">
        <v>7130</v>
      </c>
      <c r="I2181" t="b">
        <v>0</v>
      </c>
      <c r="J2181">
        <v>81</v>
      </c>
      <c r="K2181">
        <v>549</v>
      </c>
      <c r="L2181">
        <v>69</v>
      </c>
      <c r="M2181">
        <f>COUNTIF(H2181:$H$2581,H2181)</f>
        <v>1</v>
      </c>
    </row>
    <row r="2182" spans="1:13" x14ac:dyDescent="0.2">
      <c r="A2182">
        <v>390</v>
      </c>
      <c r="B2182" t="s">
        <v>1568</v>
      </c>
      <c r="C2182" t="s">
        <v>3343</v>
      </c>
      <c r="D2182" t="s">
        <v>13</v>
      </c>
      <c r="E2182" t="s">
        <v>3344</v>
      </c>
      <c r="F2182" t="s">
        <v>1571</v>
      </c>
      <c r="G2182" t="s">
        <v>3345</v>
      </c>
      <c r="H2182" t="s">
        <v>7137</v>
      </c>
      <c r="I2182" t="s">
        <v>24</v>
      </c>
      <c r="J2182">
        <v>55</v>
      </c>
      <c r="K2182">
        <v>391</v>
      </c>
      <c r="L2182">
        <v>176</v>
      </c>
      <c r="M2182">
        <f>COUNTIF(H2182:$H$2581,H2182)</f>
        <v>12</v>
      </c>
    </row>
    <row r="2183" spans="1:13" x14ac:dyDescent="0.2">
      <c r="A2183">
        <v>278</v>
      </c>
      <c r="B2183" t="s">
        <v>2105</v>
      </c>
      <c r="C2183" t="s">
        <v>3347</v>
      </c>
      <c r="D2183" t="s">
        <v>54</v>
      </c>
      <c r="E2183" t="s">
        <v>3348</v>
      </c>
      <c r="F2183" t="s">
        <v>2108</v>
      </c>
      <c r="G2183" t="s">
        <v>3349</v>
      </c>
      <c r="H2183" t="s">
        <v>7137</v>
      </c>
      <c r="I2183" t="s">
        <v>24</v>
      </c>
      <c r="J2183">
        <v>44</v>
      </c>
      <c r="K2183">
        <v>279</v>
      </c>
      <c r="L2183">
        <v>122</v>
      </c>
      <c r="M2183">
        <f>COUNTIF(H2183:$H$2581,H2183)</f>
        <v>11</v>
      </c>
    </row>
    <row r="2184" spans="1:13" x14ac:dyDescent="0.2">
      <c r="A2184">
        <v>2268</v>
      </c>
      <c r="B2184" t="s">
        <v>3366</v>
      </c>
      <c r="C2184" t="s">
        <v>3371</v>
      </c>
      <c r="D2184" t="s">
        <v>13</v>
      </c>
      <c r="E2184" t="s">
        <v>3372</v>
      </c>
      <c r="F2184" t="s">
        <v>3369</v>
      </c>
      <c r="G2184" t="s">
        <v>3373</v>
      </c>
      <c r="H2184" t="s">
        <v>7137</v>
      </c>
      <c r="I2184" t="b">
        <v>1</v>
      </c>
      <c r="J2184">
        <v>265</v>
      </c>
      <c r="K2184">
        <v>2269</v>
      </c>
      <c r="L2184">
        <v>62</v>
      </c>
      <c r="M2184">
        <f>COUNTIF(H2184:$H$2581,H2184)</f>
        <v>10</v>
      </c>
    </row>
    <row r="2185" spans="1:13" x14ac:dyDescent="0.2">
      <c r="A2185">
        <v>302</v>
      </c>
      <c r="B2185" t="s">
        <v>784</v>
      </c>
      <c r="C2185" t="s">
        <v>3374</v>
      </c>
      <c r="D2185" t="s">
        <v>54</v>
      </c>
      <c r="E2185" t="s">
        <v>3375</v>
      </c>
      <c r="F2185" t="s">
        <v>787</v>
      </c>
      <c r="G2185" t="s">
        <v>3376</v>
      </c>
      <c r="H2185" t="s">
        <v>7137</v>
      </c>
      <c r="I2185" t="b">
        <v>0</v>
      </c>
      <c r="J2185">
        <v>45</v>
      </c>
      <c r="K2185">
        <v>303</v>
      </c>
      <c r="L2185">
        <v>138</v>
      </c>
      <c r="M2185">
        <f>COUNTIF(H2185:$H$2581,H2185)</f>
        <v>9</v>
      </c>
    </row>
    <row r="2186" spans="1:13" x14ac:dyDescent="0.2">
      <c r="A2186">
        <v>2518</v>
      </c>
      <c r="B2186" t="s">
        <v>2029</v>
      </c>
      <c r="C2186" t="s">
        <v>3397</v>
      </c>
      <c r="D2186" t="s">
        <v>13</v>
      </c>
      <c r="E2186" t="s">
        <v>3398</v>
      </c>
      <c r="F2186" t="s">
        <v>2032</v>
      </c>
      <c r="G2186" t="s">
        <v>3399</v>
      </c>
      <c r="H2186" t="s">
        <v>7137</v>
      </c>
      <c r="I2186" t="s">
        <v>24</v>
      </c>
      <c r="J2186">
        <v>292</v>
      </c>
      <c r="K2186">
        <v>2519</v>
      </c>
      <c r="L2186">
        <v>280</v>
      </c>
      <c r="M2186">
        <f>COUNTIF(H2186:$H$2581,H2186)</f>
        <v>8</v>
      </c>
    </row>
    <row r="2187" spans="1:13" x14ac:dyDescent="0.2">
      <c r="A2187">
        <v>1387</v>
      </c>
      <c r="B2187" t="s">
        <v>681</v>
      </c>
      <c r="C2187" t="s">
        <v>3400</v>
      </c>
      <c r="D2187" t="s">
        <v>33</v>
      </c>
      <c r="E2187" t="s">
        <v>3401</v>
      </c>
      <c r="F2187" t="s">
        <v>684</v>
      </c>
      <c r="G2187" t="s">
        <v>3402</v>
      </c>
      <c r="H2187" t="s">
        <v>7137</v>
      </c>
      <c r="I2187" t="b">
        <v>0</v>
      </c>
      <c r="J2187">
        <v>167</v>
      </c>
      <c r="K2187">
        <v>1388</v>
      </c>
      <c r="L2187">
        <v>463</v>
      </c>
      <c r="M2187">
        <f>COUNTIF(H2187:$H$2581,H2187)</f>
        <v>7</v>
      </c>
    </row>
    <row r="2188" spans="1:13" x14ac:dyDescent="0.2">
      <c r="A2188">
        <v>1408</v>
      </c>
      <c r="B2188" t="s">
        <v>1397</v>
      </c>
      <c r="C2188" t="s">
        <v>3404</v>
      </c>
      <c r="D2188" t="s">
        <v>54</v>
      </c>
      <c r="E2188" t="s">
        <v>3405</v>
      </c>
      <c r="F2188" t="s">
        <v>1400</v>
      </c>
      <c r="G2188" t="s">
        <v>3406</v>
      </c>
      <c r="H2188" t="s">
        <v>7137</v>
      </c>
      <c r="I2188" t="b">
        <v>1</v>
      </c>
      <c r="J2188">
        <v>169</v>
      </c>
      <c r="K2188">
        <v>1409</v>
      </c>
      <c r="L2188">
        <v>472</v>
      </c>
      <c r="M2188">
        <f>COUNTIF(H2188:$H$2581,H2188)</f>
        <v>6</v>
      </c>
    </row>
    <row r="2189" spans="1:13" x14ac:dyDescent="0.2">
      <c r="A2189">
        <v>1972</v>
      </c>
      <c r="B2189" t="s">
        <v>608</v>
      </c>
      <c r="C2189" t="s">
        <v>3408</v>
      </c>
      <c r="D2189" t="s">
        <v>13</v>
      </c>
      <c r="E2189" t="s">
        <v>3409</v>
      </c>
      <c r="F2189" t="s">
        <v>611</v>
      </c>
      <c r="G2189" t="s">
        <v>3410</v>
      </c>
      <c r="H2189" t="s">
        <v>7137</v>
      </c>
      <c r="I2189" t="b">
        <v>1</v>
      </c>
      <c r="J2189">
        <v>227</v>
      </c>
      <c r="K2189">
        <v>1973</v>
      </c>
      <c r="L2189">
        <v>605</v>
      </c>
      <c r="M2189">
        <f>COUNTIF(H2189:$H$2581,H2189)</f>
        <v>5</v>
      </c>
    </row>
    <row r="2190" spans="1:13" x14ac:dyDescent="0.2">
      <c r="A2190">
        <v>331</v>
      </c>
      <c r="B2190" t="s">
        <v>918</v>
      </c>
      <c r="C2190" t="s">
        <v>3412</v>
      </c>
      <c r="D2190" t="s">
        <v>54</v>
      </c>
      <c r="E2190" t="s">
        <v>3413</v>
      </c>
      <c r="F2190" t="s">
        <v>921</v>
      </c>
      <c r="G2190" t="s">
        <v>3414</v>
      </c>
      <c r="H2190" t="s">
        <v>7137</v>
      </c>
      <c r="I2190" t="b">
        <v>0</v>
      </c>
      <c r="J2190">
        <v>47</v>
      </c>
      <c r="K2190">
        <v>332</v>
      </c>
      <c r="L2190">
        <v>154</v>
      </c>
      <c r="M2190">
        <f>COUNTIF(H2190:$H$2581,H2190)</f>
        <v>4</v>
      </c>
    </row>
    <row r="2191" spans="1:13" x14ac:dyDescent="0.2">
      <c r="A2191">
        <v>2110</v>
      </c>
      <c r="B2191" t="s">
        <v>984</v>
      </c>
      <c r="C2191" t="s">
        <v>3416</v>
      </c>
      <c r="D2191" t="s">
        <v>13</v>
      </c>
      <c r="E2191" s="1" t="s">
        <v>3417</v>
      </c>
      <c r="F2191" t="s">
        <v>987</v>
      </c>
      <c r="G2191" t="s">
        <v>3418</v>
      </c>
      <c r="H2191" t="s">
        <v>7137</v>
      </c>
      <c r="I2191" t="s">
        <v>24</v>
      </c>
      <c r="J2191">
        <v>243</v>
      </c>
      <c r="K2191">
        <v>2111</v>
      </c>
      <c r="L2191">
        <v>636</v>
      </c>
      <c r="M2191">
        <f>COUNTIF(H2191:$H$2581,H2191)</f>
        <v>3</v>
      </c>
    </row>
    <row r="2192" spans="1:13" x14ac:dyDescent="0.2">
      <c r="A2192">
        <v>2329</v>
      </c>
      <c r="B2192" t="s">
        <v>900</v>
      </c>
      <c r="C2192" t="s">
        <v>3463</v>
      </c>
      <c r="D2192" t="s">
        <v>54</v>
      </c>
      <c r="E2192" t="s">
        <v>3464</v>
      </c>
      <c r="F2192" t="s">
        <v>903</v>
      </c>
      <c r="G2192" t="s">
        <v>3465</v>
      </c>
      <c r="H2192" t="s">
        <v>7137</v>
      </c>
      <c r="I2192" t="b">
        <v>0</v>
      </c>
      <c r="J2192">
        <v>274</v>
      </c>
      <c r="K2192">
        <v>2330</v>
      </c>
      <c r="L2192">
        <v>240</v>
      </c>
      <c r="M2192">
        <f>COUNTIF(H2192:$H$2581,H2192)</f>
        <v>2</v>
      </c>
    </row>
    <row r="2193" spans="1:13" x14ac:dyDescent="0.2">
      <c r="A2193">
        <v>2560</v>
      </c>
      <c r="B2193" t="s">
        <v>636</v>
      </c>
      <c r="C2193" t="s">
        <v>3470</v>
      </c>
      <c r="D2193" t="s">
        <v>54</v>
      </c>
      <c r="E2193" t="s">
        <v>3471</v>
      </c>
      <c r="F2193" t="s">
        <v>639</v>
      </c>
      <c r="G2193" t="s">
        <v>3472</v>
      </c>
      <c r="H2193" t="s">
        <v>7137</v>
      </c>
      <c r="I2193" t="b">
        <v>0</v>
      </c>
      <c r="J2193">
        <v>297</v>
      </c>
      <c r="K2193">
        <v>2561</v>
      </c>
      <c r="L2193">
        <v>610</v>
      </c>
      <c r="M2193">
        <f>COUNTIF(H2193:$H$2581,H2193)</f>
        <v>1</v>
      </c>
    </row>
    <row r="2194" spans="1:13" x14ac:dyDescent="0.2">
      <c r="A2194">
        <v>1000</v>
      </c>
      <c r="B2194" t="s">
        <v>424</v>
      </c>
      <c r="C2194" t="s">
        <v>3473</v>
      </c>
      <c r="D2194" t="s">
        <v>13</v>
      </c>
      <c r="E2194" t="s">
        <v>3474</v>
      </c>
      <c r="F2194" t="s">
        <v>427</v>
      </c>
      <c r="G2194" t="s">
        <v>3475</v>
      </c>
      <c r="H2194" t="s">
        <v>7193</v>
      </c>
      <c r="I2194" t="s">
        <v>24</v>
      </c>
      <c r="J2194">
        <v>125</v>
      </c>
      <c r="K2194">
        <v>1001</v>
      </c>
      <c r="L2194">
        <v>360</v>
      </c>
      <c r="M2194">
        <f>COUNTIF(H2194:$H$2581,H2194)</f>
        <v>9</v>
      </c>
    </row>
    <row r="2195" spans="1:13" x14ac:dyDescent="0.2">
      <c r="A2195">
        <v>2060</v>
      </c>
      <c r="B2195" t="s">
        <v>1965</v>
      </c>
      <c r="C2195" t="s">
        <v>3477</v>
      </c>
      <c r="D2195" t="s">
        <v>13</v>
      </c>
      <c r="E2195" t="s">
        <v>3478</v>
      </c>
      <c r="F2195" t="s">
        <v>1968</v>
      </c>
      <c r="G2195" t="s">
        <v>3479</v>
      </c>
      <c r="H2195" t="s">
        <v>7193</v>
      </c>
      <c r="I2195" t="b">
        <v>1</v>
      </c>
      <c r="J2195">
        <v>240</v>
      </c>
      <c r="K2195">
        <v>2061</v>
      </c>
      <c r="L2195">
        <v>628</v>
      </c>
      <c r="M2195">
        <f>COUNTIF(H2195:$H$2581,H2195)</f>
        <v>8</v>
      </c>
    </row>
    <row r="2196" spans="1:13" x14ac:dyDescent="0.2">
      <c r="A2196">
        <v>2519</v>
      </c>
      <c r="B2196" t="s">
        <v>2029</v>
      </c>
      <c r="C2196" t="s">
        <v>3640</v>
      </c>
      <c r="D2196" t="s">
        <v>54</v>
      </c>
      <c r="E2196" t="s">
        <v>3641</v>
      </c>
      <c r="F2196" t="s">
        <v>2032</v>
      </c>
      <c r="G2196" t="s">
        <v>3642</v>
      </c>
      <c r="H2196" t="s">
        <v>7193</v>
      </c>
      <c r="I2196" t="s">
        <v>24</v>
      </c>
      <c r="J2196">
        <v>292</v>
      </c>
      <c r="K2196">
        <v>2520</v>
      </c>
      <c r="L2196">
        <v>39</v>
      </c>
      <c r="M2196">
        <f>COUNTIF(H2196:$H$2581,H2196)</f>
        <v>7</v>
      </c>
    </row>
    <row r="2197" spans="1:13" x14ac:dyDescent="0.2">
      <c r="A2197">
        <v>438</v>
      </c>
      <c r="B2197" t="s">
        <v>778</v>
      </c>
      <c r="C2197" t="s">
        <v>3643</v>
      </c>
      <c r="D2197" t="s">
        <v>33</v>
      </c>
      <c r="E2197" t="s">
        <v>3644</v>
      </c>
      <c r="F2197" t="s">
        <v>781</v>
      </c>
      <c r="G2197" t="s">
        <v>3645</v>
      </c>
      <c r="H2197" t="s">
        <v>7193</v>
      </c>
      <c r="I2197" t="b">
        <v>0</v>
      </c>
      <c r="J2197">
        <v>64</v>
      </c>
      <c r="K2197">
        <v>439</v>
      </c>
      <c r="L2197">
        <v>198</v>
      </c>
      <c r="M2197">
        <f>COUNTIF(H2197:$H$2581,H2197)</f>
        <v>6</v>
      </c>
    </row>
    <row r="2198" spans="1:13" x14ac:dyDescent="0.2">
      <c r="A2198">
        <v>692</v>
      </c>
      <c r="B2198" t="s">
        <v>1131</v>
      </c>
      <c r="C2198" t="s">
        <v>3651</v>
      </c>
      <c r="D2198" t="s">
        <v>54</v>
      </c>
      <c r="E2198" t="s">
        <v>3652</v>
      </c>
      <c r="F2198" s="1" t="s">
        <v>1134</v>
      </c>
      <c r="G2198" t="s">
        <v>3653</v>
      </c>
      <c r="H2198" t="s">
        <v>7193</v>
      </c>
      <c r="I2198" t="b">
        <v>0</v>
      </c>
      <c r="J2198">
        <v>102</v>
      </c>
      <c r="K2198">
        <v>693</v>
      </c>
      <c r="L2198">
        <v>63</v>
      </c>
      <c r="M2198">
        <f>COUNTIF(H2198:$H$2581,H2198)</f>
        <v>5</v>
      </c>
    </row>
    <row r="2199" spans="1:13" x14ac:dyDescent="0.2">
      <c r="A2199">
        <v>2271</v>
      </c>
      <c r="B2199" t="s">
        <v>3366</v>
      </c>
      <c r="C2199" t="s">
        <v>3657</v>
      </c>
      <c r="D2199" t="s">
        <v>13</v>
      </c>
      <c r="E2199" t="s">
        <v>3658</v>
      </c>
      <c r="F2199" t="s">
        <v>3369</v>
      </c>
      <c r="G2199" t="s">
        <v>3659</v>
      </c>
      <c r="H2199" t="s">
        <v>7193</v>
      </c>
      <c r="I2199" t="b">
        <v>1</v>
      </c>
      <c r="J2199">
        <v>265</v>
      </c>
      <c r="K2199">
        <v>2272</v>
      </c>
      <c r="L2199">
        <v>666</v>
      </c>
      <c r="M2199">
        <f>COUNTIF(H2199:$H$2581,H2199)</f>
        <v>4</v>
      </c>
    </row>
    <row r="2200" spans="1:13" x14ac:dyDescent="0.2">
      <c r="A2200">
        <v>2073</v>
      </c>
      <c r="B2200" t="s">
        <v>1970</v>
      </c>
      <c r="C2200" t="s">
        <v>3667</v>
      </c>
      <c r="D2200" t="s">
        <v>54</v>
      </c>
      <c r="E2200" t="s">
        <v>3668</v>
      </c>
      <c r="F2200" t="s">
        <v>1973</v>
      </c>
      <c r="G2200" t="s">
        <v>3669</v>
      </c>
      <c r="H2200" t="s">
        <v>7193</v>
      </c>
      <c r="I2200" t="s">
        <v>24</v>
      </c>
      <c r="J2200">
        <v>241</v>
      </c>
      <c r="K2200">
        <v>2074</v>
      </c>
      <c r="L2200">
        <v>116</v>
      </c>
      <c r="M2200">
        <f>COUNTIF(H2200:$H$2581,H2200)</f>
        <v>3</v>
      </c>
    </row>
    <row r="2201" spans="1:13" x14ac:dyDescent="0.2">
      <c r="A2201">
        <v>2536</v>
      </c>
      <c r="B2201" t="s">
        <v>754</v>
      </c>
      <c r="C2201" t="s">
        <v>3782</v>
      </c>
      <c r="D2201" t="s">
        <v>33</v>
      </c>
      <c r="E2201" t="s">
        <v>3783</v>
      </c>
      <c r="F2201" t="s">
        <v>757</v>
      </c>
      <c r="G2201" t="s">
        <v>3784</v>
      </c>
      <c r="H2201" t="s">
        <v>7193</v>
      </c>
      <c r="I2201" t="b">
        <v>0</v>
      </c>
      <c r="J2201">
        <v>294</v>
      </c>
      <c r="K2201">
        <v>2537</v>
      </c>
      <c r="L2201">
        <v>22</v>
      </c>
      <c r="M2201">
        <f>COUNTIF(H2201:$H$2581,H2201)</f>
        <v>2</v>
      </c>
    </row>
    <row r="2202" spans="1:13" x14ac:dyDescent="0.2">
      <c r="A2202">
        <v>1304</v>
      </c>
      <c r="B2202" t="s">
        <v>277</v>
      </c>
      <c r="C2202" t="s">
        <v>3785</v>
      </c>
      <c r="D2202" t="s">
        <v>54</v>
      </c>
      <c r="E2202" t="s">
        <v>3786</v>
      </c>
      <c r="F2202" t="s">
        <v>280</v>
      </c>
      <c r="G2202" t="s">
        <v>3787</v>
      </c>
      <c r="H2202" t="s">
        <v>7193</v>
      </c>
      <c r="I2202" t="s">
        <v>24</v>
      </c>
      <c r="J2202">
        <v>160</v>
      </c>
      <c r="K2202">
        <v>1305</v>
      </c>
      <c r="L2202">
        <v>446</v>
      </c>
      <c r="M2202">
        <f>COUNTIF(H2202:$H$2581,H2202)</f>
        <v>1</v>
      </c>
    </row>
    <row r="2203" spans="1:13" x14ac:dyDescent="0.2">
      <c r="A2203">
        <v>1409</v>
      </c>
      <c r="B2203" t="s">
        <v>1397</v>
      </c>
      <c r="C2203" t="s">
        <v>3789</v>
      </c>
      <c r="D2203" t="s">
        <v>54</v>
      </c>
      <c r="E2203" t="s">
        <v>3790</v>
      </c>
      <c r="F2203" t="s">
        <v>1400</v>
      </c>
      <c r="G2203" t="s">
        <v>3791</v>
      </c>
      <c r="H2203" t="s">
        <v>7235</v>
      </c>
      <c r="I2203" t="b">
        <v>1</v>
      </c>
      <c r="J2203">
        <v>169</v>
      </c>
      <c r="K2203">
        <v>1410</v>
      </c>
      <c r="L2203">
        <v>473</v>
      </c>
      <c r="M2203">
        <f>COUNTIF(H2203:$H$2581,H2203)</f>
        <v>2</v>
      </c>
    </row>
    <row r="2204" spans="1:13" x14ac:dyDescent="0.2">
      <c r="A2204">
        <v>538</v>
      </c>
      <c r="B2204" t="s">
        <v>188</v>
      </c>
      <c r="C2204" t="s">
        <v>3793</v>
      </c>
      <c r="D2204" t="s">
        <v>33</v>
      </c>
      <c r="E2204" t="s">
        <v>3794</v>
      </c>
      <c r="F2204" t="s">
        <v>191</v>
      </c>
      <c r="G2204" t="s">
        <v>3795</v>
      </c>
      <c r="H2204" t="s">
        <v>7235</v>
      </c>
      <c r="I2204" t="b">
        <v>0</v>
      </c>
      <c r="J2204">
        <v>80</v>
      </c>
      <c r="K2204">
        <v>539</v>
      </c>
      <c r="L2204">
        <v>241</v>
      </c>
      <c r="M2204">
        <f>COUNTIF(H2204:$H$2581,H2204)</f>
        <v>1</v>
      </c>
    </row>
    <row r="2205" spans="1:13" x14ac:dyDescent="0.2">
      <c r="A2205">
        <v>1427</v>
      </c>
      <c r="B2205" t="s">
        <v>3029</v>
      </c>
      <c r="C2205" t="s">
        <v>3797</v>
      </c>
      <c r="D2205" t="s">
        <v>13</v>
      </c>
      <c r="E2205" t="s">
        <v>3798</v>
      </c>
      <c r="F2205" t="s">
        <v>3032</v>
      </c>
      <c r="G2205" t="s">
        <v>3799</v>
      </c>
      <c r="H2205" t="s">
        <v>7245</v>
      </c>
      <c r="I2205" t="s">
        <v>24</v>
      </c>
      <c r="J2205">
        <v>172</v>
      </c>
      <c r="K2205">
        <v>1428</v>
      </c>
      <c r="L2205">
        <v>479</v>
      </c>
      <c r="M2205">
        <f>COUNTIF(H2205:$H$2581,H2205)</f>
        <v>1</v>
      </c>
    </row>
    <row r="2206" spans="1:13" x14ac:dyDescent="0.2">
      <c r="A2206">
        <v>2521</v>
      </c>
      <c r="B2206" t="s">
        <v>2029</v>
      </c>
      <c r="C2206" t="s">
        <v>3801</v>
      </c>
      <c r="D2206" t="s">
        <v>54</v>
      </c>
      <c r="E2206" t="s">
        <v>3802</v>
      </c>
      <c r="F2206" t="s">
        <v>2032</v>
      </c>
      <c r="G2206" t="s">
        <v>3803</v>
      </c>
      <c r="H2206" t="s">
        <v>7252</v>
      </c>
      <c r="I2206" t="s">
        <v>24</v>
      </c>
      <c r="J2206">
        <v>292</v>
      </c>
      <c r="K2206">
        <v>2522</v>
      </c>
      <c r="L2206">
        <v>716</v>
      </c>
      <c r="M2206">
        <f>COUNTIF(H2206:$H$2581,H2206)</f>
        <v>4</v>
      </c>
    </row>
    <row r="2207" spans="1:13" x14ac:dyDescent="0.2">
      <c r="A2207">
        <v>1590</v>
      </c>
      <c r="B2207" t="s">
        <v>211</v>
      </c>
      <c r="C2207" t="s">
        <v>3805</v>
      </c>
      <c r="D2207" t="s">
        <v>13</v>
      </c>
      <c r="E2207" t="s">
        <v>3806</v>
      </c>
      <c r="F2207" t="s">
        <v>214</v>
      </c>
      <c r="G2207" t="s">
        <v>3807</v>
      </c>
      <c r="H2207" t="s">
        <v>7252</v>
      </c>
      <c r="I2207" t="s">
        <v>24</v>
      </c>
      <c r="J2207">
        <v>195</v>
      </c>
      <c r="K2207">
        <v>1591</v>
      </c>
      <c r="L2207">
        <v>531</v>
      </c>
      <c r="M2207">
        <f>COUNTIF(H2207:$H$2581,H2207)</f>
        <v>3</v>
      </c>
    </row>
    <row r="2208" spans="1:13" x14ac:dyDescent="0.2">
      <c r="A2208">
        <v>2460</v>
      </c>
      <c r="B2208" t="s">
        <v>1411</v>
      </c>
      <c r="C2208" t="s">
        <v>3860</v>
      </c>
      <c r="D2208" t="s">
        <v>13</v>
      </c>
      <c r="E2208" t="s">
        <v>3861</v>
      </c>
      <c r="F2208" t="s">
        <v>1414</v>
      </c>
      <c r="G2208" t="s">
        <v>3862</v>
      </c>
      <c r="H2208" t="s">
        <v>7252</v>
      </c>
      <c r="I2208" t="b">
        <v>1</v>
      </c>
      <c r="J2208">
        <v>285</v>
      </c>
      <c r="K2208">
        <v>2461</v>
      </c>
      <c r="L2208">
        <v>270</v>
      </c>
      <c r="M2208">
        <f>COUNTIF(H2208:$H$2581,H2208)</f>
        <v>2</v>
      </c>
    </row>
    <row r="2209" spans="1:13" x14ac:dyDescent="0.2">
      <c r="A2209">
        <v>2319</v>
      </c>
      <c r="B2209" t="s">
        <v>1029</v>
      </c>
      <c r="C2209" t="s">
        <v>3863</v>
      </c>
      <c r="D2209" t="s">
        <v>13</v>
      </c>
      <c r="E2209" t="s">
        <v>3864</v>
      </c>
      <c r="F2209" t="s">
        <v>1032</v>
      </c>
      <c r="G2209" t="s">
        <v>3865</v>
      </c>
      <c r="H2209" t="s">
        <v>7252</v>
      </c>
      <c r="I2209" t="s">
        <v>24</v>
      </c>
      <c r="J2209">
        <v>273</v>
      </c>
      <c r="K2209">
        <v>2320</v>
      </c>
      <c r="L2209">
        <v>681</v>
      </c>
      <c r="M2209">
        <f>COUNTIF(H2209:$H$2581,H2209)</f>
        <v>1</v>
      </c>
    </row>
    <row r="2210" spans="1:13" x14ac:dyDescent="0.2">
      <c r="A2210">
        <v>2570</v>
      </c>
      <c r="B2210" t="s">
        <v>226</v>
      </c>
      <c r="C2210" t="s">
        <v>3898</v>
      </c>
      <c r="D2210" t="s">
        <v>13</v>
      </c>
      <c r="E2210" t="s">
        <v>3899</v>
      </c>
      <c r="F2210" t="s">
        <v>229</v>
      </c>
      <c r="G2210" t="s">
        <v>3900</v>
      </c>
      <c r="H2210" t="s">
        <v>7272</v>
      </c>
      <c r="I2210" t="b">
        <v>1</v>
      </c>
      <c r="J2210">
        <v>299</v>
      </c>
      <c r="K2210">
        <v>2571</v>
      </c>
      <c r="L2210">
        <v>101</v>
      </c>
      <c r="M2210">
        <f>COUNTIF(H2210:$H$2581,H2210)</f>
        <v>1</v>
      </c>
    </row>
    <row r="2211" spans="1:13" x14ac:dyDescent="0.2">
      <c r="A2211">
        <v>1452</v>
      </c>
      <c r="B2211" t="s">
        <v>2651</v>
      </c>
      <c r="C2211" t="s">
        <v>3901</v>
      </c>
      <c r="D2211" t="s">
        <v>54</v>
      </c>
      <c r="E2211" t="s">
        <v>3902</v>
      </c>
      <c r="F2211" t="s">
        <v>2654</v>
      </c>
      <c r="G2211" t="s">
        <v>3903</v>
      </c>
      <c r="H2211" t="s">
        <v>7279</v>
      </c>
      <c r="I2211" t="b">
        <v>0</v>
      </c>
      <c r="J2211">
        <v>176</v>
      </c>
      <c r="K2211">
        <v>1453</v>
      </c>
      <c r="L2211">
        <v>488</v>
      </c>
      <c r="M2211">
        <f>COUNTIF(H2211:$H$2581,H2211)</f>
        <v>1</v>
      </c>
    </row>
    <row r="2212" spans="1:13" x14ac:dyDescent="0.2">
      <c r="A2212">
        <v>419</v>
      </c>
      <c r="B2212" t="s">
        <v>3258</v>
      </c>
      <c r="C2212" t="s">
        <v>3905</v>
      </c>
      <c r="D2212" t="s">
        <v>13</v>
      </c>
      <c r="E2212" t="s">
        <v>3906</v>
      </c>
      <c r="F2212" t="s">
        <v>3261</v>
      </c>
      <c r="G2212" t="s">
        <v>3907</v>
      </c>
      <c r="H2212" t="s">
        <v>7298</v>
      </c>
      <c r="I2212" t="b">
        <v>0</v>
      </c>
      <c r="J2212">
        <v>61</v>
      </c>
      <c r="K2212">
        <v>420</v>
      </c>
      <c r="L2212">
        <v>185</v>
      </c>
      <c r="M2212">
        <f>COUNTIF(H2212:$H$2581,H2212)</f>
        <v>4</v>
      </c>
    </row>
    <row r="2213" spans="1:13" x14ac:dyDescent="0.2">
      <c r="A2213">
        <v>1057</v>
      </c>
      <c r="B2213" t="s">
        <v>1884</v>
      </c>
      <c r="C2213" t="s">
        <v>3909</v>
      </c>
      <c r="D2213" t="s">
        <v>13</v>
      </c>
      <c r="E2213" t="s">
        <v>3910</v>
      </c>
      <c r="F2213" t="s">
        <v>1887</v>
      </c>
      <c r="G2213" t="s">
        <v>3911</v>
      </c>
      <c r="H2213" t="s">
        <v>7298</v>
      </c>
      <c r="I2213" t="s">
        <v>24</v>
      </c>
      <c r="J2213">
        <v>131</v>
      </c>
      <c r="K2213">
        <v>1058</v>
      </c>
      <c r="L2213">
        <v>374</v>
      </c>
      <c r="M2213">
        <f>COUNTIF(H2213:$H$2581,H2213)</f>
        <v>3</v>
      </c>
    </row>
    <row r="2214" spans="1:13" x14ac:dyDescent="0.2">
      <c r="A2214">
        <v>1667</v>
      </c>
      <c r="B2214" t="s">
        <v>1059</v>
      </c>
      <c r="C2214" t="s">
        <v>3913</v>
      </c>
      <c r="D2214" t="s">
        <v>13</v>
      </c>
      <c r="E2214" t="s">
        <v>3914</v>
      </c>
      <c r="F2214" t="s">
        <v>1062</v>
      </c>
      <c r="G2214" t="s">
        <v>3915</v>
      </c>
      <c r="H2214" t="s">
        <v>7298</v>
      </c>
      <c r="I2214" t="b">
        <v>1</v>
      </c>
      <c r="J2214">
        <v>201</v>
      </c>
      <c r="K2214">
        <v>1668</v>
      </c>
      <c r="L2214">
        <v>556</v>
      </c>
      <c r="M2214">
        <f>COUNTIF(H2214:$H$2581,H2214)</f>
        <v>2</v>
      </c>
    </row>
    <row r="2215" spans="1:13" x14ac:dyDescent="0.2">
      <c r="A2215">
        <v>1769</v>
      </c>
      <c r="B2215" t="s">
        <v>216</v>
      </c>
      <c r="C2215" t="s">
        <v>3921</v>
      </c>
      <c r="D2215" t="s">
        <v>54</v>
      </c>
      <c r="E2215" t="s">
        <v>3922</v>
      </c>
      <c r="F2215" t="s">
        <v>219</v>
      </c>
      <c r="G2215" t="s">
        <v>3923</v>
      </c>
      <c r="H2215" t="s">
        <v>7298</v>
      </c>
      <c r="I2215" t="b">
        <v>1</v>
      </c>
      <c r="J2215">
        <v>209</v>
      </c>
      <c r="K2215">
        <v>1770</v>
      </c>
      <c r="L2215">
        <v>525</v>
      </c>
      <c r="M2215">
        <f>COUNTIF(H2215:$H$2581,H2215)</f>
        <v>1</v>
      </c>
    </row>
    <row r="2216" spans="1:13" x14ac:dyDescent="0.2">
      <c r="A2216">
        <v>2330</v>
      </c>
      <c r="B2216" t="s">
        <v>900</v>
      </c>
      <c r="C2216" t="s">
        <v>3937</v>
      </c>
      <c r="D2216" t="s">
        <v>54</v>
      </c>
      <c r="E2216" t="s">
        <v>3938</v>
      </c>
      <c r="F2216" t="s">
        <v>903</v>
      </c>
      <c r="G2216" t="s">
        <v>3939</v>
      </c>
      <c r="H2216" t="s">
        <v>7318</v>
      </c>
      <c r="I2216" t="b">
        <v>0</v>
      </c>
      <c r="J2216">
        <v>274</v>
      </c>
      <c r="K2216">
        <v>2331</v>
      </c>
      <c r="L2216">
        <v>206</v>
      </c>
      <c r="M2216">
        <f>COUNTIF(H2216:$H$2581,H2216)</f>
        <v>2</v>
      </c>
    </row>
    <row r="2217" spans="1:13" x14ac:dyDescent="0.2">
      <c r="A2217">
        <v>1040</v>
      </c>
      <c r="B2217" t="s">
        <v>1456</v>
      </c>
      <c r="C2217" t="s">
        <v>3940</v>
      </c>
      <c r="D2217" t="s">
        <v>13</v>
      </c>
      <c r="E2217" t="s">
        <v>3941</v>
      </c>
      <c r="F2217" t="s">
        <v>1459</v>
      </c>
      <c r="G2217" t="s">
        <v>3942</v>
      </c>
      <c r="H2217" t="s">
        <v>7318</v>
      </c>
      <c r="I2217" t="s">
        <v>24</v>
      </c>
      <c r="J2217">
        <v>130</v>
      </c>
      <c r="K2217">
        <v>1041</v>
      </c>
      <c r="L2217">
        <v>370</v>
      </c>
      <c r="M2217">
        <f>COUNTIF(H2217:$H$2581,H2217)</f>
        <v>1</v>
      </c>
    </row>
    <row r="2218" spans="1:13" x14ac:dyDescent="0.2">
      <c r="A2218">
        <v>1398</v>
      </c>
      <c r="B2218" t="s">
        <v>170</v>
      </c>
      <c r="C2218" t="s">
        <v>3944</v>
      </c>
      <c r="D2218" t="s">
        <v>13</v>
      </c>
      <c r="E2218" t="s">
        <v>3945</v>
      </c>
      <c r="F2218" t="s">
        <v>173</v>
      </c>
      <c r="G2218" t="s">
        <v>3946</v>
      </c>
      <c r="H2218" t="s">
        <v>7360</v>
      </c>
      <c r="I2218" t="b">
        <v>1</v>
      </c>
      <c r="J2218">
        <v>168</v>
      </c>
      <c r="K2218">
        <v>1399</v>
      </c>
      <c r="L2218">
        <v>468</v>
      </c>
      <c r="M2218">
        <f>COUNTIF(H2218:$H$2581,H2218)</f>
        <v>15</v>
      </c>
    </row>
    <row r="2219" spans="1:13" x14ac:dyDescent="0.2">
      <c r="A2219">
        <v>2154</v>
      </c>
      <c r="B2219" t="s">
        <v>160</v>
      </c>
      <c r="C2219" t="s">
        <v>3985</v>
      </c>
      <c r="D2219" t="s">
        <v>13</v>
      </c>
      <c r="E2219" t="s">
        <v>3986</v>
      </c>
      <c r="F2219" t="s">
        <v>163</v>
      </c>
      <c r="G2219" t="s">
        <v>3987</v>
      </c>
      <c r="H2219" t="s">
        <v>7360</v>
      </c>
      <c r="I2219" t="b">
        <v>0</v>
      </c>
      <c r="J2219">
        <v>251</v>
      </c>
      <c r="K2219">
        <v>2155</v>
      </c>
      <c r="L2219">
        <v>40</v>
      </c>
      <c r="M2219">
        <f>COUNTIF(H2219:$H$2581,H2219)</f>
        <v>14</v>
      </c>
    </row>
    <row r="2220" spans="1:13" x14ac:dyDescent="0.2">
      <c r="A2220">
        <v>2149</v>
      </c>
      <c r="B2220" t="s">
        <v>157</v>
      </c>
      <c r="C2220" t="s">
        <v>3992</v>
      </c>
      <c r="D2220" t="s">
        <v>54</v>
      </c>
      <c r="E2220" t="s">
        <v>4011</v>
      </c>
      <c r="F2220" t="s">
        <v>159</v>
      </c>
      <c r="G2220" t="s">
        <v>3994</v>
      </c>
      <c r="H2220" t="s">
        <v>7360</v>
      </c>
      <c r="I2220" t="s">
        <v>24</v>
      </c>
      <c r="J2220">
        <v>250</v>
      </c>
      <c r="K2220">
        <v>2150</v>
      </c>
      <c r="L2220">
        <v>71</v>
      </c>
      <c r="M2220">
        <f>COUNTIF(H2220:$H$2581,H2220)</f>
        <v>13</v>
      </c>
    </row>
    <row r="2221" spans="1:13" x14ac:dyDescent="0.2">
      <c r="A2221">
        <v>2432</v>
      </c>
      <c r="B2221" t="s">
        <v>1327</v>
      </c>
      <c r="C2221" t="s">
        <v>4070</v>
      </c>
      <c r="D2221" t="s">
        <v>54</v>
      </c>
      <c r="E2221" s="1" t="s">
        <v>4071</v>
      </c>
      <c r="F2221" t="s">
        <v>1330</v>
      </c>
      <c r="G2221" t="s">
        <v>4072</v>
      </c>
      <c r="H2221" t="s">
        <v>7360</v>
      </c>
      <c r="I2221" t="b">
        <v>0</v>
      </c>
      <c r="J2221">
        <v>283</v>
      </c>
      <c r="K2221">
        <v>2433</v>
      </c>
      <c r="L2221">
        <v>23</v>
      </c>
      <c r="M2221">
        <f>COUNTIF(H2221:$H$2581,H2221)</f>
        <v>12</v>
      </c>
    </row>
    <row r="2222" spans="1:13" x14ac:dyDescent="0.2">
      <c r="A2222">
        <v>1660</v>
      </c>
      <c r="B2222" t="s">
        <v>287</v>
      </c>
      <c r="C2222" t="s">
        <v>4073</v>
      </c>
      <c r="D2222" t="s">
        <v>33</v>
      </c>
      <c r="E2222" t="s">
        <v>4074</v>
      </c>
      <c r="F2222" t="s">
        <v>290</v>
      </c>
      <c r="G2222" t="s">
        <v>4075</v>
      </c>
      <c r="H2222" t="s">
        <v>7360</v>
      </c>
      <c r="I2222" t="b">
        <v>0</v>
      </c>
      <c r="J2222">
        <v>200</v>
      </c>
      <c r="K2222">
        <v>1661</v>
      </c>
      <c r="L2222">
        <v>553</v>
      </c>
      <c r="M2222">
        <f>COUNTIF(H2222:$H$2581,H2222)</f>
        <v>11</v>
      </c>
    </row>
    <row r="2223" spans="1:13" x14ac:dyDescent="0.2">
      <c r="A2223">
        <v>303</v>
      </c>
      <c r="B2223" t="s">
        <v>784</v>
      </c>
      <c r="C2223" t="s">
        <v>4077</v>
      </c>
      <c r="D2223" t="s">
        <v>54</v>
      </c>
      <c r="E2223" t="s">
        <v>4078</v>
      </c>
      <c r="F2223" t="s">
        <v>787</v>
      </c>
      <c r="G2223" t="s">
        <v>4079</v>
      </c>
      <c r="H2223" t="s">
        <v>7360</v>
      </c>
      <c r="I2223" t="b">
        <v>0</v>
      </c>
      <c r="J2223">
        <v>45</v>
      </c>
      <c r="K2223">
        <v>304</v>
      </c>
      <c r="L2223">
        <v>139</v>
      </c>
      <c r="M2223">
        <f>COUNTIF(H2223:$H$2581,H2223)</f>
        <v>10</v>
      </c>
    </row>
    <row r="2224" spans="1:13" x14ac:dyDescent="0.2">
      <c r="A2224">
        <v>1024</v>
      </c>
      <c r="B2224" t="s">
        <v>2218</v>
      </c>
      <c r="C2224" t="s">
        <v>4081</v>
      </c>
      <c r="D2224" t="s">
        <v>33</v>
      </c>
      <c r="E2224" t="s">
        <v>4082</v>
      </c>
      <c r="F2224" t="s">
        <v>2221</v>
      </c>
      <c r="G2224" t="s">
        <v>4083</v>
      </c>
      <c r="H2224" t="s">
        <v>7360</v>
      </c>
      <c r="I2224" t="b">
        <v>0</v>
      </c>
      <c r="J2224">
        <v>128</v>
      </c>
      <c r="K2224">
        <v>1025</v>
      </c>
      <c r="L2224">
        <v>364</v>
      </c>
      <c r="M2224">
        <f>COUNTIF(H2224:$H$2581,H2224)</f>
        <v>9</v>
      </c>
    </row>
    <row r="2225" spans="1:13" x14ac:dyDescent="0.2">
      <c r="A2225">
        <v>1569</v>
      </c>
      <c r="B2225" t="s">
        <v>1514</v>
      </c>
      <c r="C2225" t="s">
        <v>4085</v>
      </c>
      <c r="D2225" t="s">
        <v>13</v>
      </c>
      <c r="E2225" t="s">
        <v>4086</v>
      </c>
      <c r="F2225" t="s">
        <v>1517</v>
      </c>
      <c r="G2225" t="s">
        <v>4087</v>
      </c>
      <c r="H2225" t="s">
        <v>7360</v>
      </c>
      <c r="I2225" t="b">
        <v>0</v>
      </c>
      <c r="J2225">
        <v>192</v>
      </c>
      <c r="K2225">
        <v>1570</v>
      </c>
      <c r="L2225">
        <v>523</v>
      </c>
      <c r="M2225">
        <f>COUNTIF(H2225:$H$2581,H2225)</f>
        <v>8</v>
      </c>
    </row>
    <row r="2226" spans="1:13" x14ac:dyDescent="0.2">
      <c r="A2226">
        <v>343</v>
      </c>
      <c r="B2226" t="s">
        <v>455</v>
      </c>
      <c r="C2226" t="s">
        <v>4089</v>
      </c>
      <c r="D2226" t="s">
        <v>13</v>
      </c>
      <c r="E2226" t="s">
        <v>4090</v>
      </c>
      <c r="F2226" t="s">
        <v>458</v>
      </c>
      <c r="G2226" t="s">
        <v>4091</v>
      </c>
      <c r="H2226" t="s">
        <v>7360</v>
      </c>
      <c r="I2226" t="b">
        <v>0</v>
      </c>
      <c r="J2226">
        <v>49</v>
      </c>
      <c r="K2226">
        <v>344</v>
      </c>
      <c r="L2226">
        <v>160</v>
      </c>
      <c r="M2226">
        <f>COUNTIF(H2226:$H$2581,H2226)</f>
        <v>7</v>
      </c>
    </row>
    <row r="2227" spans="1:13" x14ac:dyDescent="0.2">
      <c r="A2227">
        <v>1041</v>
      </c>
      <c r="B2227" t="s">
        <v>1456</v>
      </c>
      <c r="C2227" t="s">
        <v>4093</v>
      </c>
      <c r="D2227" t="s">
        <v>13</v>
      </c>
      <c r="E2227" t="s">
        <v>4094</v>
      </c>
      <c r="F2227" t="s">
        <v>1459</v>
      </c>
      <c r="G2227" t="s">
        <v>4095</v>
      </c>
      <c r="H2227" t="s">
        <v>7360</v>
      </c>
      <c r="I2227" t="s">
        <v>24</v>
      </c>
      <c r="J2227">
        <v>130</v>
      </c>
      <c r="K2227">
        <v>1042</v>
      </c>
      <c r="L2227">
        <v>371</v>
      </c>
      <c r="M2227">
        <f>COUNTIF(H2227:$H$2581,H2227)</f>
        <v>6</v>
      </c>
    </row>
    <row r="2228" spans="1:13" x14ac:dyDescent="0.2">
      <c r="A2228">
        <v>504</v>
      </c>
      <c r="B2228" t="s">
        <v>2129</v>
      </c>
      <c r="C2228" t="s">
        <v>4097</v>
      </c>
      <c r="D2228" t="s">
        <v>33</v>
      </c>
      <c r="E2228" t="s">
        <v>4098</v>
      </c>
      <c r="F2228" t="s">
        <v>2132</v>
      </c>
      <c r="G2228" t="s">
        <v>4099</v>
      </c>
      <c r="H2228" t="s">
        <v>7360</v>
      </c>
      <c r="I2228" t="b">
        <v>0</v>
      </c>
      <c r="J2228">
        <v>72</v>
      </c>
      <c r="K2228">
        <v>505</v>
      </c>
      <c r="L2228">
        <v>223</v>
      </c>
      <c r="M2228">
        <f>COUNTIF(H2228:$H$2581,H2228)</f>
        <v>5</v>
      </c>
    </row>
    <row r="2229" spans="1:13" x14ac:dyDescent="0.2">
      <c r="A2229">
        <v>2505</v>
      </c>
      <c r="B2229" t="s">
        <v>481</v>
      </c>
      <c r="C2229" t="s">
        <v>4105</v>
      </c>
      <c r="D2229" t="s">
        <v>13</v>
      </c>
      <c r="E2229" t="s">
        <v>4106</v>
      </c>
      <c r="F2229" t="s">
        <v>484</v>
      </c>
      <c r="G2229" t="s">
        <v>4107</v>
      </c>
      <c r="H2229" t="s">
        <v>7360</v>
      </c>
      <c r="I2229" t="s">
        <v>24</v>
      </c>
      <c r="J2229">
        <v>291</v>
      </c>
      <c r="K2229">
        <v>2506</v>
      </c>
      <c r="L2229">
        <v>177</v>
      </c>
      <c r="M2229">
        <f>COUNTIF(H2229:$H$2581,H2229)</f>
        <v>4</v>
      </c>
    </row>
    <row r="2230" spans="1:13" x14ac:dyDescent="0.2">
      <c r="A2230">
        <v>2552</v>
      </c>
      <c r="B2230" t="s">
        <v>1559</v>
      </c>
      <c r="C2230" t="s">
        <v>4118</v>
      </c>
      <c r="D2230" t="s">
        <v>13</v>
      </c>
      <c r="E2230" t="s">
        <v>4119</v>
      </c>
      <c r="F2230" t="s">
        <v>1562</v>
      </c>
      <c r="G2230" t="s">
        <v>4120</v>
      </c>
      <c r="H2230" t="s">
        <v>7360</v>
      </c>
      <c r="I2230" t="s">
        <v>24</v>
      </c>
      <c r="J2230">
        <v>296</v>
      </c>
      <c r="K2230">
        <v>2553</v>
      </c>
      <c r="L2230">
        <v>102</v>
      </c>
      <c r="M2230">
        <f>COUNTIF(H2230:$H$2581,H2230)</f>
        <v>3</v>
      </c>
    </row>
    <row r="2231" spans="1:13" x14ac:dyDescent="0.2">
      <c r="A2231">
        <v>392</v>
      </c>
      <c r="B2231" t="s">
        <v>1568</v>
      </c>
      <c r="C2231" t="s">
        <v>4121</v>
      </c>
      <c r="D2231" t="s">
        <v>13</v>
      </c>
      <c r="E2231" t="s">
        <v>4122</v>
      </c>
      <c r="F2231" t="s">
        <v>1571</v>
      </c>
      <c r="G2231" t="s">
        <v>4123</v>
      </c>
      <c r="H2231" t="s">
        <v>7360</v>
      </c>
      <c r="I2231" t="s">
        <v>24</v>
      </c>
      <c r="J2231">
        <v>55</v>
      </c>
      <c r="K2231">
        <v>393</v>
      </c>
      <c r="L2231">
        <v>178</v>
      </c>
      <c r="M2231">
        <f>COUNTIF(H2231:$H$2581,H2231)</f>
        <v>2</v>
      </c>
    </row>
    <row r="2232" spans="1:13" x14ac:dyDescent="0.2">
      <c r="A2232">
        <v>2211</v>
      </c>
      <c r="B2232" t="s">
        <v>2675</v>
      </c>
      <c r="C2232" t="s">
        <v>4131</v>
      </c>
      <c r="D2232" t="s">
        <v>13</v>
      </c>
      <c r="E2232" t="s">
        <v>4132</v>
      </c>
      <c r="F2232" t="s">
        <v>2678</v>
      </c>
      <c r="G2232" t="s">
        <v>4133</v>
      </c>
      <c r="H2232" t="s">
        <v>7360</v>
      </c>
      <c r="I2232" t="s">
        <v>24</v>
      </c>
      <c r="J2232">
        <v>260</v>
      </c>
      <c r="K2232">
        <v>2212</v>
      </c>
      <c r="L2232">
        <v>480</v>
      </c>
      <c r="M2232">
        <f>COUNTIF(H2232:$H$2581,H2232)</f>
        <v>1</v>
      </c>
    </row>
    <row r="2233" spans="1:13" x14ac:dyDescent="0.2">
      <c r="A2233">
        <v>1894</v>
      </c>
      <c r="B2233" t="s">
        <v>1485</v>
      </c>
      <c r="C2233" t="s">
        <v>4141</v>
      </c>
      <c r="D2233" t="s">
        <v>13</v>
      </c>
      <c r="E2233" t="s">
        <v>4142</v>
      </c>
      <c r="F2233" t="s">
        <v>1488</v>
      </c>
      <c r="G2233" t="s">
        <v>4143</v>
      </c>
      <c r="H2233" t="s">
        <v>7406</v>
      </c>
      <c r="I2233" t="b">
        <v>1</v>
      </c>
      <c r="J2233">
        <v>220</v>
      </c>
      <c r="K2233">
        <v>1895</v>
      </c>
      <c r="L2233">
        <v>247</v>
      </c>
      <c r="M2233">
        <f>COUNTIF(H2233:$H$2581,H2233)</f>
        <v>1</v>
      </c>
    </row>
    <row r="2234" spans="1:13" x14ac:dyDescent="0.2">
      <c r="A2234">
        <v>1126</v>
      </c>
      <c r="B2234" t="s">
        <v>625</v>
      </c>
      <c r="C2234" t="s">
        <v>1442</v>
      </c>
      <c r="D2234" t="s">
        <v>54</v>
      </c>
      <c r="E2234" t="s">
        <v>4144</v>
      </c>
      <c r="F2234" t="s">
        <v>628</v>
      </c>
      <c r="G2234" t="s">
        <v>4145</v>
      </c>
      <c r="H2234" t="s">
        <v>7444</v>
      </c>
      <c r="I2234" t="b">
        <v>1</v>
      </c>
      <c r="J2234">
        <v>136</v>
      </c>
      <c r="K2234">
        <v>1127</v>
      </c>
      <c r="L2234">
        <v>389</v>
      </c>
      <c r="M2234">
        <f>COUNTIF(H2234:$H$2581,H2234)</f>
        <v>10</v>
      </c>
    </row>
    <row r="2235" spans="1:13" x14ac:dyDescent="0.2">
      <c r="A2235">
        <v>2027</v>
      </c>
      <c r="B2235" t="s">
        <v>3759</v>
      </c>
      <c r="C2235" t="s">
        <v>4157</v>
      </c>
      <c r="D2235" t="s">
        <v>13</v>
      </c>
      <c r="E2235" t="s">
        <v>4158</v>
      </c>
      <c r="F2235" t="s">
        <v>3762</v>
      </c>
      <c r="G2235" t="s">
        <v>4159</v>
      </c>
      <c r="H2235" t="s">
        <v>7444</v>
      </c>
      <c r="I2235" t="b">
        <v>1</v>
      </c>
      <c r="J2235">
        <v>234</v>
      </c>
      <c r="K2235">
        <v>2028</v>
      </c>
      <c r="L2235">
        <v>218</v>
      </c>
      <c r="M2235">
        <f>COUNTIF(H2235:$H$2581,H2235)</f>
        <v>9</v>
      </c>
    </row>
    <row r="2236" spans="1:13" x14ac:dyDescent="0.2">
      <c r="A2236">
        <v>2127</v>
      </c>
      <c r="B2236" t="s">
        <v>581</v>
      </c>
      <c r="C2236" t="s">
        <v>4217</v>
      </c>
      <c r="D2236" t="s">
        <v>54</v>
      </c>
      <c r="E2236" t="s">
        <v>4218</v>
      </c>
      <c r="F2236" s="1" t="s">
        <v>584</v>
      </c>
      <c r="G2236" t="s">
        <v>4219</v>
      </c>
      <c r="H2236" t="s">
        <v>7444</v>
      </c>
      <c r="I2236" t="b">
        <v>1</v>
      </c>
      <c r="J2236">
        <v>246</v>
      </c>
      <c r="K2236">
        <v>2128</v>
      </c>
      <c r="L2236">
        <v>64</v>
      </c>
      <c r="M2236">
        <f>COUNTIF(H2236:$H$2581,H2236)</f>
        <v>8</v>
      </c>
    </row>
    <row r="2237" spans="1:13" x14ac:dyDescent="0.2">
      <c r="A2237">
        <v>1996</v>
      </c>
      <c r="B2237" t="s">
        <v>1957</v>
      </c>
      <c r="C2237" t="s">
        <v>4224</v>
      </c>
      <c r="D2237" t="s">
        <v>54</v>
      </c>
      <c r="E2237" t="s">
        <v>4225</v>
      </c>
      <c r="F2237" t="s">
        <v>1960</v>
      </c>
      <c r="G2237" t="s">
        <v>4226</v>
      </c>
      <c r="H2237" t="s">
        <v>7444</v>
      </c>
      <c r="I2237" t="s">
        <v>24</v>
      </c>
      <c r="J2237">
        <v>231</v>
      </c>
      <c r="K2237">
        <v>1997</v>
      </c>
      <c r="L2237">
        <v>603</v>
      </c>
      <c r="M2237">
        <f>COUNTIF(H2237:$H$2581,H2237)</f>
        <v>7</v>
      </c>
    </row>
    <row r="2238" spans="1:13" x14ac:dyDescent="0.2">
      <c r="A2238">
        <v>1715</v>
      </c>
      <c r="B2238" t="s">
        <v>725</v>
      </c>
      <c r="C2238" t="s">
        <v>4227</v>
      </c>
      <c r="D2238" t="s">
        <v>54</v>
      </c>
      <c r="E2238" t="s">
        <v>4228</v>
      </c>
      <c r="F2238" t="s">
        <v>728</v>
      </c>
      <c r="G2238" t="s">
        <v>4229</v>
      </c>
      <c r="H2238" t="s">
        <v>7444</v>
      </c>
      <c r="I2238" t="b">
        <v>1</v>
      </c>
      <c r="J2238">
        <v>205</v>
      </c>
      <c r="K2238">
        <v>1716</v>
      </c>
      <c r="L2238">
        <v>565</v>
      </c>
      <c r="M2238">
        <f>COUNTIF(H2238:$H$2581,H2238)</f>
        <v>6</v>
      </c>
    </row>
    <row r="2239" spans="1:13" x14ac:dyDescent="0.2">
      <c r="A2239">
        <v>2553</v>
      </c>
      <c r="B2239" t="s">
        <v>1559</v>
      </c>
      <c r="C2239" t="s">
        <v>4633</v>
      </c>
      <c r="D2239" t="s">
        <v>13</v>
      </c>
      <c r="E2239" t="s">
        <v>4634</v>
      </c>
      <c r="F2239" t="s">
        <v>1562</v>
      </c>
      <c r="G2239" t="s">
        <v>4635</v>
      </c>
      <c r="H2239" t="s">
        <v>7444</v>
      </c>
      <c r="I2239" t="s">
        <v>24</v>
      </c>
      <c r="J2239">
        <v>296</v>
      </c>
      <c r="K2239">
        <v>2554</v>
      </c>
      <c r="L2239">
        <v>4</v>
      </c>
      <c r="M2239">
        <f>COUNTIF(H2239:$H$2581,H2239)</f>
        <v>5</v>
      </c>
    </row>
    <row r="2240" spans="1:13" x14ac:dyDescent="0.2">
      <c r="A2240">
        <v>2278</v>
      </c>
      <c r="B2240" t="s">
        <v>11</v>
      </c>
      <c r="C2240" t="s">
        <v>4640</v>
      </c>
      <c r="D2240" t="s">
        <v>13</v>
      </c>
      <c r="E2240" t="s">
        <v>4641</v>
      </c>
      <c r="F2240" t="s">
        <v>15</v>
      </c>
      <c r="G2240" t="s">
        <v>4642</v>
      </c>
      <c r="H2240" t="s">
        <v>7444</v>
      </c>
      <c r="I2240" t="b">
        <v>0</v>
      </c>
      <c r="J2240">
        <v>267</v>
      </c>
      <c r="K2240">
        <v>2279</v>
      </c>
      <c r="L2240">
        <v>500</v>
      </c>
      <c r="M2240">
        <f>COUNTIF(H2240:$H$2581,H2240)</f>
        <v>4</v>
      </c>
    </row>
    <row r="2241" spans="1:13" x14ac:dyDescent="0.2">
      <c r="A2241">
        <v>2355</v>
      </c>
      <c r="B2241" t="s">
        <v>504</v>
      </c>
      <c r="C2241" t="s">
        <v>4650</v>
      </c>
      <c r="D2241" t="s">
        <v>13</v>
      </c>
      <c r="E2241" t="s">
        <v>4651</v>
      </c>
      <c r="F2241" t="s">
        <v>507</v>
      </c>
      <c r="G2241" t="s">
        <v>4652</v>
      </c>
      <c r="H2241" t="s">
        <v>7444</v>
      </c>
      <c r="I2241" t="s">
        <v>24</v>
      </c>
      <c r="J2241">
        <v>275</v>
      </c>
      <c r="K2241">
        <v>2356</v>
      </c>
      <c r="L2241">
        <v>264</v>
      </c>
      <c r="M2241">
        <f>COUNTIF(H2241:$H$2581,H2241)</f>
        <v>3</v>
      </c>
    </row>
    <row r="2242" spans="1:13" x14ac:dyDescent="0.2">
      <c r="A2242">
        <v>2507</v>
      </c>
      <c r="B2242" t="s">
        <v>481</v>
      </c>
      <c r="C2242" t="s">
        <v>4695</v>
      </c>
      <c r="D2242" t="s">
        <v>13</v>
      </c>
      <c r="E2242" t="s">
        <v>4696</v>
      </c>
      <c r="F2242" t="s">
        <v>484</v>
      </c>
      <c r="G2242" t="s">
        <v>4697</v>
      </c>
      <c r="H2242" t="s">
        <v>7444</v>
      </c>
      <c r="I2242" t="s">
        <v>24</v>
      </c>
      <c r="J2242">
        <v>291</v>
      </c>
      <c r="K2242">
        <v>2508</v>
      </c>
      <c r="L2242">
        <v>33</v>
      </c>
      <c r="M2242">
        <f>COUNTIF(H2242:$H$2581,H2242)</f>
        <v>2</v>
      </c>
    </row>
    <row r="2243" spans="1:13" x14ac:dyDescent="0.2">
      <c r="A2243">
        <v>1059</v>
      </c>
      <c r="B2243" t="s">
        <v>1884</v>
      </c>
      <c r="C2243" t="s">
        <v>4698</v>
      </c>
      <c r="D2243" t="s">
        <v>54</v>
      </c>
      <c r="E2243" t="s">
        <v>4699</v>
      </c>
      <c r="F2243" t="s">
        <v>1887</v>
      </c>
      <c r="G2243" t="s">
        <v>4700</v>
      </c>
      <c r="H2243" t="s">
        <v>7444</v>
      </c>
      <c r="I2243" t="s">
        <v>24</v>
      </c>
      <c r="J2243">
        <v>131</v>
      </c>
      <c r="K2243">
        <v>1060</v>
      </c>
      <c r="L2243">
        <v>375</v>
      </c>
      <c r="M2243">
        <f>COUNTIF(H2243:$H$2581,H2243)</f>
        <v>1</v>
      </c>
    </row>
    <row r="2244" spans="1:13" x14ac:dyDescent="0.2">
      <c r="A2244">
        <v>2165</v>
      </c>
      <c r="B2244" t="s">
        <v>471</v>
      </c>
      <c r="C2244" t="s">
        <v>4702</v>
      </c>
      <c r="D2244" t="s">
        <v>13</v>
      </c>
      <c r="E2244" t="s">
        <v>4703</v>
      </c>
      <c r="F2244" t="s">
        <v>474</v>
      </c>
      <c r="G2244" t="s">
        <v>4704</v>
      </c>
      <c r="H2244" t="s">
        <v>7478</v>
      </c>
      <c r="I2244" t="s">
        <v>24</v>
      </c>
      <c r="J2244">
        <v>253</v>
      </c>
      <c r="K2244">
        <v>2166</v>
      </c>
      <c r="L2244">
        <v>645</v>
      </c>
      <c r="M2244">
        <f>COUNTIF(H2244:$H$2581,H2244)</f>
        <v>9</v>
      </c>
    </row>
    <row r="2245" spans="1:13" x14ac:dyDescent="0.2">
      <c r="A2245">
        <v>935</v>
      </c>
      <c r="B2245" t="s">
        <v>498</v>
      </c>
      <c r="C2245" t="s">
        <v>4706</v>
      </c>
      <c r="D2245" t="s">
        <v>54</v>
      </c>
      <c r="E2245" t="s">
        <v>4707</v>
      </c>
      <c r="F2245" t="s">
        <v>501</v>
      </c>
      <c r="G2245" t="s">
        <v>4708</v>
      </c>
      <c r="H2245" t="s">
        <v>7478</v>
      </c>
      <c r="I2245" t="b">
        <v>0</v>
      </c>
      <c r="J2245">
        <v>122</v>
      </c>
      <c r="K2245">
        <v>936</v>
      </c>
      <c r="L2245">
        <v>353</v>
      </c>
      <c r="M2245">
        <f>COUNTIF(H2245:$H$2581,H2245)</f>
        <v>8</v>
      </c>
    </row>
    <row r="2246" spans="1:13" x14ac:dyDescent="0.2">
      <c r="A2246">
        <v>305</v>
      </c>
      <c r="B2246" t="s">
        <v>784</v>
      </c>
      <c r="C2246" t="s">
        <v>4710</v>
      </c>
      <c r="D2246" t="s">
        <v>33</v>
      </c>
      <c r="E2246" t="s">
        <v>4711</v>
      </c>
      <c r="F2246" t="s">
        <v>787</v>
      </c>
      <c r="G2246" t="s">
        <v>4712</v>
      </c>
      <c r="H2246" t="s">
        <v>7478</v>
      </c>
      <c r="I2246" t="b">
        <v>0</v>
      </c>
      <c r="J2246">
        <v>45</v>
      </c>
      <c r="K2246">
        <v>306</v>
      </c>
      <c r="L2246">
        <v>140</v>
      </c>
      <c r="M2246">
        <f>COUNTIF(H2246:$H$2581,H2246)</f>
        <v>7</v>
      </c>
    </row>
    <row r="2247" spans="1:13" x14ac:dyDescent="0.2">
      <c r="A2247">
        <v>2565</v>
      </c>
      <c r="B2247" t="s">
        <v>963</v>
      </c>
      <c r="C2247" t="s">
        <v>4724</v>
      </c>
      <c r="D2247" t="s">
        <v>13</v>
      </c>
      <c r="E2247" t="s">
        <v>4725</v>
      </c>
      <c r="F2247" t="s">
        <v>966</v>
      </c>
      <c r="G2247" t="s">
        <v>4726</v>
      </c>
      <c r="H2247" t="s">
        <v>7478</v>
      </c>
      <c r="I2247" t="s">
        <v>24</v>
      </c>
      <c r="J2247">
        <v>298</v>
      </c>
      <c r="K2247">
        <v>2566</v>
      </c>
      <c r="L2247">
        <v>212</v>
      </c>
      <c r="M2247">
        <f>COUNTIF(H2247:$H$2581,H2247)</f>
        <v>6</v>
      </c>
    </row>
    <row r="2248" spans="1:13" x14ac:dyDescent="0.2">
      <c r="A2248">
        <v>1314</v>
      </c>
      <c r="B2248" t="s">
        <v>1915</v>
      </c>
      <c r="C2248" t="s">
        <v>4731</v>
      </c>
      <c r="D2248" t="s">
        <v>13</v>
      </c>
      <c r="E2248" t="s">
        <v>4732</v>
      </c>
      <c r="F2248" t="s">
        <v>1918</v>
      </c>
      <c r="G2248" t="s">
        <v>4733</v>
      </c>
      <c r="H2248" t="s">
        <v>7478</v>
      </c>
      <c r="I2248" t="s">
        <v>24</v>
      </c>
      <c r="J2248">
        <v>161</v>
      </c>
      <c r="K2248">
        <v>1315</v>
      </c>
      <c r="L2248">
        <v>303</v>
      </c>
      <c r="M2248">
        <f>COUNTIF(H2248:$H$2581,H2248)</f>
        <v>5</v>
      </c>
    </row>
    <row r="2249" spans="1:13" x14ac:dyDescent="0.2">
      <c r="A2249">
        <v>432</v>
      </c>
      <c r="B2249" t="s">
        <v>399</v>
      </c>
      <c r="C2249" t="s">
        <v>4734</v>
      </c>
      <c r="D2249" t="s">
        <v>54</v>
      </c>
      <c r="E2249" t="s">
        <v>4735</v>
      </c>
      <c r="F2249" t="s">
        <v>402</v>
      </c>
      <c r="G2249" t="s">
        <v>4736</v>
      </c>
      <c r="H2249" t="s">
        <v>7478</v>
      </c>
      <c r="I2249" t="b">
        <v>0</v>
      </c>
      <c r="J2249">
        <v>63</v>
      </c>
      <c r="K2249">
        <v>433</v>
      </c>
      <c r="L2249">
        <v>193</v>
      </c>
      <c r="M2249">
        <f>COUNTIF(H2249:$H$2581,H2249)</f>
        <v>4</v>
      </c>
    </row>
    <row r="2250" spans="1:13" x14ac:dyDescent="0.2">
      <c r="A2250">
        <v>195</v>
      </c>
      <c r="B2250" t="s">
        <v>83</v>
      </c>
      <c r="C2250" t="s">
        <v>4738</v>
      </c>
      <c r="D2250" t="s">
        <v>54</v>
      </c>
      <c r="E2250" t="s">
        <v>4739</v>
      </c>
      <c r="F2250" t="s">
        <v>86</v>
      </c>
      <c r="G2250" t="s">
        <v>4740</v>
      </c>
      <c r="H2250" t="s">
        <v>7478</v>
      </c>
      <c r="I2250" t="b">
        <v>0</v>
      </c>
      <c r="J2250">
        <v>35</v>
      </c>
      <c r="K2250">
        <v>196</v>
      </c>
      <c r="L2250">
        <v>91</v>
      </c>
      <c r="M2250">
        <f>COUNTIF(H2250:$H$2581,H2250)</f>
        <v>3</v>
      </c>
    </row>
    <row r="2251" spans="1:13" x14ac:dyDescent="0.2">
      <c r="A2251">
        <v>2332</v>
      </c>
      <c r="B2251" t="s">
        <v>900</v>
      </c>
      <c r="C2251" t="s">
        <v>4746</v>
      </c>
      <c r="D2251" t="s">
        <v>54</v>
      </c>
      <c r="E2251" t="s">
        <v>4747</v>
      </c>
      <c r="F2251" t="s">
        <v>903</v>
      </c>
      <c r="G2251" t="s">
        <v>4748</v>
      </c>
      <c r="H2251" t="s">
        <v>7478</v>
      </c>
      <c r="I2251" t="b">
        <v>0</v>
      </c>
      <c r="J2251">
        <v>274</v>
      </c>
      <c r="K2251">
        <v>2333</v>
      </c>
      <c r="L2251">
        <v>540</v>
      </c>
      <c r="M2251">
        <f>COUNTIF(H2251:$H$2581,H2251)</f>
        <v>2</v>
      </c>
    </row>
    <row r="2252" spans="1:13" x14ac:dyDescent="0.2">
      <c r="A2252">
        <v>258</v>
      </c>
      <c r="B2252" t="s">
        <v>1503</v>
      </c>
      <c r="C2252" t="s">
        <v>4749</v>
      </c>
      <c r="D2252" t="s">
        <v>33</v>
      </c>
      <c r="E2252" t="s">
        <v>4750</v>
      </c>
      <c r="F2252" t="s">
        <v>1506</v>
      </c>
      <c r="G2252" t="s">
        <v>4751</v>
      </c>
      <c r="H2252" t="s">
        <v>7478</v>
      </c>
      <c r="I2252" t="b">
        <v>0</v>
      </c>
      <c r="J2252">
        <v>42</v>
      </c>
      <c r="K2252">
        <v>259</v>
      </c>
      <c r="L2252">
        <v>114</v>
      </c>
      <c r="M2252">
        <f>COUNTIF(H2252:$H$2581,H2252)</f>
        <v>1</v>
      </c>
    </row>
    <row r="2253" spans="1:13" x14ac:dyDescent="0.2">
      <c r="A2253">
        <v>1211</v>
      </c>
      <c r="B2253" t="s">
        <v>768</v>
      </c>
      <c r="C2253" t="s">
        <v>4753</v>
      </c>
      <c r="D2253" t="s">
        <v>54</v>
      </c>
      <c r="E2253" t="s">
        <v>4754</v>
      </c>
      <c r="F2253" t="s">
        <v>771</v>
      </c>
      <c r="G2253" t="s">
        <v>4755</v>
      </c>
      <c r="H2253" t="s">
        <v>7509</v>
      </c>
      <c r="I2253" t="s">
        <v>24</v>
      </c>
      <c r="J2253">
        <v>148</v>
      </c>
      <c r="K2253">
        <v>1212</v>
      </c>
      <c r="L2253">
        <v>412</v>
      </c>
      <c r="M2253">
        <f>COUNTIF(H2253:$H$2581,H2253)</f>
        <v>11</v>
      </c>
    </row>
    <row r="2254" spans="1:13" x14ac:dyDescent="0.2">
      <c r="A2254">
        <v>182</v>
      </c>
      <c r="B2254" t="s">
        <v>557</v>
      </c>
      <c r="C2254" t="s">
        <v>4757</v>
      </c>
      <c r="D2254" t="s">
        <v>13</v>
      </c>
      <c r="E2254" t="s">
        <v>4758</v>
      </c>
      <c r="F2254" t="s">
        <v>560</v>
      </c>
      <c r="G2254" t="s">
        <v>4759</v>
      </c>
      <c r="H2254" t="s">
        <v>7509</v>
      </c>
      <c r="I2254" t="s">
        <v>24</v>
      </c>
      <c r="J2254">
        <v>34</v>
      </c>
      <c r="K2254">
        <v>183</v>
      </c>
      <c r="L2254">
        <v>86</v>
      </c>
      <c r="M2254">
        <f>COUNTIF(H2254:$H$2581,H2254)</f>
        <v>10</v>
      </c>
    </row>
    <row r="2255" spans="1:13" x14ac:dyDescent="0.2">
      <c r="A2255">
        <v>2488</v>
      </c>
      <c r="B2255" t="s">
        <v>589</v>
      </c>
      <c r="C2255" t="s">
        <v>4767</v>
      </c>
      <c r="D2255" t="s">
        <v>54</v>
      </c>
      <c r="E2255" t="s">
        <v>4768</v>
      </c>
      <c r="F2255" t="s">
        <v>592</v>
      </c>
      <c r="G2255" t="s">
        <v>4769</v>
      </c>
      <c r="H2255" t="s">
        <v>7509</v>
      </c>
      <c r="I2255" t="s">
        <v>24</v>
      </c>
      <c r="J2255">
        <v>288</v>
      </c>
      <c r="K2255">
        <v>2489</v>
      </c>
      <c r="L2255">
        <v>44</v>
      </c>
      <c r="M2255">
        <f>COUNTIF(H2255:$H$2581,H2255)</f>
        <v>9</v>
      </c>
    </row>
    <row r="2256" spans="1:13" x14ac:dyDescent="0.2">
      <c r="A2256">
        <v>1627</v>
      </c>
      <c r="B2256" t="s">
        <v>720</v>
      </c>
      <c r="C2256" t="s">
        <v>4770</v>
      </c>
      <c r="D2256" t="s">
        <v>13</v>
      </c>
      <c r="E2256" t="s">
        <v>4771</v>
      </c>
      <c r="F2256" t="s">
        <v>723</v>
      </c>
      <c r="G2256" t="s">
        <v>4772</v>
      </c>
      <c r="H2256" t="s">
        <v>7509</v>
      </c>
      <c r="I2256" t="b">
        <v>1</v>
      </c>
      <c r="J2256">
        <v>197</v>
      </c>
      <c r="K2256">
        <v>1628</v>
      </c>
      <c r="L2256">
        <v>547</v>
      </c>
      <c r="M2256">
        <f>COUNTIF(H2256:$H$2581,H2256)</f>
        <v>8</v>
      </c>
    </row>
    <row r="2257" spans="1:13" x14ac:dyDescent="0.2">
      <c r="A2257">
        <v>1482</v>
      </c>
      <c r="B2257" t="s">
        <v>1773</v>
      </c>
      <c r="C2257" t="s">
        <v>4778</v>
      </c>
      <c r="D2257" t="s">
        <v>13</v>
      </c>
      <c r="E2257" t="s">
        <v>4779</v>
      </c>
      <c r="F2257" t="s">
        <v>1776</v>
      </c>
      <c r="G2257" t="s">
        <v>4780</v>
      </c>
      <c r="H2257" t="s">
        <v>7509</v>
      </c>
      <c r="I2257" t="b">
        <v>0</v>
      </c>
      <c r="J2257">
        <v>180</v>
      </c>
      <c r="K2257">
        <v>1483</v>
      </c>
      <c r="L2257">
        <v>381</v>
      </c>
      <c r="M2257">
        <f>COUNTIF(H2257:$H$2581,H2257)</f>
        <v>7</v>
      </c>
    </row>
    <row r="2258" spans="1:13" x14ac:dyDescent="0.2">
      <c r="A2258">
        <v>1489</v>
      </c>
      <c r="B2258" t="s">
        <v>4781</v>
      </c>
      <c r="C2258" t="s">
        <v>4782</v>
      </c>
      <c r="D2258" t="s">
        <v>13</v>
      </c>
      <c r="E2258" t="s">
        <v>4783</v>
      </c>
      <c r="F2258" t="s">
        <v>4784</v>
      </c>
      <c r="G2258" t="s">
        <v>4785</v>
      </c>
      <c r="H2258" t="s">
        <v>7509</v>
      </c>
      <c r="I2258" t="b">
        <v>0</v>
      </c>
      <c r="J2258">
        <v>181</v>
      </c>
      <c r="K2258">
        <v>1490</v>
      </c>
      <c r="L2258">
        <v>503</v>
      </c>
      <c r="M2258">
        <f>COUNTIF(H2258:$H$2581,H2258)</f>
        <v>6</v>
      </c>
    </row>
    <row r="2259" spans="1:13" x14ac:dyDescent="0.2">
      <c r="A2259">
        <v>2435</v>
      </c>
      <c r="B2259" t="s">
        <v>1327</v>
      </c>
      <c r="C2259" t="s">
        <v>4794</v>
      </c>
      <c r="D2259" t="s">
        <v>33</v>
      </c>
      <c r="E2259" t="s">
        <v>4795</v>
      </c>
      <c r="F2259" t="s">
        <v>1330</v>
      </c>
      <c r="G2259" t="s">
        <v>4796</v>
      </c>
      <c r="H2259" t="s">
        <v>7509</v>
      </c>
      <c r="I2259" t="b">
        <v>0</v>
      </c>
      <c r="J2259">
        <v>283</v>
      </c>
      <c r="K2259">
        <v>2436</v>
      </c>
      <c r="L2259">
        <v>703</v>
      </c>
      <c r="M2259">
        <f>COUNTIF(H2259:$H$2581,H2259)</f>
        <v>5</v>
      </c>
    </row>
    <row r="2260" spans="1:13" x14ac:dyDescent="0.2">
      <c r="A2260">
        <v>1147</v>
      </c>
      <c r="B2260" t="s">
        <v>957</v>
      </c>
      <c r="C2260" t="s">
        <v>4797</v>
      </c>
      <c r="D2260" t="s">
        <v>13</v>
      </c>
      <c r="E2260" t="s">
        <v>4798</v>
      </c>
      <c r="F2260" t="s">
        <v>960</v>
      </c>
      <c r="G2260" t="s">
        <v>4799</v>
      </c>
      <c r="H2260" t="s">
        <v>7509</v>
      </c>
      <c r="I2260" t="s">
        <v>24</v>
      </c>
      <c r="J2260">
        <v>140</v>
      </c>
      <c r="K2260">
        <v>1148</v>
      </c>
      <c r="L2260">
        <v>399</v>
      </c>
      <c r="M2260">
        <f>COUNTIF(H2260:$H$2581,H2260)</f>
        <v>4</v>
      </c>
    </row>
    <row r="2261" spans="1:13" x14ac:dyDescent="0.2">
      <c r="A2261">
        <v>1990</v>
      </c>
      <c r="B2261" t="s">
        <v>1793</v>
      </c>
      <c r="C2261" t="s">
        <v>4801</v>
      </c>
      <c r="D2261" t="s">
        <v>13</v>
      </c>
      <c r="E2261" t="s">
        <v>4802</v>
      </c>
      <c r="F2261" t="s">
        <v>1796</v>
      </c>
      <c r="G2261" t="s">
        <v>4803</v>
      </c>
      <c r="H2261" t="s">
        <v>7509</v>
      </c>
      <c r="I2261" t="b">
        <v>1</v>
      </c>
      <c r="J2261">
        <v>230</v>
      </c>
      <c r="K2261">
        <v>1991</v>
      </c>
      <c r="L2261">
        <v>608</v>
      </c>
      <c r="M2261">
        <f>COUNTIF(H2261:$H$2581,H2261)</f>
        <v>3</v>
      </c>
    </row>
    <row r="2262" spans="1:13" x14ac:dyDescent="0.2">
      <c r="A2262">
        <v>2111</v>
      </c>
      <c r="B2262" t="s">
        <v>984</v>
      </c>
      <c r="C2262" t="s">
        <v>4805</v>
      </c>
      <c r="D2262" t="s">
        <v>33</v>
      </c>
      <c r="E2262" t="s">
        <v>4806</v>
      </c>
      <c r="F2262" t="s">
        <v>987</v>
      </c>
      <c r="G2262" t="s">
        <v>4807</v>
      </c>
      <c r="H2262" t="s">
        <v>7509</v>
      </c>
      <c r="I2262" t="s">
        <v>24</v>
      </c>
      <c r="J2262">
        <v>243</v>
      </c>
      <c r="K2262">
        <v>2112</v>
      </c>
      <c r="L2262">
        <v>637</v>
      </c>
      <c r="M2262">
        <f>COUNTIF(H2262:$H$2581,H2262)</f>
        <v>2</v>
      </c>
    </row>
    <row r="2263" spans="1:13" x14ac:dyDescent="0.2">
      <c r="A2263">
        <v>2264</v>
      </c>
      <c r="B2263" t="s">
        <v>2093</v>
      </c>
      <c r="C2263" t="s">
        <v>4809</v>
      </c>
      <c r="D2263" t="s">
        <v>33</v>
      </c>
      <c r="E2263" t="s">
        <v>4810</v>
      </c>
      <c r="F2263" t="s">
        <v>2096</v>
      </c>
      <c r="G2263" t="s">
        <v>4811</v>
      </c>
      <c r="H2263" t="s">
        <v>7509</v>
      </c>
      <c r="I2263" t="b">
        <v>0</v>
      </c>
      <c r="J2263">
        <v>264</v>
      </c>
      <c r="K2263">
        <v>2265</v>
      </c>
      <c r="L2263">
        <v>664</v>
      </c>
      <c r="M2263">
        <f>COUNTIF(H2263:$H$2581,H2263)</f>
        <v>1</v>
      </c>
    </row>
    <row r="2264" spans="1:13" x14ac:dyDescent="0.2">
      <c r="A2264">
        <v>1553</v>
      </c>
      <c r="B2264" t="s">
        <v>4488</v>
      </c>
      <c r="C2264" t="s">
        <v>4813</v>
      </c>
      <c r="D2264" t="s">
        <v>33</v>
      </c>
      <c r="E2264" t="s">
        <v>4814</v>
      </c>
      <c r="F2264" t="s">
        <v>4491</v>
      </c>
      <c r="G2264" t="s">
        <v>4815</v>
      </c>
      <c r="H2264" t="s">
        <v>7550</v>
      </c>
      <c r="I2264" t="b">
        <v>0</v>
      </c>
      <c r="J2264">
        <v>189</v>
      </c>
      <c r="K2264">
        <v>1554</v>
      </c>
      <c r="L2264">
        <v>518</v>
      </c>
      <c r="M2264">
        <f>COUNTIF(H2264:$H$2581,H2264)</f>
        <v>10</v>
      </c>
    </row>
    <row r="2265" spans="1:13" x14ac:dyDescent="0.2">
      <c r="A2265">
        <v>600</v>
      </c>
      <c r="B2265" t="s">
        <v>1097</v>
      </c>
      <c r="C2265" t="s">
        <v>4817</v>
      </c>
      <c r="D2265" t="s">
        <v>13</v>
      </c>
      <c r="E2265" t="s">
        <v>4818</v>
      </c>
      <c r="F2265" t="s">
        <v>1100</v>
      </c>
      <c r="G2265" t="s">
        <v>4819</v>
      </c>
      <c r="H2265" t="s">
        <v>7550</v>
      </c>
      <c r="I2265" t="b">
        <v>0</v>
      </c>
      <c r="J2265">
        <v>90</v>
      </c>
      <c r="K2265">
        <v>601</v>
      </c>
      <c r="L2265">
        <v>265</v>
      </c>
      <c r="M2265">
        <f>COUNTIF(H2265:$H$2581,H2265)</f>
        <v>9</v>
      </c>
    </row>
    <row r="2266" spans="1:13" x14ac:dyDescent="0.2">
      <c r="A2266">
        <v>2150</v>
      </c>
      <c r="B2266" t="s">
        <v>157</v>
      </c>
      <c r="C2266" t="s">
        <v>4828</v>
      </c>
      <c r="D2266" t="s">
        <v>54</v>
      </c>
      <c r="E2266" t="s">
        <v>4840</v>
      </c>
      <c r="F2266" t="s">
        <v>159</v>
      </c>
      <c r="G2266" t="s">
        <v>4830</v>
      </c>
      <c r="H2266" t="s">
        <v>7550</v>
      </c>
      <c r="I2266" t="s">
        <v>24</v>
      </c>
      <c r="J2266">
        <v>250</v>
      </c>
      <c r="K2266">
        <v>2151</v>
      </c>
      <c r="L2266">
        <v>41</v>
      </c>
      <c r="M2266">
        <f>COUNTIF(H2266:$H$2581,H2266)</f>
        <v>8</v>
      </c>
    </row>
    <row r="2267" spans="1:13" x14ac:dyDescent="0.2">
      <c r="A2267">
        <v>2248</v>
      </c>
      <c r="B2267" t="s">
        <v>411</v>
      </c>
      <c r="C2267" t="s">
        <v>4841</v>
      </c>
      <c r="D2267" t="s">
        <v>54</v>
      </c>
      <c r="E2267" t="s">
        <v>4842</v>
      </c>
      <c r="F2267" t="s">
        <v>414</v>
      </c>
      <c r="G2267" t="s">
        <v>4843</v>
      </c>
      <c r="H2267" t="s">
        <v>7550</v>
      </c>
      <c r="I2267" t="s">
        <v>24</v>
      </c>
      <c r="J2267">
        <v>262</v>
      </c>
      <c r="K2267">
        <v>2249</v>
      </c>
      <c r="L2267">
        <v>655</v>
      </c>
      <c r="M2267">
        <f>COUNTIF(H2267:$H$2581,H2267)</f>
        <v>7</v>
      </c>
    </row>
    <row r="2268" spans="1:13" x14ac:dyDescent="0.2">
      <c r="A2268">
        <v>2302</v>
      </c>
      <c r="B2268" t="s">
        <v>1808</v>
      </c>
      <c r="C2268" t="s">
        <v>4845</v>
      </c>
      <c r="D2268" t="s">
        <v>13</v>
      </c>
      <c r="E2268" t="s">
        <v>4846</v>
      </c>
      <c r="F2268" t="s">
        <v>1811</v>
      </c>
      <c r="G2268" t="s">
        <v>4847</v>
      </c>
      <c r="H2268" t="s">
        <v>7550</v>
      </c>
      <c r="I2268" t="b">
        <v>1</v>
      </c>
      <c r="J2268">
        <v>270</v>
      </c>
      <c r="K2268">
        <v>2303</v>
      </c>
      <c r="L2268">
        <v>674</v>
      </c>
      <c r="M2268">
        <f>COUNTIF(H2268:$H$2581,H2268)</f>
        <v>6</v>
      </c>
    </row>
    <row r="2269" spans="1:13" x14ac:dyDescent="0.2">
      <c r="A2269">
        <v>2479</v>
      </c>
      <c r="B2269" t="s">
        <v>1626</v>
      </c>
      <c r="C2269" t="s">
        <v>4871</v>
      </c>
      <c r="D2269" t="s">
        <v>33</v>
      </c>
      <c r="E2269" t="s">
        <v>4872</v>
      </c>
      <c r="F2269" t="s">
        <v>1629</v>
      </c>
      <c r="G2269" t="s">
        <v>4873</v>
      </c>
      <c r="H2269" t="s">
        <v>7550</v>
      </c>
      <c r="I2269" t="b">
        <v>0</v>
      </c>
      <c r="J2269">
        <v>287</v>
      </c>
      <c r="K2269">
        <v>2480</v>
      </c>
      <c r="L2269">
        <v>5</v>
      </c>
      <c r="M2269">
        <f>COUNTIF(H2269:$H$2581,H2269)</f>
        <v>5</v>
      </c>
    </row>
    <row r="2270" spans="1:13" x14ac:dyDescent="0.2">
      <c r="A2270">
        <v>2333</v>
      </c>
      <c r="B2270" t="s">
        <v>900</v>
      </c>
      <c r="C2270" t="s">
        <v>4923</v>
      </c>
      <c r="D2270" t="s">
        <v>54</v>
      </c>
      <c r="E2270" t="s">
        <v>4924</v>
      </c>
      <c r="F2270" t="s">
        <v>903</v>
      </c>
      <c r="G2270" t="s">
        <v>4925</v>
      </c>
      <c r="H2270" t="s">
        <v>7550</v>
      </c>
      <c r="I2270" t="b">
        <v>0</v>
      </c>
      <c r="J2270">
        <v>274</v>
      </c>
      <c r="K2270">
        <v>2334</v>
      </c>
      <c r="L2270">
        <v>34</v>
      </c>
      <c r="M2270">
        <f>COUNTIF(H2270:$H$2581,H2270)</f>
        <v>4</v>
      </c>
    </row>
    <row r="2271" spans="1:13" x14ac:dyDescent="0.2">
      <c r="A2271">
        <v>958</v>
      </c>
      <c r="B2271" t="s">
        <v>203</v>
      </c>
      <c r="C2271" t="s">
        <v>4926</v>
      </c>
      <c r="D2271" t="s">
        <v>13</v>
      </c>
      <c r="E2271" t="s">
        <v>4927</v>
      </c>
      <c r="F2271" t="s">
        <v>206</v>
      </c>
      <c r="G2271" t="s">
        <v>4928</v>
      </c>
      <c r="H2271" t="s">
        <v>7550</v>
      </c>
      <c r="I2271" t="b">
        <v>1</v>
      </c>
      <c r="J2271">
        <v>123</v>
      </c>
      <c r="K2271">
        <v>959</v>
      </c>
      <c r="L2271">
        <v>358</v>
      </c>
      <c r="M2271">
        <f>COUNTIF(H2271:$H$2581,H2271)</f>
        <v>3</v>
      </c>
    </row>
    <row r="2272" spans="1:13" x14ac:dyDescent="0.2">
      <c r="A2272">
        <v>1238</v>
      </c>
      <c r="B2272" t="s">
        <v>1461</v>
      </c>
      <c r="C2272" t="s">
        <v>4930</v>
      </c>
      <c r="D2272" t="s">
        <v>33</v>
      </c>
      <c r="E2272" t="s">
        <v>4931</v>
      </c>
      <c r="F2272" t="s">
        <v>1464</v>
      </c>
      <c r="G2272" t="s">
        <v>4932</v>
      </c>
      <c r="H2272" t="s">
        <v>7550</v>
      </c>
      <c r="I2272" t="b">
        <v>0</v>
      </c>
      <c r="J2272">
        <v>152</v>
      </c>
      <c r="K2272">
        <v>1239</v>
      </c>
      <c r="L2272">
        <v>424</v>
      </c>
      <c r="M2272">
        <f>COUNTIF(H2272:$H$2581,H2272)</f>
        <v>2</v>
      </c>
    </row>
    <row r="2273" spans="1:13" x14ac:dyDescent="0.2">
      <c r="A2273">
        <v>2139</v>
      </c>
      <c r="B2273" t="s">
        <v>147</v>
      </c>
      <c r="C2273" t="s">
        <v>4941</v>
      </c>
      <c r="D2273" t="s">
        <v>54</v>
      </c>
      <c r="E2273" t="s">
        <v>4942</v>
      </c>
      <c r="F2273" t="s">
        <v>150</v>
      </c>
      <c r="G2273" t="s">
        <v>4943</v>
      </c>
      <c r="H2273" t="s">
        <v>7550</v>
      </c>
      <c r="I2273" t="b">
        <v>1</v>
      </c>
      <c r="J2273">
        <v>248</v>
      </c>
      <c r="K2273">
        <v>2140</v>
      </c>
      <c r="L2273">
        <v>87</v>
      </c>
      <c r="M2273">
        <f>COUNTIF(H2273:$H$2581,H2273)</f>
        <v>1</v>
      </c>
    </row>
    <row r="2274" spans="1:13" x14ac:dyDescent="0.2">
      <c r="A2274">
        <v>1557</v>
      </c>
      <c r="B2274" t="s">
        <v>3069</v>
      </c>
      <c r="C2274" t="s">
        <v>4944</v>
      </c>
      <c r="D2274" t="s">
        <v>13</v>
      </c>
      <c r="E2274" t="s">
        <v>4945</v>
      </c>
      <c r="F2274" t="s">
        <v>3072</v>
      </c>
      <c r="G2274" t="s">
        <v>4946</v>
      </c>
      <c r="H2274" t="s">
        <v>7608</v>
      </c>
      <c r="I2274" t="b">
        <v>1</v>
      </c>
      <c r="J2274">
        <v>190</v>
      </c>
      <c r="K2274">
        <v>1558</v>
      </c>
      <c r="L2274">
        <v>520</v>
      </c>
      <c r="M2274">
        <f>COUNTIF(H2274:$H$2581,H2274)</f>
        <v>2</v>
      </c>
    </row>
    <row r="2275" spans="1:13" x14ac:dyDescent="0.2">
      <c r="A2275">
        <v>1193</v>
      </c>
      <c r="B2275" t="s">
        <v>2485</v>
      </c>
      <c r="C2275" t="s">
        <v>4955</v>
      </c>
      <c r="D2275" t="s">
        <v>54</v>
      </c>
      <c r="E2275" t="s">
        <v>4956</v>
      </c>
      <c r="F2275" t="s">
        <v>2488</v>
      </c>
      <c r="G2275" t="s">
        <v>4957</v>
      </c>
      <c r="H2275" t="s">
        <v>7608</v>
      </c>
      <c r="I2275" t="b">
        <v>0</v>
      </c>
      <c r="J2275">
        <v>146</v>
      </c>
      <c r="K2275">
        <v>1194</v>
      </c>
      <c r="L2275">
        <v>48</v>
      </c>
      <c r="M2275">
        <f>COUNTIF(H2275:$H$2581,H2275)</f>
        <v>1</v>
      </c>
    </row>
    <row r="2276" spans="1:13" x14ac:dyDescent="0.2">
      <c r="A2276">
        <v>1511</v>
      </c>
      <c r="B2276" t="s">
        <v>2438</v>
      </c>
      <c r="C2276" t="s">
        <v>4962</v>
      </c>
      <c r="D2276" t="s">
        <v>33</v>
      </c>
      <c r="E2276" t="s">
        <v>4963</v>
      </c>
      <c r="F2276" t="s">
        <v>2441</v>
      </c>
      <c r="G2276" t="s">
        <v>4964</v>
      </c>
      <c r="H2276" t="s">
        <v>7637</v>
      </c>
      <c r="I2276" t="b">
        <v>0</v>
      </c>
      <c r="J2276">
        <v>183</v>
      </c>
      <c r="K2276">
        <v>1512</v>
      </c>
      <c r="L2276">
        <v>506</v>
      </c>
      <c r="M2276">
        <f>COUNTIF(H2276:$H$2581,H2276)</f>
        <v>2</v>
      </c>
    </row>
    <row r="2277" spans="1:13" x14ac:dyDescent="0.2">
      <c r="A2277">
        <v>2495</v>
      </c>
      <c r="B2277" t="s">
        <v>249</v>
      </c>
      <c r="C2277" t="s">
        <v>5034</v>
      </c>
      <c r="D2277" t="s">
        <v>54</v>
      </c>
      <c r="E2277" t="s">
        <v>5035</v>
      </c>
      <c r="F2277" t="s">
        <v>252</v>
      </c>
      <c r="G2277" t="s">
        <v>5036</v>
      </c>
      <c r="H2277" t="s">
        <v>7637</v>
      </c>
      <c r="I2277" t="b">
        <v>0</v>
      </c>
      <c r="J2277">
        <v>290</v>
      </c>
      <c r="K2277">
        <v>2496</v>
      </c>
      <c r="L2277">
        <v>123</v>
      </c>
      <c r="M2277">
        <f>COUNTIF(H2277:$H$2581,H2277)</f>
        <v>1</v>
      </c>
    </row>
    <row r="2278" spans="1:13" x14ac:dyDescent="0.2">
      <c r="A2278">
        <v>1453</v>
      </c>
      <c r="B2278" t="s">
        <v>2651</v>
      </c>
      <c r="C2278" t="s">
        <v>5037</v>
      </c>
      <c r="D2278" t="s">
        <v>33</v>
      </c>
      <c r="E2278" t="s">
        <v>5038</v>
      </c>
      <c r="F2278" t="s">
        <v>2654</v>
      </c>
      <c r="G2278" t="s">
        <v>5039</v>
      </c>
      <c r="H2278" t="s">
        <v>7647</v>
      </c>
      <c r="I2278" t="b">
        <v>0</v>
      </c>
      <c r="J2278">
        <v>176</v>
      </c>
      <c r="K2278">
        <v>1454</v>
      </c>
      <c r="L2278">
        <v>489</v>
      </c>
      <c r="M2278">
        <f>COUNTIF(H2278:$H$2581,H2278)</f>
        <v>1</v>
      </c>
    </row>
    <row r="2279" spans="1:13" x14ac:dyDescent="0.2">
      <c r="A2279">
        <v>862</v>
      </c>
      <c r="B2279" t="s">
        <v>1091</v>
      </c>
      <c r="C2279" t="s">
        <v>5041</v>
      </c>
      <c r="D2279" t="s">
        <v>13</v>
      </c>
      <c r="E2279" t="s">
        <v>5042</v>
      </c>
      <c r="F2279" t="s">
        <v>1094</v>
      </c>
      <c r="G2279" t="s">
        <v>5043</v>
      </c>
      <c r="H2279" t="s">
        <v>7654</v>
      </c>
      <c r="I2279" t="b">
        <v>1</v>
      </c>
      <c r="J2279">
        <v>118</v>
      </c>
      <c r="K2279">
        <v>863</v>
      </c>
      <c r="L2279">
        <v>332</v>
      </c>
      <c r="M2279">
        <f>COUNTIF(H2279:$H$2581,H2279)</f>
        <v>1</v>
      </c>
    </row>
    <row r="2280" spans="1:13" x14ac:dyDescent="0.2">
      <c r="A2280">
        <v>1558</v>
      </c>
      <c r="B2280" t="s">
        <v>3069</v>
      </c>
      <c r="C2280" t="s">
        <v>5052</v>
      </c>
      <c r="D2280" t="s">
        <v>13</v>
      </c>
      <c r="E2280" t="s">
        <v>5053</v>
      </c>
      <c r="F2280" t="s">
        <v>3072</v>
      </c>
      <c r="G2280" t="s">
        <v>5054</v>
      </c>
      <c r="H2280" t="s">
        <v>7673</v>
      </c>
      <c r="I2280" t="b">
        <v>1</v>
      </c>
      <c r="J2280">
        <v>190</v>
      </c>
      <c r="K2280">
        <v>1559</v>
      </c>
      <c r="L2280">
        <v>141</v>
      </c>
      <c r="M2280">
        <f>COUNTIF(H2280:$H$2581,H2280)</f>
        <v>1</v>
      </c>
    </row>
    <row r="2281" spans="1:13" x14ac:dyDescent="0.2">
      <c r="A2281">
        <v>1388</v>
      </c>
      <c r="B2281" t="s">
        <v>681</v>
      </c>
      <c r="C2281" t="s">
        <v>5055</v>
      </c>
      <c r="D2281" t="s">
        <v>13</v>
      </c>
      <c r="E2281" t="s">
        <v>5056</v>
      </c>
      <c r="F2281" t="s">
        <v>684</v>
      </c>
      <c r="G2281" t="s">
        <v>5057</v>
      </c>
      <c r="H2281" t="s">
        <v>7680</v>
      </c>
      <c r="I2281" t="b">
        <v>0</v>
      </c>
      <c r="J2281">
        <v>167</v>
      </c>
      <c r="K2281">
        <v>1389</v>
      </c>
      <c r="L2281">
        <v>464</v>
      </c>
      <c r="M2281">
        <f>COUNTIF(H2281:$H$2581,H2281)</f>
        <v>13</v>
      </c>
    </row>
    <row r="2282" spans="1:13" x14ac:dyDescent="0.2">
      <c r="A2282">
        <v>2522</v>
      </c>
      <c r="B2282" t="s">
        <v>2029</v>
      </c>
      <c r="C2282" t="s">
        <v>5066</v>
      </c>
      <c r="D2282" t="s">
        <v>13</v>
      </c>
      <c r="E2282" t="s">
        <v>5067</v>
      </c>
      <c r="F2282" t="s">
        <v>2032</v>
      </c>
      <c r="G2282" t="s">
        <v>5068</v>
      </c>
      <c r="H2282" t="s">
        <v>7680</v>
      </c>
      <c r="I2282" t="s">
        <v>24</v>
      </c>
      <c r="J2282">
        <v>292</v>
      </c>
      <c r="K2282">
        <v>2523</v>
      </c>
      <c r="L2282">
        <v>329</v>
      </c>
      <c r="M2282">
        <f>COUNTIF(H2282:$H$2581,H2282)</f>
        <v>12</v>
      </c>
    </row>
    <row r="2283" spans="1:13" x14ac:dyDescent="0.2">
      <c r="A2283">
        <v>1896</v>
      </c>
      <c r="B2283" t="s">
        <v>1485</v>
      </c>
      <c r="C2283" t="s">
        <v>5069</v>
      </c>
      <c r="D2283" t="s">
        <v>13</v>
      </c>
      <c r="E2283" t="s">
        <v>5070</v>
      </c>
      <c r="F2283" t="s">
        <v>1488</v>
      </c>
      <c r="G2283" t="s">
        <v>5071</v>
      </c>
      <c r="H2283" t="s">
        <v>7680</v>
      </c>
      <c r="I2283" t="b">
        <v>1</v>
      </c>
      <c r="J2283">
        <v>220</v>
      </c>
      <c r="K2283">
        <v>1897</v>
      </c>
      <c r="L2283">
        <v>597</v>
      </c>
      <c r="M2283">
        <f>COUNTIF(H2283:$H$2581,H2283)</f>
        <v>11</v>
      </c>
    </row>
    <row r="2284" spans="1:13" x14ac:dyDescent="0.2">
      <c r="A2284">
        <v>65</v>
      </c>
      <c r="B2284" t="s">
        <v>25</v>
      </c>
      <c r="C2284" t="s">
        <v>5073</v>
      </c>
      <c r="D2284" t="s">
        <v>54</v>
      </c>
      <c r="E2284" t="s">
        <v>5074</v>
      </c>
      <c r="F2284" t="s">
        <v>28</v>
      </c>
      <c r="G2284" t="s">
        <v>5075</v>
      </c>
      <c r="H2284" t="s">
        <v>7680</v>
      </c>
      <c r="I2284" t="b">
        <v>1</v>
      </c>
      <c r="J2284">
        <v>11</v>
      </c>
      <c r="K2284">
        <v>66</v>
      </c>
      <c r="L2284">
        <v>49</v>
      </c>
      <c r="M2284">
        <f>COUNTIF(H2284:$H$2581,H2284)</f>
        <v>10</v>
      </c>
    </row>
    <row r="2285" spans="1:13" x14ac:dyDescent="0.2">
      <c r="A2285">
        <v>148</v>
      </c>
      <c r="B2285" t="s">
        <v>63</v>
      </c>
      <c r="C2285" t="s">
        <v>5077</v>
      </c>
      <c r="D2285" t="s">
        <v>54</v>
      </c>
      <c r="E2285" t="s">
        <v>5078</v>
      </c>
      <c r="F2285" t="s">
        <v>66</v>
      </c>
      <c r="G2285" t="s">
        <v>5079</v>
      </c>
      <c r="H2285" t="s">
        <v>7680</v>
      </c>
      <c r="I2285" t="s">
        <v>24</v>
      </c>
      <c r="J2285">
        <v>27</v>
      </c>
      <c r="K2285">
        <v>149</v>
      </c>
      <c r="L2285">
        <v>80</v>
      </c>
      <c r="M2285">
        <f>COUNTIF(H2285:$H$2581,H2285)</f>
        <v>9</v>
      </c>
    </row>
    <row r="2286" spans="1:13" x14ac:dyDescent="0.2">
      <c r="A2286">
        <v>1212</v>
      </c>
      <c r="B2286" t="s">
        <v>768</v>
      </c>
      <c r="C2286" t="s">
        <v>5081</v>
      </c>
      <c r="D2286" t="s">
        <v>54</v>
      </c>
      <c r="E2286" t="s">
        <v>5082</v>
      </c>
      <c r="F2286" t="s">
        <v>771</v>
      </c>
      <c r="G2286" t="s">
        <v>5083</v>
      </c>
      <c r="H2286" t="s">
        <v>7680</v>
      </c>
      <c r="I2286" t="s">
        <v>24</v>
      </c>
      <c r="J2286">
        <v>148</v>
      </c>
      <c r="K2286">
        <v>1213</v>
      </c>
      <c r="L2286">
        <v>413</v>
      </c>
      <c r="M2286">
        <f>COUNTIF(H2286:$H$2581,H2286)</f>
        <v>8</v>
      </c>
    </row>
    <row r="2287" spans="1:13" x14ac:dyDescent="0.2">
      <c r="A2287">
        <v>1657</v>
      </c>
      <c r="B2287" t="s">
        <v>5085</v>
      </c>
      <c r="C2287" t="s">
        <v>5086</v>
      </c>
      <c r="D2287" t="s">
        <v>54</v>
      </c>
      <c r="E2287" t="s">
        <v>5087</v>
      </c>
      <c r="F2287" t="s">
        <v>5088</v>
      </c>
      <c r="G2287" t="s">
        <v>5089</v>
      </c>
      <c r="H2287" t="s">
        <v>7680</v>
      </c>
      <c r="I2287" t="s">
        <v>24</v>
      </c>
      <c r="J2287">
        <v>199</v>
      </c>
      <c r="K2287">
        <v>1658</v>
      </c>
      <c r="L2287">
        <v>552</v>
      </c>
      <c r="M2287">
        <f>COUNTIF(H2287:$H$2581,H2287)</f>
        <v>7</v>
      </c>
    </row>
    <row r="2288" spans="1:13" x14ac:dyDescent="0.2">
      <c r="A2288">
        <v>1221</v>
      </c>
      <c r="B2288" t="s">
        <v>265</v>
      </c>
      <c r="C2288" t="s">
        <v>5091</v>
      </c>
      <c r="D2288" t="s">
        <v>54</v>
      </c>
      <c r="E2288" t="s">
        <v>5092</v>
      </c>
      <c r="F2288" t="s">
        <v>268</v>
      </c>
      <c r="G2288" t="s">
        <v>5093</v>
      </c>
      <c r="H2288" t="s">
        <v>7680</v>
      </c>
      <c r="I2288" t="s">
        <v>24</v>
      </c>
      <c r="J2288">
        <v>149</v>
      </c>
      <c r="K2288">
        <v>1222</v>
      </c>
      <c r="L2288">
        <v>419</v>
      </c>
      <c r="M2288">
        <f>COUNTIF(H2288:$H$2581,H2288)</f>
        <v>6</v>
      </c>
    </row>
    <row r="2289" spans="1:13" x14ac:dyDescent="0.2">
      <c r="A2289">
        <v>665</v>
      </c>
      <c r="B2289" t="s">
        <v>2053</v>
      </c>
      <c r="C2289" t="s">
        <v>5095</v>
      </c>
      <c r="D2289" t="s">
        <v>13</v>
      </c>
      <c r="E2289" t="s">
        <v>5096</v>
      </c>
      <c r="F2289" s="1" t="s">
        <v>2056</v>
      </c>
      <c r="G2289" t="s">
        <v>5097</v>
      </c>
      <c r="H2289" t="s">
        <v>7680</v>
      </c>
      <c r="I2289" t="s">
        <v>24</v>
      </c>
      <c r="J2289">
        <v>98</v>
      </c>
      <c r="K2289">
        <v>666</v>
      </c>
      <c r="L2289">
        <v>283</v>
      </c>
      <c r="M2289">
        <f>COUNTIF(H2289:$H$2581,H2289)</f>
        <v>5</v>
      </c>
    </row>
    <row r="2290" spans="1:13" x14ac:dyDescent="0.2">
      <c r="A2290">
        <v>1367</v>
      </c>
      <c r="B2290" t="s">
        <v>603</v>
      </c>
      <c r="C2290" t="s">
        <v>5106</v>
      </c>
      <c r="D2290" t="s">
        <v>54</v>
      </c>
      <c r="E2290" t="s">
        <v>5107</v>
      </c>
      <c r="F2290" t="s">
        <v>606</v>
      </c>
      <c r="G2290" t="s">
        <v>5108</v>
      </c>
      <c r="H2290" t="s">
        <v>7680</v>
      </c>
      <c r="I2290" t="s">
        <v>24</v>
      </c>
      <c r="J2290">
        <v>166</v>
      </c>
      <c r="K2290">
        <v>1368</v>
      </c>
      <c r="L2290">
        <v>449</v>
      </c>
      <c r="M2290">
        <f>COUNTIF(H2290:$H$2581,H2290)</f>
        <v>4</v>
      </c>
    </row>
    <row r="2291" spans="1:13" x14ac:dyDescent="0.2">
      <c r="A2291">
        <v>806</v>
      </c>
      <c r="B2291" t="s">
        <v>492</v>
      </c>
      <c r="C2291" t="s">
        <v>5109</v>
      </c>
      <c r="D2291" t="s">
        <v>13</v>
      </c>
      <c r="E2291" t="s">
        <v>5110</v>
      </c>
      <c r="F2291" t="s">
        <v>495</v>
      </c>
      <c r="G2291" t="s">
        <v>5111</v>
      </c>
      <c r="H2291" t="s">
        <v>7680</v>
      </c>
      <c r="I2291" t="b">
        <v>0</v>
      </c>
      <c r="J2291">
        <v>113</v>
      </c>
      <c r="K2291">
        <v>807</v>
      </c>
      <c r="L2291">
        <v>317</v>
      </c>
      <c r="M2291">
        <f>COUNTIF(H2291:$H$2581,H2291)</f>
        <v>3</v>
      </c>
    </row>
    <row r="2292" spans="1:13" x14ac:dyDescent="0.2">
      <c r="A2292">
        <v>1958</v>
      </c>
      <c r="B2292" t="s">
        <v>1472</v>
      </c>
      <c r="C2292" t="s">
        <v>5113</v>
      </c>
      <c r="D2292" t="s">
        <v>13</v>
      </c>
      <c r="E2292" t="s">
        <v>5114</v>
      </c>
      <c r="F2292" t="s">
        <v>1475</v>
      </c>
      <c r="G2292" t="s">
        <v>5115</v>
      </c>
      <c r="H2292" t="s">
        <v>7680</v>
      </c>
      <c r="I2292" t="b">
        <v>0</v>
      </c>
      <c r="J2292">
        <v>225</v>
      </c>
      <c r="K2292">
        <v>1959</v>
      </c>
      <c r="L2292">
        <v>602</v>
      </c>
      <c r="M2292">
        <f>COUNTIF(H2292:$H$2581,H2292)</f>
        <v>2</v>
      </c>
    </row>
    <row r="2293" spans="1:13" x14ac:dyDescent="0.2">
      <c r="A2293">
        <v>2480</v>
      </c>
      <c r="B2293" t="s">
        <v>1626</v>
      </c>
      <c r="C2293" t="s">
        <v>5130</v>
      </c>
      <c r="D2293" t="s">
        <v>33</v>
      </c>
      <c r="E2293" t="s">
        <v>5131</v>
      </c>
      <c r="F2293" t="s">
        <v>1629</v>
      </c>
      <c r="G2293" t="s">
        <v>5132</v>
      </c>
      <c r="H2293" t="s">
        <v>7680</v>
      </c>
      <c r="I2293" t="b">
        <v>0</v>
      </c>
      <c r="J2293">
        <v>287</v>
      </c>
      <c r="K2293">
        <v>2481</v>
      </c>
      <c r="L2293">
        <v>421</v>
      </c>
      <c r="M2293">
        <f>COUNTIF(H2293:$H$2581,H2293)</f>
        <v>1</v>
      </c>
    </row>
    <row r="2294" spans="1:13" x14ac:dyDescent="0.2">
      <c r="A2294">
        <v>1031</v>
      </c>
      <c r="B2294" t="s">
        <v>1215</v>
      </c>
      <c r="C2294" t="s">
        <v>5133</v>
      </c>
      <c r="D2294" t="s">
        <v>13</v>
      </c>
      <c r="E2294" t="s">
        <v>5134</v>
      </c>
      <c r="F2294" t="s">
        <v>1218</v>
      </c>
      <c r="G2294" t="s">
        <v>5135</v>
      </c>
      <c r="H2294" t="s">
        <v>7729</v>
      </c>
      <c r="I2294" t="b">
        <v>1</v>
      </c>
      <c r="J2294">
        <v>129</v>
      </c>
      <c r="K2294">
        <v>1032</v>
      </c>
      <c r="L2294">
        <v>368</v>
      </c>
      <c r="M2294">
        <f>COUNTIF(H2294:$H$2581,H2294)</f>
        <v>44</v>
      </c>
    </row>
    <row r="2295" spans="1:13" x14ac:dyDescent="0.2">
      <c r="A2295">
        <v>1355</v>
      </c>
      <c r="B2295" t="s">
        <v>571</v>
      </c>
      <c r="C2295" t="s">
        <v>5137</v>
      </c>
      <c r="D2295" t="s">
        <v>13</v>
      </c>
      <c r="E2295" t="s">
        <v>5138</v>
      </c>
      <c r="F2295" t="s">
        <v>574</v>
      </c>
      <c r="G2295" t="s">
        <v>5139</v>
      </c>
      <c r="H2295" t="s">
        <v>7729</v>
      </c>
      <c r="I2295" t="b">
        <v>0</v>
      </c>
      <c r="J2295">
        <v>165</v>
      </c>
      <c r="K2295">
        <v>1356</v>
      </c>
      <c r="L2295">
        <v>454</v>
      </c>
      <c r="M2295">
        <f>COUNTIF(H2295:$H$2581,H2295)</f>
        <v>43</v>
      </c>
    </row>
    <row r="2296" spans="1:13" x14ac:dyDescent="0.2">
      <c r="A2296">
        <v>582</v>
      </c>
      <c r="B2296" t="s">
        <v>3533</v>
      </c>
      <c r="C2296" t="s">
        <v>5145</v>
      </c>
      <c r="D2296" t="s">
        <v>13</v>
      </c>
      <c r="E2296" t="s">
        <v>5146</v>
      </c>
      <c r="F2296" t="s">
        <v>3536</v>
      </c>
      <c r="G2296" t="s">
        <v>5147</v>
      </c>
      <c r="H2296" t="s">
        <v>7729</v>
      </c>
      <c r="I2296" t="s">
        <v>24</v>
      </c>
      <c r="J2296">
        <v>87</v>
      </c>
      <c r="K2296">
        <v>583</v>
      </c>
      <c r="L2296">
        <v>75</v>
      </c>
      <c r="M2296">
        <f>COUNTIF(H2296:$H$2581,H2296)</f>
        <v>42</v>
      </c>
    </row>
    <row r="2297" spans="1:13" x14ac:dyDescent="0.2">
      <c r="A2297">
        <v>1077</v>
      </c>
      <c r="B2297" t="s">
        <v>2230</v>
      </c>
      <c r="C2297" t="s">
        <v>5164</v>
      </c>
      <c r="D2297" t="s">
        <v>54</v>
      </c>
      <c r="E2297" t="s">
        <v>5165</v>
      </c>
      <c r="F2297" t="s">
        <v>2233</v>
      </c>
      <c r="G2297" t="s">
        <v>5166</v>
      </c>
      <c r="H2297" t="s">
        <v>7729</v>
      </c>
      <c r="I2297" t="s">
        <v>24</v>
      </c>
      <c r="J2297">
        <v>132</v>
      </c>
      <c r="K2297">
        <v>1078</v>
      </c>
      <c r="L2297">
        <v>103</v>
      </c>
      <c r="M2297">
        <f>COUNTIF(H2297:$H$2581,H2297)</f>
        <v>41</v>
      </c>
    </row>
    <row r="2298" spans="1:13" x14ac:dyDescent="0.2">
      <c r="A2298">
        <v>1483</v>
      </c>
      <c r="B2298" t="s">
        <v>1773</v>
      </c>
      <c r="C2298" t="s">
        <v>5167</v>
      </c>
      <c r="D2298" t="s">
        <v>54</v>
      </c>
      <c r="E2298" s="1" t="s">
        <v>5168</v>
      </c>
      <c r="F2298" t="s">
        <v>1776</v>
      </c>
      <c r="G2298" t="s">
        <v>5169</v>
      </c>
      <c r="H2298" t="s">
        <v>7729</v>
      </c>
      <c r="I2298" t="b">
        <v>0</v>
      </c>
      <c r="J2298">
        <v>180</v>
      </c>
      <c r="K2298">
        <v>1484</v>
      </c>
      <c r="L2298">
        <v>501</v>
      </c>
      <c r="M2298">
        <f>COUNTIF(H2298:$H$2581,H2298)</f>
        <v>40</v>
      </c>
    </row>
    <row r="2299" spans="1:13" x14ac:dyDescent="0.2">
      <c r="A2299">
        <v>1628</v>
      </c>
      <c r="B2299" t="s">
        <v>720</v>
      </c>
      <c r="C2299" t="s">
        <v>2959</v>
      </c>
      <c r="D2299" t="s">
        <v>54</v>
      </c>
      <c r="E2299" t="s">
        <v>5171</v>
      </c>
      <c r="F2299" t="s">
        <v>723</v>
      </c>
      <c r="G2299" t="s">
        <v>5172</v>
      </c>
      <c r="H2299" t="s">
        <v>7729</v>
      </c>
      <c r="I2299" t="b">
        <v>1</v>
      </c>
      <c r="J2299">
        <v>197</v>
      </c>
      <c r="K2299">
        <v>1629</v>
      </c>
      <c r="L2299">
        <v>548</v>
      </c>
      <c r="M2299">
        <f>COUNTIF(H2299:$H$2581,H2299)</f>
        <v>39</v>
      </c>
    </row>
    <row r="2300" spans="1:13" x14ac:dyDescent="0.2">
      <c r="A2300">
        <v>2481</v>
      </c>
      <c r="B2300" t="s">
        <v>1626</v>
      </c>
      <c r="C2300" t="s">
        <v>5174</v>
      </c>
      <c r="D2300" t="s">
        <v>13</v>
      </c>
      <c r="E2300" t="s">
        <v>5175</v>
      </c>
      <c r="F2300" t="s">
        <v>1629</v>
      </c>
      <c r="G2300" t="s">
        <v>5176</v>
      </c>
      <c r="H2300" t="s">
        <v>7729</v>
      </c>
      <c r="I2300" t="b">
        <v>0</v>
      </c>
      <c r="J2300">
        <v>287</v>
      </c>
      <c r="K2300">
        <v>2482</v>
      </c>
      <c r="L2300">
        <v>708</v>
      </c>
      <c r="M2300">
        <f>COUNTIF(H2300:$H$2581,H2300)</f>
        <v>38</v>
      </c>
    </row>
    <row r="2301" spans="1:13" x14ac:dyDescent="0.2">
      <c r="A2301">
        <v>394</v>
      </c>
      <c r="B2301" t="s">
        <v>1568</v>
      </c>
      <c r="C2301" t="s">
        <v>5178</v>
      </c>
      <c r="D2301" t="s">
        <v>13</v>
      </c>
      <c r="E2301" t="s">
        <v>5179</v>
      </c>
      <c r="F2301" t="s">
        <v>1571</v>
      </c>
      <c r="G2301" t="s">
        <v>5180</v>
      </c>
      <c r="H2301" t="s">
        <v>7729</v>
      </c>
      <c r="I2301" t="s">
        <v>24</v>
      </c>
      <c r="J2301">
        <v>55</v>
      </c>
      <c r="K2301">
        <v>395</v>
      </c>
      <c r="L2301">
        <v>179</v>
      </c>
      <c r="M2301">
        <f>COUNTIF(H2301:$H$2581,H2301)</f>
        <v>37</v>
      </c>
    </row>
    <row r="2302" spans="1:13" x14ac:dyDescent="0.2">
      <c r="A2302">
        <v>1906</v>
      </c>
      <c r="B2302" t="s">
        <v>872</v>
      </c>
      <c r="C2302" t="s">
        <v>5192</v>
      </c>
      <c r="D2302" t="s">
        <v>33</v>
      </c>
      <c r="E2302" t="s">
        <v>5193</v>
      </c>
      <c r="F2302" t="s">
        <v>875</v>
      </c>
      <c r="G2302" t="s">
        <v>5194</v>
      </c>
      <c r="H2302" t="s">
        <v>7729</v>
      </c>
      <c r="I2302" t="b">
        <v>0</v>
      </c>
      <c r="J2302">
        <v>222</v>
      </c>
      <c r="K2302">
        <v>1907</v>
      </c>
      <c r="L2302">
        <v>184</v>
      </c>
      <c r="M2302">
        <f>COUNTIF(H2302:$H$2581,H2302)</f>
        <v>36</v>
      </c>
    </row>
    <row r="2303" spans="1:13" x14ac:dyDescent="0.2">
      <c r="A2303">
        <v>518</v>
      </c>
      <c r="B2303" t="s">
        <v>5195</v>
      </c>
      <c r="C2303" t="s">
        <v>5196</v>
      </c>
      <c r="D2303" t="s">
        <v>54</v>
      </c>
      <c r="E2303" t="s">
        <v>5197</v>
      </c>
      <c r="F2303" t="s">
        <v>5198</v>
      </c>
      <c r="G2303" t="s">
        <v>5199</v>
      </c>
      <c r="H2303" t="s">
        <v>7729</v>
      </c>
      <c r="I2303" t="s">
        <v>24</v>
      </c>
      <c r="J2303">
        <v>75</v>
      </c>
      <c r="K2303">
        <v>519</v>
      </c>
      <c r="L2303">
        <v>229</v>
      </c>
      <c r="M2303">
        <f>COUNTIF(H2303:$H$2581,H2303)</f>
        <v>35</v>
      </c>
    </row>
    <row r="2304" spans="1:13" x14ac:dyDescent="0.2">
      <c r="A2304">
        <v>2523</v>
      </c>
      <c r="B2304" t="s">
        <v>2029</v>
      </c>
      <c r="C2304" t="s">
        <v>5220</v>
      </c>
      <c r="D2304" t="s">
        <v>54</v>
      </c>
      <c r="E2304" t="s">
        <v>5221</v>
      </c>
      <c r="F2304" t="s">
        <v>2032</v>
      </c>
      <c r="G2304" t="s">
        <v>5222</v>
      </c>
      <c r="H2304" t="s">
        <v>7729</v>
      </c>
      <c r="I2304" t="s">
        <v>24</v>
      </c>
      <c r="J2304">
        <v>292</v>
      </c>
      <c r="K2304">
        <v>2524</v>
      </c>
      <c r="L2304">
        <v>425</v>
      </c>
      <c r="M2304">
        <f>COUNTIF(H2304:$H$2581,H2304)</f>
        <v>34</v>
      </c>
    </row>
    <row r="2305" spans="1:13" x14ac:dyDescent="0.2">
      <c r="A2305">
        <v>2028</v>
      </c>
      <c r="B2305" t="s">
        <v>3759</v>
      </c>
      <c r="C2305" t="s">
        <v>5236</v>
      </c>
      <c r="D2305" t="s">
        <v>13</v>
      </c>
      <c r="E2305" t="s">
        <v>5237</v>
      </c>
      <c r="F2305" t="s">
        <v>3762</v>
      </c>
      <c r="G2305" t="s">
        <v>5238</v>
      </c>
      <c r="H2305" t="s">
        <v>7729</v>
      </c>
      <c r="I2305" t="b">
        <v>1</v>
      </c>
      <c r="J2305">
        <v>234</v>
      </c>
      <c r="K2305">
        <v>2029</v>
      </c>
      <c r="L2305">
        <v>117</v>
      </c>
      <c r="M2305">
        <f>COUNTIF(H2305:$H$2581,H2305)</f>
        <v>33</v>
      </c>
    </row>
    <row r="2306" spans="1:13" x14ac:dyDescent="0.2">
      <c r="A2306">
        <v>2202</v>
      </c>
      <c r="B2306" t="s">
        <v>1803</v>
      </c>
      <c r="C2306" t="s">
        <v>5297</v>
      </c>
      <c r="D2306" t="s">
        <v>13</v>
      </c>
      <c r="E2306" t="s">
        <v>5298</v>
      </c>
      <c r="F2306" t="s">
        <v>1806</v>
      </c>
      <c r="G2306" t="s">
        <v>5299</v>
      </c>
      <c r="H2306" t="s">
        <v>7729</v>
      </c>
      <c r="I2306" t="b">
        <v>0</v>
      </c>
      <c r="J2306">
        <v>258</v>
      </c>
      <c r="K2306">
        <v>2203</v>
      </c>
      <c r="L2306">
        <v>35</v>
      </c>
      <c r="M2306">
        <f>COUNTIF(H2306:$H$2581,H2306)</f>
        <v>32</v>
      </c>
    </row>
    <row r="2307" spans="1:13" x14ac:dyDescent="0.2">
      <c r="A2307">
        <v>2537</v>
      </c>
      <c r="B2307" t="s">
        <v>754</v>
      </c>
      <c r="C2307" t="s">
        <v>5421</v>
      </c>
      <c r="D2307" t="s">
        <v>33</v>
      </c>
      <c r="E2307" t="s">
        <v>5422</v>
      </c>
      <c r="F2307" t="s">
        <v>757</v>
      </c>
      <c r="G2307" t="s">
        <v>5423</v>
      </c>
      <c r="H2307" t="s">
        <v>7729</v>
      </c>
      <c r="I2307" t="b">
        <v>0</v>
      </c>
      <c r="J2307">
        <v>294</v>
      </c>
      <c r="K2307">
        <v>2538</v>
      </c>
      <c r="L2307">
        <v>24</v>
      </c>
      <c r="M2307">
        <f>COUNTIF(H2307:$H$2581,H2307)</f>
        <v>31</v>
      </c>
    </row>
    <row r="2308" spans="1:13" x14ac:dyDescent="0.2">
      <c r="A2308">
        <v>14</v>
      </c>
      <c r="B2308" t="s">
        <v>1840</v>
      </c>
      <c r="C2308" t="s">
        <v>5424</v>
      </c>
      <c r="D2308" t="s">
        <v>54</v>
      </c>
      <c r="E2308" t="s">
        <v>5425</v>
      </c>
      <c r="F2308" t="s">
        <v>1843</v>
      </c>
      <c r="G2308" t="s">
        <v>5426</v>
      </c>
      <c r="H2308" t="s">
        <v>7729</v>
      </c>
      <c r="I2308" t="s">
        <v>24</v>
      </c>
      <c r="J2308">
        <v>4</v>
      </c>
      <c r="K2308">
        <v>15</v>
      </c>
      <c r="L2308">
        <v>11</v>
      </c>
      <c r="M2308">
        <f>COUNTIF(H2308:$H$2581,H2308)</f>
        <v>30</v>
      </c>
    </row>
    <row r="2309" spans="1:13" x14ac:dyDescent="0.2">
      <c r="A2309">
        <v>2356</v>
      </c>
      <c r="B2309" t="s">
        <v>504</v>
      </c>
      <c r="C2309" t="s">
        <v>5428</v>
      </c>
      <c r="D2309" t="s">
        <v>54</v>
      </c>
      <c r="E2309" t="s">
        <v>5429</v>
      </c>
      <c r="F2309" t="s">
        <v>507</v>
      </c>
      <c r="G2309" t="s">
        <v>5430</v>
      </c>
      <c r="H2309" t="s">
        <v>7729</v>
      </c>
      <c r="I2309" t="s">
        <v>24</v>
      </c>
      <c r="J2309">
        <v>275</v>
      </c>
      <c r="K2309">
        <v>2357</v>
      </c>
      <c r="L2309">
        <v>688</v>
      </c>
      <c r="M2309">
        <f>COUNTIF(H2309:$H$2581,H2309)</f>
        <v>29</v>
      </c>
    </row>
    <row r="2310" spans="1:13" x14ac:dyDescent="0.2">
      <c r="A2310">
        <v>2482</v>
      </c>
      <c r="B2310" t="s">
        <v>1626</v>
      </c>
      <c r="C2310" t="s">
        <v>5469</v>
      </c>
      <c r="D2310" t="s">
        <v>13</v>
      </c>
      <c r="E2310" t="s">
        <v>5470</v>
      </c>
      <c r="F2310" t="s">
        <v>1629</v>
      </c>
      <c r="G2310" t="s">
        <v>5471</v>
      </c>
      <c r="H2310" t="s">
        <v>7729</v>
      </c>
      <c r="I2310" t="b">
        <v>0</v>
      </c>
      <c r="J2310">
        <v>287</v>
      </c>
      <c r="K2310">
        <v>2483</v>
      </c>
      <c r="L2310">
        <v>12</v>
      </c>
      <c r="M2310">
        <f>COUNTIF(H2310:$H$2581,H2310)</f>
        <v>28</v>
      </c>
    </row>
    <row r="2311" spans="1:13" x14ac:dyDescent="0.2">
      <c r="A2311">
        <v>2370</v>
      </c>
      <c r="B2311" t="s">
        <v>1816</v>
      </c>
      <c r="C2311" t="s">
        <v>5557</v>
      </c>
      <c r="D2311" t="s">
        <v>54</v>
      </c>
      <c r="E2311" t="s">
        <v>5558</v>
      </c>
      <c r="F2311" t="s">
        <v>1819</v>
      </c>
      <c r="G2311" t="s">
        <v>5559</v>
      </c>
      <c r="H2311" t="s">
        <v>7729</v>
      </c>
      <c r="I2311" t="s">
        <v>24</v>
      </c>
      <c r="J2311">
        <v>276</v>
      </c>
      <c r="K2311">
        <v>2371</v>
      </c>
      <c r="L2311">
        <v>13</v>
      </c>
      <c r="M2311">
        <f>COUNTIF(H2311:$H$2581,H2311)</f>
        <v>27</v>
      </c>
    </row>
    <row r="2312" spans="1:13" x14ac:dyDescent="0.2">
      <c r="A2312">
        <v>2464</v>
      </c>
      <c r="B2312" t="s">
        <v>1411</v>
      </c>
      <c r="C2312" t="s">
        <v>5642</v>
      </c>
      <c r="D2312" t="s">
        <v>13</v>
      </c>
      <c r="E2312" t="s">
        <v>5643</v>
      </c>
      <c r="F2312" t="s">
        <v>1414</v>
      </c>
      <c r="G2312" t="s">
        <v>5644</v>
      </c>
      <c r="H2312" t="s">
        <v>7729</v>
      </c>
      <c r="I2312" t="b">
        <v>1</v>
      </c>
      <c r="J2312">
        <v>285</v>
      </c>
      <c r="K2312">
        <v>2465</v>
      </c>
      <c r="L2312">
        <v>50</v>
      </c>
      <c r="M2312">
        <f>COUNTIF(H2312:$H$2581,H2312)</f>
        <v>26</v>
      </c>
    </row>
    <row r="2313" spans="1:13" x14ac:dyDescent="0.2">
      <c r="A2313">
        <v>2003</v>
      </c>
      <c r="B2313" t="s">
        <v>1009</v>
      </c>
      <c r="C2313" t="s">
        <v>5645</v>
      </c>
      <c r="D2313" t="s">
        <v>13</v>
      </c>
      <c r="E2313" t="s">
        <v>5646</v>
      </c>
      <c r="F2313" t="s">
        <v>1012</v>
      </c>
      <c r="G2313" t="s">
        <v>5647</v>
      </c>
      <c r="H2313" t="s">
        <v>7729</v>
      </c>
      <c r="I2313" t="s">
        <v>24</v>
      </c>
      <c r="J2313">
        <v>232</v>
      </c>
      <c r="K2313">
        <v>2004</v>
      </c>
      <c r="L2313">
        <v>614</v>
      </c>
      <c r="M2313">
        <f>COUNTIF(H2313:$H$2581,H2313)</f>
        <v>25</v>
      </c>
    </row>
    <row r="2314" spans="1:13" x14ac:dyDescent="0.2">
      <c r="A2314">
        <v>764</v>
      </c>
      <c r="B2314" t="s">
        <v>4003</v>
      </c>
      <c r="C2314" t="s">
        <v>5653</v>
      </c>
      <c r="D2314" t="s">
        <v>13</v>
      </c>
      <c r="E2314" t="s">
        <v>5654</v>
      </c>
      <c r="F2314" t="s">
        <v>4006</v>
      </c>
      <c r="G2314" t="s">
        <v>5655</v>
      </c>
      <c r="H2314" t="s">
        <v>7729</v>
      </c>
      <c r="I2314" t="b">
        <v>1</v>
      </c>
      <c r="J2314">
        <v>108</v>
      </c>
      <c r="K2314">
        <v>765</v>
      </c>
      <c r="L2314">
        <v>220</v>
      </c>
      <c r="M2314">
        <f>COUNTIF(H2314:$H$2581,H2314)</f>
        <v>24</v>
      </c>
    </row>
    <row r="2315" spans="1:13" x14ac:dyDescent="0.2">
      <c r="A2315">
        <v>550</v>
      </c>
      <c r="B2315" t="s">
        <v>103</v>
      </c>
      <c r="C2315" t="s">
        <v>5660</v>
      </c>
      <c r="D2315" t="s">
        <v>54</v>
      </c>
      <c r="E2315" t="s">
        <v>5666</v>
      </c>
      <c r="F2315" t="s">
        <v>105</v>
      </c>
      <c r="G2315" t="s">
        <v>5662</v>
      </c>
      <c r="H2315" t="s">
        <v>7729</v>
      </c>
      <c r="I2315" t="b">
        <v>0</v>
      </c>
      <c r="J2315">
        <v>81</v>
      </c>
      <c r="K2315">
        <v>551</v>
      </c>
      <c r="L2315">
        <v>57</v>
      </c>
      <c r="M2315">
        <f>COUNTIF(H2315:$H$2581,H2315)</f>
        <v>23</v>
      </c>
    </row>
    <row r="2316" spans="1:13" x14ac:dyDescent="0.2">
      <c r="A2316">
        <v>1140</v>
      </c>
      <c r="B2316" t="s">
        <v>938</v>
      </c>
      <c r="C2316" t="s">
        <v>5671</v>
      </c>
      <c r="D2316" t="s">
        <v>33</v>
      </c>
      <c r="E2316" t="s">
        <v>5672</v>
      </c>
      <c r="F2316" t="s">
        <v>941</v>
      </c>
      <c r="G2316" t="s">
        <v>5673</v>
      </c>
      <c r="H2316" t="s">
        <v>7729</v>
      </c>
      <c r="I2316" t="b">
        <v>0</v>
      </c>
      <c r="J2316">
        <v>139</v>
      </c>
      <c r="K2316">
        <v>1141</v>
      </c>
      <c r="L2316">
        <v>186</v>
      </c>
      <c r="M2316">
        <f>COUNTIF(H2316:$H$2581,H2316)</f>
        <v>22</v>
      </c>
    </row>
    <row r="2317" spans="1:13" x14ac:dyDescent="0.2">
      <c r="A2317">
        <v>2113</v>
      </c>
      <c r="B2317" t="s">
        <v>984</v>
      </c>
      <c r="C2317" t="s">
        <v>5674</v>
      </c>
      <c r="D2317" t="s">
        <v>54</v>
      </c>
      <c r="E2317" t="s">
        <v>5675</v>
      </c>
      <c r="F2317" t="s">
        <v>987</v>
      </c>
      <c r="G2317" t="s">
        <v>5676</v>
      </c>
      <c r="H2317" t="s">
        <v>7729</v>
      </c>
      <c r="I2317" t="s">
        <v>24</v>
      </c>
      <c r="J2317">
        <v>243</v>
      </c>
      <c r="K2317">
        <v>2114</v>
      </c>
      <c r="L2317">
        <v>638</v>
      </c>
      <c r="M2317">
        <f>COUNTIF(H2317:$H$2581,H2317)</f>
        <v>21</v>
      </c>
    </row>
    <row r="2318" spans="1:13" x14ac:dyDescent="0.2">
      <c r="A2318">
        <v>2465</v>
      </c>
      <c r="B2318" t="s">
        <v>1411</v>
      </c>
      <c r="C2318" t="s">
        <v>5826</v>
      </c>
      <c r="D2318" t="s">
        <v>13</v>
      </c>
      <c r="E2318" t="s">
        <v>5827</v>
      </c>
      <c r="F2318" t="s">
        <v>1414</v>
      </c>
      <c r="G2318" t="s">
        <v>5828</v>
      </c>
      <c r="H2318" t="s">
        <v>7729</v>
      </c>
      <c r="I2318" t="b">
        <v>1</v>
      </c>
      <c r="J2318">
        <v>285</v>
      </c>
      <c r="K2318">
        <v>2466</v>
      </c>
      <c r="L2318">
        <v>25</v>
      </c>
      <c r="M2318">
        <f>COUNTIF(H2318:$H$2581,H2318)</f>
        <v>20</v>
      </c>
    </row>
    <row r="2319" spans="1:13" x14ac:dyDescent="0.2">
      <c r="A2319">
        <v>1630</v>
      </c>
      <c r="B2319" t="s">
        <v>720</v>
      </c>
      <c r="C2319" t="s">
        <v>5832</v>
      </c>
      <c r="D2319" t="s">
        <v>33</v>
      </c>
      <c r="E2319" t="s">
        <v>5833</v>
      </c>
      <c r="F2319" t="s">
        <v>723</v>
      </c>
      <c r="G2319" t="s">
        <v>5834</v>
      </c>
      <c r="H2319" t="s">
        <v>7729</v>
      </c>
      <c r="I2319" t="b">
        <v>1</v>
      </c>
      <c r="J2319">
        <v>197</v>
      </c>
      <c r="K2319">
        <v>1631</v>
      </c>
      <c r="L2319">
        <v>372</v>
      </c>
      <c r="M2319">
        <f>COUNTIF(H2319:$H$2581,H2319)</f>
        <v>19</v>
      </c>
    </row>
    <row r="2320" spans="1:13" x14ac:dyDescent="0.2">
      <c r="A2320">
        <v>2193</v>
      </c>
      <c r="B2320" t="s">
        <v>2870</v>
      </c>
      <c r="C2320" t="s">
        <v>5839</v>
      </c>
      <c r="D2320" t="s">
        <v>13</v>
      </c>
      <c r="E2320" t="s">
        <v>5840</v>
      </c>
      <c r="F2320" t="s">
        <v>2873</v>
      </c>
      <c r="G2320" t="s">
        <v>5841</v>
      </c>
      <c r="H2320" t="s">
        <v>7729</v>
      </c>
      <c r="I2320" t="s">
        <v>24</v>
      </c>
      <c r="J2320">
        <v>257</v>
      </c>
      <c r="K2320">
        <v>2194</v>
      </c>
      <c r="L2320">
        <v>304</v>
      </c>
      <c r="M2320">
        <f>COUNTIF(H2320:$H$2581,H2320)</f>
        <v>18</v>
      </c>
    </row>
    <row r="2321" spans="1:13" x14ac:dyDescent="0.2">
      <c r="A2321">
        <v>2114</v>
      </c>
      <c r="B2321" t="s">
        <v>984</v>
      </c>
      <c r="C2321" t="s">
        <v>5842</v>
      </c>
      <c r="D2321" t="s">
        <v>54</v>
      </c>
      <c r="E2321" t="s">
        <v>5843</v>
      </c>
      <c r="F2321" t="s">
        <v>987</v>
      </c>
      <c r="G2321" t="s">
        <v>5844</v>
      </c>
      <c r="H2321" t="s">
        <v>7729</v>
      </c>
      <c r="I2321" t="s">
        <v>24</v>
      </c>
      <c r="J2321">
        <v>243</v>
      </c>
      <c r="K2321">
        <v>2115</v>
      </c>
      <c r="L2321">
        <v>639</v>
      </c>
      <c r="M2321">
        <f>COUNTIF(H2321:$H$2581,H2321)</f>
        <v>17</v>
      </c>
    </row>
    <row r="2322" spans="1:13" x14ac:dyDescent="0.2">
      <c r="A2322">
        <v>807</v>
      </c>
      <c r="B2322" t="s">
        <v>492</v>
      </c>
      <c r="C2322" t="s">
        <v>5846</v>
      </c>
      <c r="D2322" t="s">
        <v>13</v>
      </c>
      <c r="E2322" t="s">
        <v>5847</v>
      </c>
      <c r="F2322" t="s">
        <v>495</v>
      </c>
      <c r="G2322" t="s">
        <v>5848</v>
      </c>
      <c r="H2322" t="s">
        <v>7729</v>
      </c>
      <c r="I2322" t="b">
        <v>0</v>
      </c>
      <c r="J2322">
        <v>113</v>
      </c>
      <c r="K2322">
        <v>808</v>
      </c>
      <c r="L2322">
        <v>318</v>
      </c>
      <c r="M2322">
        <f>COUNTIF(H2322:$H$2581,H2322)</f>
        <v>16</v>
      </c>
    </row>
    <row r="2323" spans="1:13" x14ac:dyDescent="0.2">
      <c r="A2323">
        <v>2496</v>
      </c>
      <c r="B2323" t="s">
        <v>249</v>
      </c>
      <c r="C2323" t="s">
        <v>5985</v>
      </c>
      <c r="D2323" t="s">
        <v>13</v>
      </c>
      <c r="E2323" t="s">
        <v>5986</v>
      </c>
      <c r="F2323" t="s">
        <v>252</v>
      </c>
      <c r="G2323" t="s">
        <v>5987</v>
      </c>
      <c r="H2323" t="s">
        <v>7729</v>
      </c>
      <c r="I2323" t="b">
        <v>0</v>
      </c>
      <c r="J2323">
        <v>290</v>
      </c>
      <c r="K2323">
        <v>2497</v>
      </c>
      <c r="L2323">
        <v>124</v>
      </c>
      <c r="M2323">
        <f>COUNTIF(H2323:$H$2581,H2323)</f>
        <v>15</v>
      </c>
    </row>
    <row r="2324" spans="1:13" x14ac:dyDescent="0.2">
      <c r="A2324">
        <v>2394</v>
      </c>
      <c r="B2324" t="s">
        <v>2316</v>
      </c>
      <c r="C2324" t="s">
        <v>5992</v>
      </c>
      <c r="D2324" t="s">
        <v>13</v>
      </c>
      <c r="E2324" t="s">
        <v>5993</v>
      </c>
      <c r="F2324" t="s">
        <v>2319</v>
      </c>
      <c r="G2324" t="s">
        <v>5994</v>
      </c>
      <c r="H2324" t="s">
        <v>7729</v>
      </c>
      <c r="I2324" t="b">
        <v>1</v>
      </c>
      <c r="J2324">
        <v>279</v>
      </c>
      <c r="K2324">
        <v>2395</v>
      </c>
      <c r="L2324">
        <v>393</v>
      </c>
      <c r="M2324">
        <f>COUNTIF(H2324:$H$2581,H2324)</f>
        <v>14</v>
      </c>
    </row>
    <row r="2325" spans="1:13" x14ac:dyDescent="0.2">
      <c r="A2325">
        <v>1243</v>
      </c>
      <c r="B2325" t="s">
        <v>1461</v>
      </c>
      <c r="C2325" t="s">
        <v>5995</v>
      </c>
      <c r="D2325" t="s">
        <v>33</v>
      </c>
      <c r="E2325" t="s">
        <v>5996</v>
      </c>
      <c r="F2325" t="s">
        <v>1464</v>
      </c>
      <c r="G2325" t="s">
        <v>5997</v>
      </c>
      <c r="H2325" t="s">
        <v>7729</v>
      </c>
      <c r="I2325" t="b">
        <v>0</v>
      </c>
      <c r="J2325">
        <v>152</v>
      </c>
      <c r="K2325">
        <v>1244</v>
      </c>
      <c r="L2325">
        <v>426</v>
      </c>
      <c r="M2325">
        <f>COUNTIF(H2325:$H$2581,H2325)</f>
        <v>13</v>
      </c>
    </row>
    <row r="2326" spans="1:13" x14ac:dyDescent="0.2">
      <c r="A2326">
        <v>2213</v>
      </c>
      <c r="B2326" t="s">
        <v>2675</v>
      </c>
      <c r="C2326" t="s">
        <v>5999</v>
      </c>
      <c r="D2326" t="s">
        <v>13</v>
      </c>
      <c r="E2326" t="s">
        <v>6000</v>
      </c>
      <c r="F2326" t="s">
        <v>2678</v>
      </c>
      <c r="G2326" t="s">
        <v>6001</v>
      </c>
      <c r="H2326" t="s">
        <v>7729</v>
      </c>
      <c r="I2326" t="s">
        <v>24</v>
      </c>
      <c r="J2326">
        <v>260</v>
      </c>
      <c r="K2326">
        <v>2214</v>
      </c>
      <c r="L2326">
        <v>652</v>
      </c>
      <c r="M2326">
        <f>COUNTIF(H2326:$H$2581,H2326)</f>
        <v>12</v>
      </c>
    </row>
    <row r="2327" spans="1:13" x14ac:dyDescent="0.2">
      <c r="A2327">
        <v>2546</v>
      </c>
      <c r="B2327" t="s">
        <v>396</v>
      </c>
      <c r="C2327" t="s">
        <v>6003</v>
      </c>
      <c r="D2327" t="s">
        <v>54</v>
      </c>
      <c r="E2327" t="s">
        <v>6007</v>
      </c>
      <c r="F2327" t="s">
        <v>398</v>
      </c>
      <c r="G2327" t="s">
        <v>6005</v>
      </c>
      <c r="H2327" t="s">
        <v>7729</v>
      </c>
      <c r="I2327" t="b">
        <v>1</v>
      </c>
      <c r="J2327">
        <v>295</v>
      </c>
      <c r="K2327">
        <v>2547</v>
      </c>
      <c r="L2327">
        <v>72</v>
      </c>
      <c r="M2327">
        <f>COUNTIF(H2327:$H$2581,H2327)</f>
        <v>11</v>
      </c>
    </row>
    <row r="2328" spans="1:13" x14ac:dyDescent="0.2">
      <c r="A2328">
        <v>464</v>
      </c>
      <c r="B2328" t="s">
        <v>357</v>
      </c>
      <c r="C2328" t="s">
        <v>6008</v>
      </c>
      <c r="D2328" t="s">
        <v>54</v>
      </c>
      <c r="E2328" t="s">
        <v>6009</v>
      </c>
      <c r="F2328" t="s">
        <v>360</v>
      </c>
      <c r="G2328" t="s">
        <v>6010</v>
      </c>
      <c r="H2328" t="s">
        <v>7729</v>
      </c>
      <c r="I2328" t="s">
        <v>24</v>
      </c>
      <c r="J2328">
        <v>66</v>
      </c>
      <c r="K2328">
        <v>465</v>
      </c>
      <c r="L2328">
        <v>209</v>
      </c>
      <c r="M2328">
        <f>COUNTIF(H2328:$H$2581,H2328)</f>
        <v>10</v>
      </c>
    </row>
    <row r="2329" spans="1:13" x14ac:dyDescent="0.2">
      <c r="A2329">
        <v>2358</v>
      </c>
      <c r="B2329" t="s">
        <v>504</v>
      </c>
      <c r="C2329" t="s">
        <v>6019</v>
      </c>
      <c r="D2329" t="s">
        <v>13</v>
      </c>
      <c r="E2329" t="s">
        <v>6020</v>
      </c>
      <c r="F2329" t="s">
        <v>507</v>
      </c>
      <c r="G2329" t="s">
        <v>6021</v>
      </c>
      <c r="H2329" t="s">
        <v>7729</v>
      </c>
      <c r="I2329" t="s">
        <v>24</v>
      </c>
      <c r="J2329">
        <v>275</v>
      </c>
      <c r="K2329">
        <v>2359</v>
      </c>
      <c r="L2329">
        <v>354</v>
      </c>
      <c r="M2329">
        <f>COUNTIF(H2329:$H$2581,H2329)</f>
        <v>9</v>
      </c>
    </row>
    <row r="2330" spans="1:13" x14ac:dyDescent="0.2">
      <c r="A2330">
        <v>2527</v>
      </c>
      <c r="B2330" t="s">
        <v>2001</v>
      </c>
      <c r="C2330" t="s">
        <v>6026</v>
      </c>
      <c r="D2330" t="s">
        <v>54</v>
      </c>
      <c r="E2330" t="s">
        <v>6027</v>
      </c>
      <c r="F2330" t="s">
        <v>2004</v>
      </c>
      <c r="G2330" t="s">
        <v>6028</v>
      </c>
      <c r="H2330" t="s">
        <v>7729</v>
      </c>
      <c r="I2330" t="s">
        <v>24</v>
      </c>
      <c r="J2330">
        <v>293</v>
      </c>
      <c r="K2330">
        <v>2528</v>
      </c>
      <c r="L2330">
        <v>6</v>
      </c>
      <c r="M2330">
        <f>COUNTIF(H2330:$H$2581,H2330)</f>
        <v>8</v>
      </c>
    </row>
    <row r="2331" spans="1:13" x14ac:dyDescent="0.2">
      <c r="A2331">
        <v>839</v>
      </c>
      <c r="B2331" t="s">
        <v>176</v>
      </c>
      <c r="C2331" t="s">
        <v>6033</v>
      </c>
      <c r="D2331" t="s">
        <v>54</v>
      </c>
      <c r="E2331" t="s">
        <v>6034</v>
      </c>
      <c r="F2331" t="s">
        <v>179</v>
      </c>
      <c r="G2331" t="s">
        <v>6035</v>
      </c>
      <c r="H2331" t="s">
        <v>7729</v>
      </c>
      <c r="I2331" t="s">
        <v>24</v>
      </c>
      <c r="J2331">
        <v>115</v>
      </c>
      <c r="K2331">
        <v>840</v>
      </c>
      <c r="L2331">
        <v>271</v>
      </c>
      <c r="M2331">
        <f>COUNTIF(H2331:$H$2581,H2331)</f>
        <v>7</v>
      </c>
    </row>
    <row r="2332" spans="1:13" x14ac:dyDescent="0.2">
      <c r="A2332">
        <v>1751</v>
      </c>
      <c r="B2332" t="s">
        <v>1403</v>
      </c>
      <c r="C2332" t="s">
        <v>6049</v>
      </c>
      <c r="D2332" t="s">
        <v>13</v>
      </c>
      <c r="E2332" t="s">
        <v>6050</v>
      </c>
      <c r="F2332" t="s">
        <v>1406</v>
      </c>
      <c r="G2332" t="s">
        <v>6051</v>
      </c>
      <c r="H2332" t="s">
        <v>7729</v>
      </c>
      <c r="I2332" t="b">
        <v>1</v>
      </c>
      <c r="J2332">
        <v>207</v>
      </c>
      <c r="K2332">
        <v>1752</v>
      </c>
      <c r="L2332">
        <v>199</v>
      </c>
      <c r="M2332">
        <f>COUNTIF(H2332:$H$2581,H2332)</f>
        <v>6</v>
      </c>
    </row>
    <row r="2333" spans="1:13" x14ac:dyDescent="0.2">
      <c r="A2333">
        <v>2311</v>
      </c>
      <c r="B2333" t="s">
        <v>703</v>
      </c>
      <c r="C2333" t="s">
        <v>6052</v>
      </c>
      <c r="D2333" t="s">
        <v>13</v>
      </c>
      <c r="E2333" t="s">
        <v>6053</v>
      </c>
      <c r="F2333" t="s">
        <v>706</v>
      </c>
      <c r="G2333" t="s">
        <v>6054</v>
      </c>
      <c r="H2333" t="s">
        <v>7729</v>
      </c>
      <c r="I2333" t="s">
        <v>24</v>
      </c>
      <c r="J2333">
        <v>271</v>
      </c>
      <c r="K2333">
        <v>2312</v>
      </c>
      <c r="L2333">
        <v>676</v>
      </c>
      <c r="M2333">
        <f>COUNTIF(H2333:$H$2581,H2333)</f>
        <v>5</v>
      </c>
    </row>
    <row r="2334" spans="1:13" x14ac:dyDescent="0.2">
      <c r="A2334">
        <v>623</v>
      </c>
      <c r="B2334" t="s">
        <v>1491</v>
      </c>
      <c r="C2334" t="s">
        <v>6056</v>
      </c>
      <c r="D2334" t="s">
        <v>54</v>
      </c>
      <c r="E2334" t="s">
        <v>6057</v>
      </c>
      <c r="F2334" t="s">
        <v>1494</v>
      </c>
      <c r="G2334" t="s">
        <v>6058</v>
      </c>
      <c r="H2334" t="s">
        <v>7729</v>
      </c>
      <c r="I2334" t="b">
        <v>0</v>
      </c>
      <c r="J2334">
        <v>91</v>
      </c>
      <c r="K2334">
        <v>624</v>
      </c>
      <c r="L2334">
        <v>272</v>
      </c>
      <c r="M2334">
        <f>COUNTIF(H2334:$H$2581,H2334)</f>
        <v>4</v>
      </c>
    </row>
    <row r="2335" spans="1:13" x14ac:dyDescent="0.2">
      <c r="A2335">
        <v>924</v>
      </c>
      <c r="B2335" t="s">
        <v>271</v>
      </c>
      <c r="C2335" t="s">
        <v>6060</v>
      </c>
      <c r="D2335" t="s">
        <v>13</v>
      </c>
      <c r="E2335" t="s">
        <v>6061</v>
      </c>
      <c r="F2335" t="s">
        <v>274</v>
      </c>
      <c r="G2335" t="s">
        <v>6062</v>
      </c>
      <c r="H2335" t="s">
        <v>7729</v>
      </c>
      <c r="I2335" t="s">
        <v>24</v>
      </c>
      <c r="J2335">
        <v>121</v>
      </c>
      <c r="K2335">
        <v>925</v>
      </c>
      <c r="L2335">
        <v>345</v>
      </c>
      <c r="M2335">
        <f>COUNTIF(H2335:$H$2581,H2335)</f>
        <v>3</v>
      </c>
    </row>
    <row r="2336" spans="1:13" x14ac:dyDescent="0.2">
      <c r="A2336">
        <v>1442</v>
      </c>
      <c r="B2336" t="s">
        <v>763</v>
      </c>
      <c r="C2336" t="s">
        <v>6064</v>
      </c>
      <c r="D2336" t="s">
        <v>54</v>
      </c>
      <c r="E2336" t="s">
        <v>6065</v>
      </c>
      <c r="F2336" t="s">
        <v>766</v>
      </c>
      <c r="G2336" t="s">
        <v>6066</v>
      </c>
      <c r="H2336" t="s">
        <v>7729</v>
      </c>
      <c r="I2336" t="b">
        <v>1</v>
      </c>
      <c r="J2336">
        <v>174</v>
      </c>
      <c r="K2336">
        <v>1443</v>
      </c>
      <c r="L2336">
        <v>484</v>
      </c>
      <c r="M2336">
        <f>COUNTIF(H2336:$H$2581,H2336)</f>
        <v>2</v>
      </c>
    </row>
    <row r="2337" spans="1:13" x14ac:dyDescent="0.2">
      <c r="A2337">
        <v>2116</v>
      </c>
      <c r="B2337" t="s">
        <v>984</v>
      </c>
      <c r="C2337" t="s">
        <v>6078</v>
      </c>
      <c r="D2337" t="s">
        <v>13</v>
      </c>
      <c r="E2337" t="s">
        <v>6079</v>
      </c>
      <c r="F2337" t="s">
        <v>987</v>
      </c>
      <c r="G2337" t="s">
        <v>6080</v>
      </c>
      <c r="H2337" t="s">
        <v>7729</v>
      </c>
      <c r="I2337" t="s">
        <v>24</v>
      </c>
      <c r="J2337">
        <v>243</v>
      </c>
      <c r="K2337">
        <v>2117</v>
      </c>
      <c r="L2337">
        <v>273</v>
      </c>
      <c r="M2337">
        <f>COUNTIF(H2337:$H$2581,H2337)</f>
        <v>1</v>
      </c>
    </row>
    <row r="2338" spans="1:13" x14ac:dyDescent="0.2">
      <c r="A2338">
        <v>233</v>
      </c>
      <c r="B2338" t="s">
        <v>1120</v>
      </c>
      <c r="C2338" t="s">
        <v>6081</v>
      </c>
      <c r="D2338" t="s">
        <v>13</v>
      </c>
      <c r="E2338" t="s">
        <v>6082</v>
      </c>
      <c r="F2338" s="1" t="s">
        <v>1123</v>
      </c>
      <c r="G2338" t="s">
        <v>6083</v>
      </c>
      <c r="H2338" t="s">
        <v>7880</v>
      </c>
      <c r="I2338" t="b">
        <v>0</v>
      </c>
      <c r="J2338">
        <v>40</v>
      </c>
      <c r="K2338">
        <v>234</v>
      </c>
      <c r="L2338">
        <v>104</v>
      </c>
      <c r="M2338">
        <f>COUNTIF(H2338:$H$2581,H2338)</f>
        <v>5</v>
      </c>
    </row>
    <row r="2339" spans="1:13" x14ac:dyDescent="0.2">
      <c r="A2339">
        <v>1632</v>
      </c>
      <c r="B2339" t="s">
        <v>720</v>
      </c>
      <c r="C2339" t="s">
        <v>6089</v>
      </c>
      <c r="D2339" t="s">
        <v>54</v>
      </c>
      <c r="E2339" t="s">
        <v>6090</v>
      </c>
      <c r="F2339" t="s">
        <v>723</v>
      </c>
      <c r="G2339" t="s">
        <v>6091</v>
      </c>
      <c r="H2339" t="s">
        <v>7880</v>
      </c>
      <c r="I2339" t="b">
        <v>1</v>
      </c>
      <c r="J2339">
        <v>197</v>
      </c>
      <c r="K2339">
        <v>1633</v>
      </c>
      <c r="L2339">
        <v>440</v>
      </c>
      <c r="M2339">
        <f>COUNTIF(H2339:$H$2581,H2339)</f>
        <v>4</v>
      </c>
    </row>
    <row r="2340" spans="1:13" x14ac:dyDescent="0.2">
      <c r="A2340">
        <v>2256</v>
      </c>
      <c r="B2340" t="s">
        <v>1170</v>
      </c>
      <c r="C2340" t="s">
        <v>6092</v>
      </c>
      <c r="D2340" t="s">
        <v>33</v>
      </c>
      <c r="E2340" t="s">
        <v>6093</v>
      </c>
      <c r="F2340" t="s">
        <v>1173</v>
      </c>
      <c r="G2340" t="s">
        <v>6094</v>
      </c>
      <c r="H2340" t="s">
        <v>7880</v>
      </c>
      <c r="I2340" t="b">
        <v>0</v>
      </c>
      <c r="J2340">
        <v>263</v>
      </c>
      <c r="K2340">
        <v>2257</v>
      </c>
      <c r="L2340">
        <v>657</v>
      </c>
      <c r="M2340">
        <f>COUNTIF(H2340:$H$2581,H2340)</f>
        <v>3</v>
      </c>
    </row>
    <row r="2341" spans="1:13" x14ac:dyDescent="0.2">
      <c r="A2341">
        <v>758</v>
      </c>
      <c r="B2341" t="s">
        <v>1868</v>
      </c>
      <c r="C2341" t="s">
        <v>6096</v>
      </c>
      <c r="D2341" t="s">
        <v>13</v>
      </c>
      <c r="E2341" t="s">
        <v>6097</v>
      </c>
      <c r="F2341" t="s">
        <v>1871</v>
      </c>
      <c r="G2341" t="s">
        <v>6098</v>
      </c>
      <c r="H2341" t="s">
        <v>7880</v>
      </c>
      <c r="I2341" t="s">
        <v>24</v>
      </c>
      <c r="J2341">
        <v>107</v>
      </c>
      <c r="K2341">
        <v>759</v>
      </c>
      <c r="L2341">
        <v>305</v>
      </c>
      <c r="M2341">
        <f>COUNTIF(H2341:$H$2581,H2341)</f>
        <v>2</v>
      </c>
    </row>
    <row r="2342" spans="1:13" x14ac:dyDescent="0.2">
      <c r="A2342">
        <v>1633</v>
      </c>
      <c r="B2342" t="s">
        <v>720</v>
      </c>
      <c r="C2342" t="s">
        <v>6100</v>
      </c>
      <c r="D2342" t="s">
        <v>54</v>
      </c>
      <c r="E2342" t="s">
        <v>6101</v>
      </c>
      <c r="F2342" t="s">
        <v>723</v>
      </c>
      <c r="G2342" t="s">
        <v>6102</v>
      </c>
      <c r="H2342" t="s">
        <v>7880</v>
      </c>
      <c r="I2342" t="b">
        <v>1</v>
      </c>
      <c r="J2342">
        <v>197</v>
      </c>
      <c r="K2342">
        <v>1634</v>
      </c>
      <c r="L2342">
        <v>549</v>
      </c>
      <c r="M2342">
        <f>COUNTIF(H2342:$H$2581,H2342)</f>
        <v>1</v>
      </c>
    </row>
    <row r="2343" spans="1:13" x14ac:dyDescent="0.2">
      <c r="A2343">
        <v>2257</v>
      </c>
      <c r="B2343" t="s">
        <v>1170</v>
      </c>
      <c r="C2343" t="s">
        <v>6104</v>
      </c>
      <c r="D2343" t="s">
        <v>33</v>
      </c>
      <c r="E2343" s="1" t="s">
        <v>6105</v>
      </c>
      <c r="F2343" t="s">
        <v>1173</v>
      </c>
      <c r="G2343" t="s">
        <v>6106</v>
      </c>
      <c r="H2343" t="s">
        <v>7899</v>
      </c>
      <c r="I2343" t="b">
        <v>0</v>
      </c>
      <c r="J2343">
        <v>263</v>
      </c>
      <c r="K2343">
        <v>2258</v>
      </c>
      <c r="L2343">
        <v>658</v>
      </c>
      <c r="M2343">
        <f>COUNTIF(H2343:$H$2581,H2343)</f>
        <v>1</v>
      </c>
    </row>
    <row r="2344" spans="1:13" x14ac:dyDescent="0.2">
      <c r="A2344">
        <v>1874</v>
      </c>
      <c r="B2344" t="s">
        <v>749</v>
      </c>
      <c r="C2344" t="s">
        <v>6115</v>
      </c>
      <c r="D2344" t="s">
        <v>13</v>
      </c>
      <c r="E2344" t="s">
        <v>6116</v>
      </c>
      <c r="F2344" t="s">
        <v>752</v>
      </c>
      <c r="G2344" t="s">
        <v>6117</v>
      </c>
      <c r="H2344" t="s">
        <v>7906</v>
      </c>
      <c r="I2344" t="s">
        <v>24</v>
      </c>
      <c r="J2344">
        <v>218</v>
      </c>
      <c r="K2344">
        <v>1875</v>
      </c>
      <c r="L2344">
        <v>200</v>
      </c>
      <c r="M2344">
        <f>COUNTIF(H2344:$H$2581,H2344)</f>
        <v>13</v>
      </c>
    </row>
    <row r="2345" spans="1:13" x14ac:dyDescent="0.2">
      <c r="A2345">
        <v>2407</v>
      </c>
      <c r="B2345" t="s">
        <v>793</v>
      </c>
      <c r="C2345" t="s">
        <v>6118</v>
      </c>
      <c r="D2345" t="s">
        <v>13</v>
      </c>
      <c r="E2345" t="s">
        <v>6119</v>
      </c>
      <c r="F2345" t="s">
        <v>796</v>
      </c>
      <c r="G2345" t="s">
        <v>6120</v>
      </c>
      <c r="H2345" t="s">
        <v>7906</v>
      </c>
      <c r="I2345" t="s">
        <v>24</v>
      </c>
      <c r="J2345">
        <v>282</v>
      </c>
      <c r="K2345">
        <v>2408</v>
      </c>
      <c r="L2345">
        <v>701</v>
      </c>
      <c r="M2345">
        <f>COUNTIF(H2345:$H$2581,H2345)</f>
        <v>12</v>
      </c>
    </row>
    <row r="2346" spans="1:13" x14ac:dyDescent="0.2">
      <c r="A2346">
        <v>2258</v>
      </c>
      <c r="B2346" t="s">
        <v>1170</v>
      </c>
      <c r="C2346" t="s">
        <v>6122</v>
      </c>
      <c r="D2346" t="s">
        <v>33</v>
      </c>
      <c r="E2346" t="s">
        <v>6123</v>
      </c>
      <c r="F2346" t="s">
        <v>1173</v>
      </c>
      <c r="G2346" t="s">
        <v>6124</v>
      </c>
      <c r="H2346" t="s">
        <v>7906</v>
      </c>
      <c r="I2346" t="b">
        <v>0</v>
      </c>
      <c r="J2346">
        <v>263</v>
      </c>
      <c r="K2346">
        <v>2259</v>
      </c>
      <c r="L2346">
        <v>659</v>
      </c>
      <c r="M2346">
        <f>COUNTIF(H2346:$H$2581,H2346)</f>
        <v>11</v>
      </c>
    </row>
    <row r="2347" spans="1:13" x14ac:dyDescent="0.2">
      <c r="A2347">
        <v>2054</v>
      </c>
      <c r="B2347" t="s">
        <v>1798</v>
      </c>
      <c r="C2347" t="s">
        <v>6126</v>
      </c>
      <c r="D2347" t="s">
        <v>13</v>
      </c>
      <c r="E2347" t="s">
        <v>6127</v>
      </c>
      <c r="F2347" t="s">
        <v>1801</v>
      </c>
      <c r="G2347" t="s">
        <v>6128</v>
      </c>
      <c r="H2347" t="s">
        <v>7906</v>
      </c>
      <c r="I2347" t="b">
        <v>1</v>
      </c>
      <c r="J2347">
        <v>239</v>
      </c>
      <c r="K2347">
        <v>2055</v>
      </c>
      <c r="L2347">
        <v>626</v>
      </c>
      <c r="M2347">
        <f>COUNTIF(H2347:$H$2581,H2347)</f>
        <v>10</v>
      </c>
    </row>
    <row r="2348" spans="1:13" x14ac:dyDescent="0.2">
      <c r="A2348">
        <v>505</v>
      </c>
      <c r="B2348" t="s">
        <v>2129</v>
      </c>
      <c r="C2348" t="s">
        <v>6130</v>
      </c>
      <c r="D2348" t="s">
        <v>33</v>
      </c>
      <c r="E2348" t="s">
        <v>6131</v>
      </c>
      <c r="F2348" t="s">
        <v>2132</v>
      </c>
      <c r="G2348" t="s">
        <v>6132</v>
      </c>
      <c r="H2348" t="s">
        <v>7906</v>
      </c>
      <c r="I2348" t="b">
        <v>0</v>
      </c>
      <c r="J2348">
        <v>72</v>
      </c>
      <c r="K2348">
        <v>506</v>
      </c>
      <c r="L2348">
        <v>224</v>
      </c>
      <c r="M2348">
        <f>COUNTIF(H2348:$H$2581,H2348)</f>
        <v>9</v>
      </c>
    </row>
    <row r="2349" spans="1:13" x14ac:dyDescent="0.2">
      <c r="A2349">
        <v>307</v>
      </c>
      <c r="B2349" t="s">
        <v>784</v>
      </c>
      <c r="C2349" t="s">
        <v>6134</v>
      </c>
      <c r="D2349" t="s">
        <v>54</v>
      </c>
      <c r="E2349" t="s">
        <v>6135</v>
      </c>
      <c r="F2349" t="s">
        <v>787</v>
      </c>
      <c r="G2349" t="s">
        <v>6136</v>
      </c>
      <c r="H2349" t="s">
        <v>7906</v>
      </c>
      <c r="I2349" t="b">
        <v>0</v>
      </c>
      <c r="J2349">
        <v>45</v>
      </c>
      <c r="K2349">
        <v>308</v>
      </c>
      <c r="L2349">
        <v>142</v>
      </c>
      <c r="M2349">
        <f>COUNTIF(H2349:$H$2581,H2349)</f>
        <v>8</v>
      </c>
    </row>
    <row r="2350" spans="1:13" x14ac:dyDescent="0.2">
      <c r="A2350">
        <v>2259</v>
      </c>
      <c r="B2350" t="s">
        <v>1170</v>
      </c>
      <c r="C2350" t="s">
        <v>6138</v>
      </c>
      <c r="D2350" t="s">
        <v>33</v>
      </c>
      <c r="E2350" t="s">
        <v>6139</v>
      </c>
      <c r="F2350" t="s">
        <v>1173</v>
      </c>
      <c r="G2350" t="s">
        <v>6140</v>
      </c>
      <c r="H2350" t="s">
        <v>7906</v>
      </c>
      <c r="I2350" t="b">
        <v>0</v>
      </c>
      <c r="J2350">
        <v>263</v>
      </c>
      <c r="K2350">
        <v>2260</v>
      </c>
      <c r="L2350">
        <v>660</v>
      </c>
      <c r="M2350">
        <f>COUNTIF(H2350:$H$2581,H2350)</f>
        <v>7</v>
      </c>
    </row>
    <row r="2351" spans="1:13" x14ac:dyDescent="0.2">
      <c r="A2351">
        <v>2389</v>
      </c>
      <c r="B2351" t="s">
        <v>221</v>
      </c>
      <c r="C2351" t="s">
        <v>6142</v>
      </c>
      <c r="D2351" t="s">
        <v>13</v>
      </c>
      <c r="E2351" t="s">
        <v>6143</v>
      </c>
      <c r="F2351" t="s">
        <v>224</v>
      </c>
      <c r="G2351" t="s">
        <v>6144</v>
      </c>
      <c r="H2351" t="s">
        <v>7906</v>
      </c>
      <c r="I2351" t="b">
        <v>1</v>
      </c>
      <c r="J2351">
        <v>278</v>
      </c>
      <c r="K2351">
        <v>2390</v>
      </c>
      <c r="L2351">
        <v>697</v>
      </c>
      <c r="M2351">
        <f>COUNTIF(H2351:$H$2581,H2351)</f>
        <v>6</v>
      </c>
    </row>
    <row r="2352" spans="1:13" x14ac:dyDescent="0.2">
      <c r="A2352">
        <v>846</v>
      </c>
      <c r="B2352" t="s">
        <v>3157</v>
      </c>
      <c r="C2352" t="s">
        <v>6146</v>
      </c>
      <c r="D2352" t="s">
        <v>54</v>
      </c>
      <c r="E2352" t="s">
        <v>6147</v>
      </c>
      <c r="F2352" t="s">
        <v>3160</v>
      </c>
      <c r="G2352" t="s">
        <v>6148</v>
      </c>
      <c r="H2352" t="s">
        <v>7906</v>
      </c>
      <c r="I2352" t="s">
        <v>24</v>
      </c>
      <c r="J2352">
        <v>116</v>
      </c>
      <c r="K2352">
        <v>847</v>
      </c>
      <c r="L2352">
        <v>327</v>
      </c>
      <c r="M2352">
        <f>COUNTIF(H2352:$H$2581,H2352)</f>
        <v>5</v>
      </c>
    </row>
    <row r="2353" spans="1:13" x14ac:dyDescent="0.2">
      <c r="A2353">
        <v>2260</v>
      </c>
      <c r="B2353" t="s">
        <v>1170</v>
      </c>
      <c r="C2353" t="s">
        <v>6104</v>
      </c>
      <c r="D2353" t="s">
        <v>33</v>
      </c>
      <c r="E2353" t="s">
        <v>6150</v>
      </c>
      <c r="F2353" t="s">
        <v>1173</v>
      </c>
      <c r="G2353" t="s">
        <v>6151</v>
      </c>
      <c r="H2353" t="s">
        <v>7906</v>
      </c>
      <c r="I2353" t="b">
        <v>0</v>
      </c>
      <c r="J2353">
        <v>263</v>
      </c>
      <c r="K2353">
        <v>2261</v>
      </c>
      <c r="L2353">
        <v>661</v>
      </c>
      <c r="M2353">
        <f>COUNTIF(H2353:$H$2581,H2353)</f>
        <v>4</v>
      </c>
    </row>
    <row r="2354" spans="1:13" x14ac:dyDescent="0.2">
      <c r="A2354">
        <v>506</v>
      </c>
      <c r="B2354" t="s">
        <v>2129</v>
      </c>
      <c r="C2354" t="s">
        <v>6153</v>
      </c>
      <c r="D2354" t="s">
        <v>33</v>
      </c>
      <c r="E2354" t="s">
        <v>6154</v>
      </c>
      <c r="F2354" t="s">
        <v>2132</v>
      </c>
      <c r="G2354" t="s">
        <v>6155</v>
      </c>
      <c r="H2354" t="s">
        <v>7906</v>
      </c>
      <c r="I2354" t="b">
        <v>0</v>
      </c>
      <c r="J2354">
        <v>72</v>
      </c>
      <c r="K2354">
        <v>507</v>
      </c>
      <c r="L2354">
        <v>225</v>
      </c>
      <c r="M2354">
        <f>COUNTIF(H2354:$H$2581,H2354)</f>
        <v>3</v>
      </c>
    </row>
    <row r="2355" spans="1:13" x14ac:dyDescent="0.2">
      <c r="A2355">
        <v>2441</v>
      </c>
      <c r="B2355" t="s">
        <v>1327</v>
      </c>
      <c r="C2355" t="s">
        <v>6191</v>
      </c>
      <c r="D2355" t="s">
        <v>54</v>
      </c>
      <c r="E2355" t="s">
        <v>6192</v>
      </c>
      <c r="F2355" t="s">
        <v>1330</v>
      </c>
      <c r="G2355" t="s">
        <v>6193</v>
      </c>
      <c r="H2355" t="s">
        <v>7906</v>
      </c>
      <c r="I2355" t="b">
        <v>0</v>
      </c>
      <c r="J2355">
        <v>283</v>
      </c>
      <c r="K2355">
        <v>2442</v>
      </c>
      <c r="L2355">
        <v>167</v>
      </c>
      <c r="M2355">
        <f>COUNTIF(H2355:$H$2581,H2355)</f>
        <v>2</v>
      </c>
    </row>
    <row r="2356" spans="1:13" x14ac:dyDescent="0.2">
      <c r="A2356">
        <v>2339</v>
      </c>
      <c r="B2356" t="s">
        <v>900</v>
      </c>
      <c r="C2356" t="s">
        <v>6194</v>
      </c>
      <c r="D2356" t="s">
        <v>54</v>
      </c>
      <c r="E2356" t="s">
        <v>6195</v>
      </c>
      <c r="F2356" t="s">
        <v>903</v>
      </c>
      <c r="G2356" t="s">
        <v>6196</v>
      </c>
      <c r="H2356" t="s">
        <v>7906</v>
      </c>
      <c r="I2356" t="b">
        <v>0</v>
      </c>
      <c r="J2356">
        <v>274</v>
      </c>
      <c r="K2356">
        <v>2340</v>
      </c>
      <c r="L2356">
        <v>684</v>
      </c>
      <c r="M2356">
        <f>COUNTIF(H2356:$H$2581,H2356)</f>
        <v>1</v>
      </c>
    </row>
    <row r="2357" spans="1:13" x14ac:dyDescent="0.2">
      <c r="A2357">
        <v>1338</v>
      </c>
      <c r="B2357" t="s">
        <v>2235</v>
      </c>
      <c r="C2357" t="s">
        <v>6202</v>
      </c>
      <c r="D2357" t="s">
        <v>13</v>
      </c>
      <c r="E2357" t="s">
        <v>6203</v>
      </c>
      <c r="F2357" t="s">
        <v>2238</v>
      </c>
      <c r="G2357" t="s">
        <v>6204</v>
      </c>
      <c r="H2357" t="s">
        <v>7961</v>
      </c>
      <c r="I2357" t="b">
        <v>0</v>
      </c>
      <c r="J2357">
        <v>163</v>
      </c>
      <c r="K2357">
        <v>1339</v>
      </c>
      <c r="L2357">
        <v>105</v>
      </c>
      <c r="M2357">
        <f>COUNTIF(H2357:$H$2581,H2357)</f>
        <v>12</v>
      </c>
    </row>
    <row r="2358" spans="1:13" x14ac:dyDescent="0.2">
      <c r="A2358">
        <v>461</v>
      </c>
      <c r="B2358" t="s">
        <v>1039</v>
      </c>
      <c r="C2358" t="s">
        <v>6205</v>
      </c>
      <c r="D2358" t="s">
        <v>54</v>
      </c>
      <c r="E2358" t="s">
        <v>6206</v>
      </c>
      <c r="F2358" t="s">
        <v>1042</v>
      </c>
      <c r="G2358" t="s">
        <v>6207</v>
      </c>
      <c r="H2358" t="s">
        <v>7961</v>
      </c>
      <c r="I2358" t="s">
        <v>24</v>
      </c>
      <c r="J2358">
        <v>65</v>
      </c>
      <c r="K2358">
        <v>462</v>
      </c>
      <c r="L2358">
        <v>207</v>
      </c>
      <c r="M2358">
        <f>COUNTIF(H2358:$H$2581,H2358)</f>
        <v>11</v>
      </c>
    </row>
    <row r="2359" spans="1:13" x14ac:dyDescent="0.2">
      <c r="A2359">
        <v>1981</v>
      </c>
      <c r="B2359" t="s">
        <v>1621</v>
      </c>
      <c r="C2359" t="s">
        <v>6209</v>
      </c>
      <c r="D2359" t="s">
        <v>54</v>
      </c>
      <c r="E2359" t="s">
        <v>6210</v>
      </c>
      <c r="F2359" t="s">
        <v>1624</v>
      </c>
      <c r="G2359" t="s">
        <v>6211</v>
      </c>
      <c r="H2359" t="s">
        <v>7961</v>
      </c>
      <c r="I2359" t="s">
        <v>24</v>
      </c>
      <c r="J2359">
        <v>228</v>
      </c>
      <c r="K2359">
        <v>1982</v>
      </c>
      <c r="L2359">
        <v>606</v>
      </c>
      <c r="M2359">
        <f>COUNTIF(H2359:$H$2581,H2359)</f>
        <v>10</v>
      </c>
    </row>
    <row r="2360" spans="1:13" x14ac:dyDescent="0.2">
      <c r="A2360">
        <v>626</v>
      </c>
      <c r="B2360" t="s">
        <v>1491</v>
      </c>
      <c r="C2360" t="s">
        <v>6216</v>
      </c>
      <c r="D2360" t="s">
        <v>13</v>
      </c>
      <c r="E2360" t="s">
        <v>6217</v>
      </c>
      <c r="F2360" t="s">
        <v>1494</v>
      </c>
      <c r="G2360" t="s">
        <v>6218</v>
      </c>
      <c r="H2360" t="s">
        <v>7961</v>
      </c>
      <c r="I2360" t="b">
        <v>0</v>
      </c>
      <c r="J2360">
        <v>91</v>
      </c>
      <c r="K2360">
        <v>627</v>
      </c>
      <c r="L2360">
        <v>274</v>
      </c>
      <c r="M2360">
        <f>COUNTIF(H2360:$H$2581,H2360)</f>
        <v>9</v>
      </c>
    </row>
    <row r="2361" spans="1:13" x14ac:dyDescent="0.2">
      <c r="A2361">
        <v>2272</v>
      </c>
      <c r="B2361" t="s">
        <v>3366</v>
      </c>
      <c r="C2361" t="s">
        <v>6219</v>
      </c>
      <c r="D2361" t="s">
        <v>54</v>
      </c>
      <c r="E2361" t="s">
        <v>6220</v>
      </c>
      <c r="F2361" t="s">
        <v>3369</v>
      </c>
      <c r="G2361" t="s">
        <v>6221</v>
      </c>
      <c r="H2361" t="s">
        <v>7961</v>
      </c>
      <c r="I2361" t="b">
        <v>1</v>
      </c>
      <c r="J2361">
        <v>265</v>
      </c>
      <c r="K2361">
        <v>2273</v>
      </c>
      <c r="L2361">
        <v>667</v>
      </c>
      <c r="M2361">
        <f>COUNTIF(H2361:$H$2581,H2361)</f>
        <v>8</v>
      </c>
    </row>
    <row r="2362" spans="1:13" x14ac:dyDescent="0.2">
      <c r="A2362">
        <v>263</v>
      </c>
      <c r="B2362" t="s">
        <v>1503</v>
      </c>
      <c r="C2362" t="s">
        <v>6223</v>
      </c>
      <c r="D2362" t="s">
        <v>33</v>
      </c>
      <c r="E2362" t="s">
        <v>6224</v>
      </c>
      <c r="F2362" t="s">
        <v>1506</v>
      </c>
      <c r="G2362" t="s">
        <v>6225</v>
      </c>
      <c r="H2362" t="s">
        <v>7961</v>
      </c>
      <c r="I2362" t="b">
        <v>0</v>
      </c>
      <c r="J2362">
        <v>42</v>
      </c>
      <c r="K2362">
        <v>264</v>
      </c>
      <c r="L2362">
        <v>115</v>
      </c>
      <c r="M2362">
        <f>COUNTIF(H2362:$H$2581,H2362)</f>
        <v>7</v>
      </c>
    </row>
    <row r="2363" spans="1:13" x14ac:dyDescent="0.2">
      <c r="A2363">
        <v>1415</v>
      </c>
      <c r="B2363" t="s">
        <v>1397</v>
      </c>
      <c r="C2363" t="s">
        <v>6227</v>
      </c>
      <c r="D2363" t="s">
        <v>13</v>
      </c>
      <c r="E2363" t="s">
        <v>6228</v>
      </c>
      <c r="F2363" t="s">
        <v>1400</v>
      </c>
      <c r="G2363" t="s">
        <v>6229</v>
      </c>
      <c r="H2363" t="s">
        <v>7961</v>
      </c>
      <c r="I2363" t="b">
        <v>1</v>
      </c>
      <c r="J2363">
        <v>169</v>
      </c>
      <c r="K2363">
        <v>1416</v>
      </c>
      <c r="L2363">
        <v>474</v>
      </c>
      <c r="M2363">
        <f>COUNTIF(H2363:$H$2581,H2363)</f>
        <v>6</v>
      </c>
    </row>
    <row r="2364" spans="1:13" x14ac:dyDescent="0.2">
      <c r="A2364">
        <v>1027</v>
      </c>
      <c r="B2364" t="s">
        <v>2218</v>
      </c>
      <c r="C2364" t="s">
        <v>6231</v>
      </c>
      <c r="D2364" t="s">
        <v>13</v>
      </c>
      <c r="E2364" t="s">
        <v>6232</v>
      </c>
      <c r="F2364" t="s">
        <v>2221</v>
      </c>
      <c r="G2364" t="s">
        <v>6233</v>
      </c>
      <c r="H2364" t="s">
        <v>7961</v>
      </c>
      <c r="I2364" t="b">
        <v>0</v>
      </c>
      <c r="J2364">
        <v>128</v>
      </c>
      <c r="K2364">
        <v>1028</v>
      </c>
      <c r="L2364">
        <v>365</v>
      </c>
      <c r="M2364">
        <f>COUNTIF(H2364:$H$2581,H2364)</f>
        <v>5</v>
      </c>
    </row>
    <row r="2365" spans="1:13" x14ac:dyDescent="0.2">
      <c r="A2365">
        <v>551</v>
      </c>
      <c r="B2365" t="s">
        <v>103</v>
      </c>
      <c r="C2365" t="s">
        <v>6242</v>
      </c>
      <c r="D2365" t="s">
        <v>54</v>
      </c>
      <c r="E2365" t="s">
        <v>6243</v>
      </c>
      <c r="F2365" t="s">
        <v>105</v>
      </c>
      <c r="G2365" t="s">
        <v>6244</v>
      </c>
      <c r="H2365" t="s">
        <v>7961</v>
      </c>
      <c r="I2365" t="b">
        <v>0</v>
      </c>
      <c r="J2365">
        <v>81</v>
      </c>
      <c r="K2365">
        <v>552</v>
      </c>
      <c r="L2365">
        <v>78</v>
      </c>
      <c r="M2365">
        <f>COUNTIF(H2365:$H$2581,H2365)</f>
        <v>4</v>
      </c>
    </row>
    <row r="2366" spans="1:13" x14ac:dyDescent="0.2">
      <c r="A2366">
        <v>2489</v>
      </c>
      <c r="B2366" t="s">
        <v>589</v>
      </c>
      <c r="C2366" t="s">
        <v>6329</v>
      </c>
      <c r="D2366" t="s">
        <v>54</v>
      </c>
      <c r="E2366" t="s">
        <v>6330</v>
      </c>
      <c r="F2366" t="s">
        <v>592</v>
      </c>
      <c r="G2366" t="s">
        <v>6331</v>
      </c>
      <c r="H2366" t="s">
        <v>7961</v>
      </c>
      <c r="I2366" t="s">
        <v>24</v>
      </c>
      <c r="J2366">
        <v>288</v>
      </c>
      <c r="K2366">
        <v>2490</v>
      </c>
      <c r="L2366">
        <v>9</v>
      </c>
      <c r="M2366">
        <f>COUNTIF(H2366:$H$2581,H2366)</f>
        <v>3</v>
      </c>
    </row>
    <row r="2367" spans="1:13" x14ac:dyDescent="0.2">
      <c r="A2367">
        <v>186</v>
      </c>
      <c r="B2367" t="s">
        <v>557</v>
      </c>
      <c r="C2367" t="s">
        <v>6332</v>
      </c>
      <c r="D2367" t="s">
        <v>13</v>
      </c>
      <c r="E2367" t="s">
        <v>6333</v>
      </c>
      <c r="F2367" t="s">
        <v>560</v>
      </c>
      <c r="G2367" t="s">
        <v>6334</v>
      </c>
      <c r="H2367" t="s">
        <v>7961</v>
      </c>
      <c r="I2367" t="s">
        <v>24</v>
      </c>
      <c r="J2367">
        <v>34</v>
      </c>
      <c r="K2367">
        <v>187</v>
      </c>
      <c r="L2367">
        <v>88</v>
      </c>
      <c r="M2367">
        <f>COUNTIF(H2367:$H$2581,H2367)</f>
        <v>2</v>
      </c>
    </row>
    <row r="2368" spans="1:13" x14ac:dyDescent="0.2">
      <c r="A2368">
        <v>69</v>
      </c>
      <c r="B2368" t="s">
        <v>25</v>
      </c>
      <c r="C2368" t="s">
        <v>6336</v>
      </c>
      <c r="D2368" t="s">
        <v>54</v>
      </c>
      <c r="E2368" t="s">
        <v>6337</v>
      </c>
      <c r="F2368" t="s">
        <v>28</v>
      </c>
      <c r="G2368" t="s">
        <v>6338</v>
      </c>
      <c r="H2368" t="s">
        <v>7961</v>
      </c>
      <c r="I2368" t="b">
        <v>1</v>
      </c>
      <c r="J2368">
        <v>11</v>
      </c>
      <c r="K2368">
        <v>70</v>
      </c>
      <c r="L2368">
        <v>52</v>
      </c>
      <c r="M2368">
        <f>COUNTIF(H2368:$H$2581,H2368)</f>
        <v>1</v>
      </c>
    </row>
    <row r="2369" spans="1:13" x14ac:dyDescent="0.2">
      <c r="A2369">
        <v>2156</v>
      </c>
      <c r="B2369" t="s">
        <v>160</v>
      </c>
      <c r="C2369" t="s">
        <v>6347</v>
      </c>
      <c r="D2369" t="s">
        <v>13</v>
      </c>
      <c r="E2369" t="s">
        <v>6348</v>
      </c>
      <c r="F2369" t="s">
        <v>163</v>
      </c>
      <c r="G2369" t="s">
        <v>6349</v>
      </c>
      <c r="H2369" t="s">
        <v>8000</v>
      </c>
      <c r="I2369" t="b">
        <v>0</v>
      </c>
      <c r="J2369">
        <v>251</v>
      </c>
      <c r="K2369">
        <v>2157</v>
      </c>
      <c r="L2369">
        <v>51</v>
      </c>
      <c r="M2369">
        <f>COUNTIF(H2369:$H$2581,H2369)</f>
        <v>2</v>
      </c>
    </row>
    <row r="2370" spans="1:13" x14ac:dyDescent="0.2">
      <c r="A2370">
        <v>2524</v>
      </c>
      <c r="B2370" t="s">
        <v>2029</v>
      </c>
      <c r="C2370" t="s">
        <v>6350</v>
      </c>
      <c r="D2370" t="s">
        <v>13</v>
      </c>
      <c r="E2370" t="s">
        <v>6351</v>
      </c>
      <c r="F2370" t="s">
        <v>2032</v>
      </c>
      <c r="G2370" t="s">
        <v>6352</v>
      </c>
      <c r="H2370" t="s">
        <v>8000</v>
      </c>
      <c r="I2370" t="s">
        <v>24</v>
      </c>
      <c r="J2370">
        <v>292</v>
      </c>
      <c r="K2370">
        <v>2525</v>
      </c>
      <c r="L2370">
        <v>717</v>
      </c>
      <c r="M2370">
        <f>COUNTIF(H2370:$H$2581,H2370)</f>
        <v>1</v>
      </c>
    </row>
    <row r="2371" spans="1:13" x14ac:dyDescent="0.2">
      <c r="A2371">
        <v>2371</v>
      </c>
      <c r="B2371" t="s">
        <v>1816</v>
      </c>
      <c r="C2371" t="s">
        <v>6354</v>
      </c>
      <c r="D2371" t="s">
        <v>54</v>
      </c>
      <c r="E2371" t="s">
        <v>6355</v>
      </c>
      <c r="F2371" t="s">
        <v>1819</v>
      </c>
      <c r="G2371" t="s">
        <v>6356</v>
      </c>
      <c r="H2371" t="s">
        <v>8018</v>
      </c>
      <c r="I2371" t="s">
        <v>24</v>
      </c>
      <c r="J2371">
        <v>276</v>
      </c>
      <c r="K2371">
        <v>2372</v>
      </c>
      <c r="L2371">
        <v>692</v>
      </c>
      <c r="M2371">
        <f>COUNTIF(H2371:$H$2581,H2371)</f>
        <v>16</v>
      </c>
    </row>
    <row r="2372" spans="1:13" x14ac:dyDescent="0.2">
      <c r="A2372">
        <v>840</v>
      </c>
      <c r="B2372" t="s">
        <v>176</v>
      </c>
      <c r="C2372" t="s">
        <v>6362</v>
      </c>
      <c r="D2372" t="s">
        <v>54</v>
      </c>
      <c r="E2372" t="s">
        <v>6363</v>
      </c>
      <c r="F2372" t="s">
        <v>179</v>
      </c>
      <c r="G2372" t="s">
        <v>6364</v>
      </c>
      <c r="H2372" t="s">
        <v>8018</v>
      </c>
      <c r="I2372" t="s">
        <v>24</v>
      </c>
      <c r="J2372">
        <v>115</v>
      </c>
      <c r="K2372">
        <v>841</v>
      </c>
      <c r="L2372">
        <v>248</v>
      </c>
      <c r="M2372">
        <f>COUNTIF(H2372:$H$2581,H2372)</f>
        <v>15</v>
      </c>
    </row>
    <row r="2373" spans="1:13" x14ac:dyDescent="0.2">
      <c r="A2373">
        <v>2538</v>
      </c>
      <c r="B2373" t="s">
        <v>754</v>
      </c>
      <c r="C2373" t="s">
        <v>6375</v>
      </c>
      <c r="D2373" t="s">
        <v>54</v>
      </c>
      <c r="E2373" t="s">
        <v>6376</v>
      </c>
      <c r="F2373" t="s">
        <v>757</v>
      </c>
      <c r="G2373" t="s">
        <v>6377</v>
      </c>
      <c r="H2373" t="s">
        <v>8018</v>
      </c>
      <c r="I2373" t="b">
        <v>0</v>
      </c>
      <c r="J2373">
        <v>294</v>
      </c>
      <c r="K2373">
        <v>2539</v>
      </c>
      <c r="L2373">
        <v>213</v>
      </c>
      <c r="M2373">
        <f>COUNTIF(H2373:$H$2581,H2373)</f>
        <v>14</v>
      </c>
    </row>
    <row r="2374" spans="1:13" x14ac:dyDescent="0.2">
      <c r="A2374">
        <v>2571</v>
      </c>
      <c r="B2374" t="s">
        <v>226</v>
      </c>
      <c r="C2374" t="s">
        <v>6438</v>
      </c>
      <c r="D2374" t="s">
        <v>13</v>
      </c>
      <c r="E2374" t="s">
        <v>6439</v>
      </c>
      <c r="F2374" t="s">
        <v>229</v>
      </c>
      <c r="G2374" t="s">
        <v>6440</v>
      </c>
      <c r="H2374" t="s">
        <v>8018</v>
      </c>
      <c r="I2374" t="b">
        <v>1</v>
      </c>
      <c r="J2374">
        <v>299</v>
      </c>
      <c r="K2374">
        <v>2572</v>
      </c>
      <c r="L2374">
        <v>161</v>
      </c>
      <c r="M2374">
        <f>COUNTIF(H2374:$H$2581,H2374)</f>
        <v>13</v>
      </c>
    </row>
    <row r="2375" spans="1:13" x14ac:dyDescent="0.2">
      <c r="A2375">
        <v>1886</v>
      </c>
      <c r="B2375" t="s">
        <v>619</v>
      </c>
      <c r="C2375" t="s">
        <v>6445</v>
      </c>
      <c r="D2375" t="s">
        <v>13</v>
      </c>
      <c r="E2375" t="s">
        <v>6446</v>
      </c>
      <c r="F2375" t="s">
        <v>622</v>
      </c>
      <c r="G2375" t="s">
        <v>6447</v>
      </c>
      <c r="H2375" t="s">
        <v>8018</v>
      </c>
      <c r="I2375" t="b">
        <v>1</v>
      </c>
      <c r="J2375">
        <v>219</v>
      </c>
      <c r="K2375">
        <v>1887</v>
      </c>
      <c r="L2375">
        <v>594</v>
      </c>
      <c r="M2375">
        <f>COUNTIF(H2375:$H$2581,H2375)</f>
        <v>12</v>
      </c>
    </row>
    <row r="2376" spans="1:13" x14ac:dyDescent="0.2">
      <c r="A2376">
        <v>1550</v>
      </c>
      <c r="B2376" t="s">
        <v>282</v>
      </c>
      <c r="C2376" t="s">
        <v>6448</v>
      </c>
      <c r="D2376" t="s">
        <v>13</v>
      </c>
      <c r="E2376" t="s">
        <v>6449</v>
      </c>
      <c r="F2376" t="s">
        <v>285</v>
      </c>
      <c r="G2376" t="s">
        <v>6450</v>
      </c>
      <c r="H2376" t="s">
        <v>8018</v>
      </c>
      <c r="I2376" t="b">
        <v>0</v>
      </c>
      <c r="J2376">
        <v>188</v>
      </c>
      <c r="K2376">
        <v>1551</v>
      </c>
      <c r="L2376">
        <v>516</v>
      </c>
      <c r="M2376">
        <f>COUNTIF(H2376:$H$2581,H2376)</f>
        <v>11</v>
      </c>
    </row>
    <row r="2377" spans="1:13" x14ac:dyDescent="0.2">
      <c r="A2377">
        <v>2497</v>
      </c>
      <c r="B2377" t="s">
        <v>249</v>
      </c>
      <c r="C2377" t="s">
        <v>6462</v>
      </c>
      <c r="D2377" t="s">
        <v>33</v>
      </c>
      <c r="E2377" t="s">
        <v>6463</v>
      </c>
      <c r="F2377" t="s">
        <v>252</v>
      </c>
      <c r="G2377" t="s">
        <v>6464</v>
      </c>
      <c r="H2377" t="s">
        <v>8018</v>
      </c>
      <c r="I2377" t="b">
        <v>0</v>
      </c>
      <c r="J2377">
        <v>290</v>
      </c>
      <c r="K2377">
        <v>2498</v>
      </c>
      <c r="L2377">
        <v>234</v>
      </c>
      <c r="M2377">
        <f>COUNTIF(H2377:$H$2581,H2377)</f>
        <v>10</v>
      </c>
    </row>
    <row r="2378" spans="1:13" x14ac:dyDescent="0.2">
      <c r="A2378">
        <v>685</v>
      </c>
      <c r="B2378" t="s">
        <v>3704</v>
      </c>
      <c r="C2378" t="s">
        <v>6465</v>
      </c>
      <c r="D2378" t="s">
        <v>13</v>
      </c>
      <c r="E2378" t="s">
        <v>6466</v>
      </c>
      <c r="F2378" t="s">
        <v>3707</v>
      </c>
      <c r="G2378" t="s">
        <v>6467</v>
      </c>
      <c r="H2378" t="s">
        <v>8018</v>
      </c>
      <c r="I2378" t="s">
        <v>24</v>
      </c>
      <c r="J2378">
        <v>101</v>
      </c>
      <c r="K2378">
        <v>686</v>
      </c>
      <c r="L2378">
        <v>290</v>
      </c>
      <c r="M2378">
        <f>COUNTIF(H2378:$H$2581,H2378)</f>
        <v>9</v>
      </c>
    </row>
    <row r="2379" spans="1:13" x14ac:dyDescent="0.2">
      <c r="A2379">
        <v>2109</v>
      </c>
      <c r="B2379" t="s">
        <v>984</v>
      </c>
      <c r="C2379" t="s">
        <v>6473</v>
      </c>
      <c r="D2379" t="s">
        <v>13</v>
      </c>
      <c r="E2379" t="s">
        <v>6474</v>
      </c>
      <c r="F2379" t="s">
        <v>987</v>
      </c>
      <c r="G2379" t="s">
        <v>6475</v>
      </c>
      <c r="H2379" t="s">
        <v>8018</v>
      </c>
      <c r="I2379" t="s">
        <v>24</v>
      </c>
      <c r="J2379">
        <v>243</v>
      </c>
      <c r="K2379">
        <v>2110</v>
      </c>
      <c r="L2379">
        <v>635</v>
      </c>
      <c r="M2379">
        <f>COUNTIF(H2379:$H$2581,H2379)</f>
        <v>8</v>
      </c>
    </row>
    <row r="2380" spans="1:13" x14ac:dyDescent="0.2">
      <c r="A2380">
        <v>2359</v>
      </c>
      <c r="B2380" t="s">
        <v>504</v>
      </c>
      <c r="C2380" t="s">
        <v>6476</v>
      </c>
      <c r="D2380" t="s">
        <v>13</v>
      </c>
      <c r="E2380" t="s">
        <v>6477</v>
      </c>
      <c r="F2380" t="s">
        <v>507</v>
      </c>
      <c r="G2380" t="s">
        <v>6478</v>
      </c>
      <c r="H2380" t="s">
        <v>8018</v>
      </c>
      <c r="I2380" t="s">
        <v>24</v>
      </c>
      <c r="J2380">
        <v>275</v>
      </c>
      <c r="K2380">
        <v>2360</v>
      </c>
      <c r="L2380">
        <v>689</v>
      </c>
      <c r="M2380">
        <f>COUNTIF(H2380:$H$2581,H2380)</f>
        <v>7</v>
      </c>
    </row>
    <row r="2381" spans="1:13" x14ac:dyDescent="0.2">
      <c r="A2381">
        <v>2528</v>
      </c>
      <c r="B2381" t="s">
        <v>2001</v>
      </c>
      <c r="C2381" t="s">
        <v>6026</v>
      </c>
      <c r="D2381" t="s">
        <v>54</v>
      </c>
      <c r="E2381" t="s">
        <v>6666</v>
      </c>
      <c r="F2381" t="s">
        <v>2004</v>
      </c>
      <c r="G2381" t="s">
        <v>6667</v>
      </c>
      <c r="H2381" t="s">
        <v>8018</v>
      </c>
      <c r="I2381" t="s">
        <v>24</v>
      </c>
      <c r="J2381">
        <v>293</v>
      </c>
      <c r="K2381">
        <v>2529</v>
      </c>
      <c r="L2381">
        <v>7</v>
      </c>
      <c r="M2381">
        <f>COUNTIF(H2381:$H$2581,H2381)</f>
        <v>6</v>
      </c>
    </row>
    <row r="2382" spans="1:13" x14ac:dyDescent="0.2">
      <c r="A2382">
        <v>1607</v>
      </c>
      <c r="B2382" t="s">
        <v>1548</v>
      </c>
      <c r="C2382" t="s">
        <v>6668</v>
      </c>
      <c r="D2382" t="s">
        <v>13</v>
      </c>
      <c r="E2382" t="s">
        <v>6669</v>
      </c>
      <c r="F2382" t="s">
        <v>1551</v>
      </c>
      <c r="G2382" t="s">
        <v>6670</v>
      </c>
      <c r="H2382" t="s">
        <v>8018</v>
      </c>
      <c r="I2382" t="b">
        <v>0</v>
      </c>
      <c r="J2382">
        <v>196</v>
      </c>
      <c r="K2382">
        <v>1608</v>
      </c>
      <c r="L2382">
        <v>541</v>
      </c>
      <c r="M2382">
        <f>COUNTIF(H2382:$H$2581,H2382)</f>
        <v>5</v>
      </c>
    </row>
    <row r="2383" spans="1:13" x14ac:dyDescent="0.2">
      <c r="A2383">
        <v>2208</v>
      </c>
      <c r="B2383" t="s">
        <v>3041</v>
      </c>
      <c r="C2383" t="s">
        <v>6672</v>
      </c>
      <c r="D2383" t="s">
        <v>33</v>
      </c>
      <c r="E2383" t="s">
        <v>6673</v>
      </c>
      <c r="F2383" t="s">
        <v>3044</v>
      </c>
      <c r="G2383" t="s">
        <v>6674</v>
      </c>
      <c r="H2383" t="s">
        <v>8018</v>
      </c>
      <c r="I2383" t="b">
        <v>0</v>
      </c>
      <c r="J2383">
        <v>259</v>
      </c>
      <c r="K2383">
        <v>2209</v>
      </c>
      <c r="L2383">
        <v>649</v>
      </c>
      <c r="M2383">
        <f>COUNTIF(H2383:$H$2581,H2383)</f>
        <v>4</v>
      </c>
    </row>
    <row r="2384" spans="1:13" x14ac:dyDescent="0.2">
      <c r="A2384">
        <v>2467</v>
      </c>
      <c r="B2384" t="s">
        <v>1411</v>
      </c>
      <c r="C2384" t="s">
        <v>6676</v>
      </c>
      <c r="D2384" t="s">
        <v>13</v>
      </c>
      <c r="E2384" t="s">
        <v>6677</v>
      </c>
      <c r="F2384" t="s">
        <v>1414</v>
      </c>
      <c r="G2384" t="s">
        <v>6678</v>
      </c>
      <c r="H2384" t="s">
        <v>8018</v>
      </c>
      <c r="I2384" t="b">
        <v>1</v>
      </c>
      <c r="J2384">
        <v>285</v>
      </c>
      <c r="K2384">
        <v>2468</v>
      </c>
      <c r="L2384">
        <v>706</v>
      </c>
      <c r="M2384">
        <f>COUNTIF(H2384:$H$2581,H2384)</f>
        <v>3</v>
      </c>
    </row>
    <row r="2385" spans="1:13" x14ac:dyDescent="0.2">
      <c r="A2385">
        <v>607</v>
      </c>
      <c r="B2385" t="s">
        <v>1097</v>
      </c>
      <c r="C2385" t="s">
        <v>6680</v>
      </c>
      <c r="D2385" t="s">
        <v>13</v>
      </c>
      <c r="E2385" t="s">
        <v>6681</v>
      </c>
      <c r="F2385" t="s">
        <v>1100</v>
      </c>
      <c r="G2385" t="s">
        <v>6682</v>
      </c>
      <c r="H2385" t="s">
        <v>8018</v>
      </c>
      <c r="I2385" t="b">
        <v>0</v>
      </c>
      <c r="J2385">
        <v>90</v>
      </c>
      <c r="K2385">
        <v>608</v>
      </c>
      <c r="L2385">
        <v>266</v>
      </c>
      <c r="M2385">
        <f>COUNTIF(H2385:$H$2581,H2385)</f>
        <v>2</v>
      </c>
    </row>
    <row r="2386" spans="1:13" x14ac:dyDescent="0.2">
      <c r="A2386">
        <v>2572</v>
      </c>
      <c r="B2386" t="s">
        <v>226</v>
      </c>
      <c r="C2386" t="s">
        <v>6688</v>
      </c>
      <c r="D2386" t="s">
        <v>54</v>
      </c>
      <c r="E2386" t="s">
        <v>6689</v>
      </c>
      <c r="F2386" t="s">
        <v>229</v>
      </c>
      <c r="G2386" t="s">
        <v>6690</v>
      </c>
      <c r="H2386" t="s">
        <v>8018</v>
      </c>
      <c r="I2386" t="b">
        <v>1</v>
      </c>
      <c r="J2386">
        <v>299</v>
      </c>
      <c r="K2386">
        <v>2573</v>
      </c>
      <c r="L2386">
        <v>465</v>
      </c>
      <c r="M2386">
        <f>COUNTIF(H2386:$H$2581,H2386)</f>
        <v>1</v>
      </c>
    </row>
    <row r="2387" spans="1:13" x14ac:dyDescent="0.2">
      <c r="A2387">
        <v>308</v>
      </c>
      <c r="B2387" t="s">
        <v>784</v>
      </c>
      <c r="C2387" t="s">
        <v>6691</v>
      </c>
      <c r="D2387" t="s">
        <v>33</v>
      </c>
      <c r="E2387" t="s">
        <v>6692</v>
      </c>
      <c r="F2387" t="s">
        <v>787</v>
      </c>
      <c r="G2387" t="s">
        <v>6693</v>
      </c>
      <c r="H2387" t="s">
        <v>8080</v>
      </c>
      <c r="I2387" t="b">
        <v>0</v>
      </c>
      <c r="J2387">
        <v>45</v>
      </c>
      <c r="K2387">
        <v>309</v>
      </c>
      <c r="L2387">
        <v>143</v>
      </c>
      <c r="M2387">
        <f>COUNTIF(H2387:$H$2581,H2387)</f>
        <v>5</v>
      </c>
    </row>
    <row r="2388" spans="1:13" x14ac:dyDescent="0.2">
      <c r="A2388">
        <v>1723</v>
      </c>
      <c r="B2388" t="s">
        <v>725</v>
      </c>
      <c r="C2388" t="s">
        <v>6702</v>
      </c>
      <c r="D2388" t="s">
        <v>13</v>
      </c>
      <c r="E2388" t="s">
        <v>6703</v>
      </c>
      <c r="F2388" t="s">
        <v>728</v>
      </c>
      <c r="G2388" t="s">
        <v>6704</v>
      </c>
      <c r="H2388" t="s">
        <v>8080</v>
      </c>
      <c r="I2388" t="b">
        <v>1</v>
      </c>
      <c r="J2388">
        <v>205</v>
      </c>
      <c r="K2388">
        <v>1724</v>
      </c>
      <c r="L2388">
        <v>287</v>
      </c>
      <c r="M2388">
        <f>COUNTIF(H2388:$H$2581,H2388)</f>
        <v>4</v>
      </c>
    </row>
    <row r="2389" spans="1:13" x14ac:dyDescent="0.2">
      <c r="A2389">
        <v>2539</v>
      </c>
      <c r="B2389" t="s">
        <v>754</v>
      </c>
      <c r="C2389" t="s">
        <v>6721</v>
      </c>
      <c r="D2389" t="s">
        <v>33</v>
      </c>
      <c r="E2389" t="s">
        <v>6722</v>
      </c>
      <c r="F2389" t="s">
        <v>757</v>
      </c>
      <c r="G2389" t="s">
        <v>6723</v>
      </c>
      <c r="H2389" t="s">
        <v>8080</v>
      </c>
      <c r="I2389" t="b">
        <v>0</v>
      </c>
      <c r="J2389">
        <v>294</v>
      </c>
      <c r="K2389">
        <v>2540</v>
      </c>
      <c r="L2389">
        <v>162</v>
      </c>
      <c r="M2389">
        <f>COUNTIF(H2389:$H$2581,H2389)</f>
        <v>3</v>
      </c>
    </row>
    <row r="2390" spans="1:13" x14ac:dyDescent="0.2">
      <c r="A2390">
        <v>2066</v>
      </c>
      <c r="B2390" t="s">
        <v>1965</v>
      </c>
      <c r="C2390" t="s">
        <v>6724</v>
      </c>
      <c r="D2390" t="s">
        <v>13</v>
      </c>
      <c r="E2390" t="s">
        <v>6725</v>
      </c>
      <c r="F2390" t="s">
        <v>1968</v>
      </c>
      <c r="G2390" t="s">
        <v>6726</v>
      </c>
      <c r="H2390" t="s">
        <v>8080</v>
      </c>
      <c r="I2390" t="b">
        <v>1</v>
      </c>
      <c r="J2390">
        <v>240</v>
      </c>
      <c r="K2390">
        <v>2067</v>
      </c>
      <c r="L2390">
        <v>629</v>
      </c>
      <c r="M2390">
        <f>COUNTIF(H2390:$H$2581,H2390)</f>
        <v>2</v>
      </c>
    </row>
    <row r="2391" spans="1:13" x14ac:dyDescent="0.2">
      <c r="A2391">
        <v>1663</v>
      </c>
      <c r="B2391" t="s">
        <v>287</v>
      </c>
      <c r="C2391" t="s">
        <v>6728</v>
      </c>
      <c r="D2391" t="s">
        <v>13</v>
      </c>
      <c r="E2391" t="s">
        <v>6729</v>
      </c>
      <c r="F2391" t="s">
        <v>290</v>
      </c>
      <c r="G2391" t="s">
        <v>6730</v>
      </c>
      <c r="H2391" t="s">
        <v>8080</v>
      </c>
      <c r="I2391" t="b">
        <v>0</v>
      </c>
      <c r="J2391">
        <v>200</v>
      </c>
      <c r="K2391">
        <v>1664</v>
      </c>
      <c r="L2391">
        <v>554</v>
      </c>
      <c r="M2391">
        <f>COUNTIF(H2391:$H$2581,H2391)</f>
        <v>1</v>
      </c>
    </row>
    <row r="2392" spans="1:13" x14ac:dyDescent="0.2">
      <c r="A2392">
        <v>1278</v>
      </c>
      <c r="B2392" t="s">
        <v>1273</v>
      </c>
      <c r="C2392" t="s">
        <v>6736</v>
      </c>
      <c r="D2392" t="s">
        <v>13</v>
      </c>
      <c r="E2392" t="s">
        <v>6737</v>
      </c>
      <c r="F2392" t="s">
        <v>1276</v>
      </c>
      <c r="G2392" t="s">
        <v>6738</v>
      </c>
      <c r="H2392" t="s">
        <v>8099</v>
      </c>
      <c r="I2392" t="b">
        <v>1</v>
      </c>
      <c r="J2392">
        <v>157</v>
      </c>
      <c r="K2392">
        <v>1279</v>
      </c>
      <c r="L2392">
        <v>222</v>
      </c>
      <c r="M2392">
        <f>COUNTIF(H2392:$H$2581,H2392)</f>
        <v>11</v>
      </c>
    </row>
    <row r="2393" spans="1:13" x14ac:dyDescent="0.2">
      <c r="A2393">
        <v>1402</v>
      </c>
      <c r="B2393" t="s">
        <v>170</v>
      </c>
      <c r="C2393" t="s">
        <v>6739</v>
      </c>
      <c r="D2393" t="s">
        <v>13</v>
      </c>
      <c r="E2393" t="s">
        <v>6740</v>
      </c>
      <c r="F2393" t="s">
        <v>173</v>
      </c>
      <c r="G2393" t="s">
        <v>6741</v>
      </c>
      <c r="H2393" t="s">
        <v>8099</v>
      </c>
      <c r="I2393" t="b">
        <v>1</v>
      </c>
      <c r="J2393">
        <v>168</v>
      </c>
      <c r="K2393">
        <v>1403</v>
      </c>
      <c r="L2393">
        <v>469</v>
      </c>
      <c r="M2393">
        <f>COUNTIF(H2393:$H$2581,H2393)</f>
        <v>10</v>
      </c>
    </row>
    <row r="2394" spans="1:13" x14ac:dyDescent="0.2">
      <c r="A2394">
        <v>1887</v>
      </c>
      <c r="B2394" t="s">
        <v>619</v>
      </c>
      <c r="C2394" t="s">
        <v>6743</v>
      </c>
      <c r="D2394" t="s">
        <v>54</v>
      </c>
      <c r="E2394" t="s">
        <v>6744</v>
      </c>
      <c r="F2394" t="s">
        <v>622</v>
      </c>
      <c r="G2394" t="s">
        <v>6745</v>
      </c>
      <c r="H2394" t="s">
        <v>8099</v>
      </c>
      <c r="I2394" t="b">
        <v>1</v>
      </c>
      <c r="J2394">
        <v>219</v>
      </c>
      <c r="K2394">
        <v>1888</v>
      </c>
      <c r="L2394">
        <v>595</v>
      </c>
      <c r="M2394">
        <f>COUNTIF(H2394:$H$2581,H2394)</f>
        <v>9</v>
      </c>
    </row>
    <row r="2395" spans="1:13" x14ac:dyDescent="0.2">
      <c r="A2395">
        <v>2265</v>
      </c>
      <c r="B2395" t="s">
        <v>2093</v>
      </c>
      <c r="C2395" t="s">
        <v>6754</v>
      </c>
      <c r="D2395" t="s">
        <v>13</v>
      </c>
      <c r="E2395" t="s">
        <v>6755</v>
      </c>
      <c r="F2395" t="s">
        <v>2096</v>
      </c>
      <c r="G2395" t="s">
        <v>6756</v>
      </c>
      <c r="H2395" t="s">
        <v>8099</v>
      </c>
      <c r="I2395" t="b">
        <v>0</v>
      </c>
      <c r="J2395">
        <v>264</v>
      </c>
      <c r="K2395">
        <v>2266</v>
      </c>
      <c r="L2395">
        <v>339</v>
      </c>
      <c r="M2395">
        <f>COUNTIF(H2395:$H$2581,H2395)</f>
        <v>8</v>
      </c>
    </row>
    <row r="2396" spans="1:13" x14ac:dyDescent="0.2">
      <c r="A2396">
        <v>2273</v>
      </c>
      <c r="B2396" t="s">
        <v>3366</v>
      </c>
      <c r="C2396" t="s">
        <v>6757</v>
      </c>
      <c r="D2396" t="s">
        <v>54</v>
      </c>
      <c r="E2396" t="s">
        <v>6758</v>
      </c>
      <c r="F2396" t="s">
        <v>3369</v>
      </c>
      <c r="G2396" t="s">
        <v>6759</v>
      </c>
      <c r="H2396" t="s">
        <v>8099</v>
      </c>
      <c r="I2396" t="b">
        <v>1</v>
      </c>
      <c r="J2396">
        <v>265</v>
      </c>
      <c r="K2396">
        <v>2274</v>
      </c>
      <c r="L2396">
        <v>668</v>
      </c>
      <c r="M2396">
        <f>COUNTIF(H2396:$H$2581,H2396)</f>
        <v>7</v>
      </c>
    </row>
    <row r="2397" spans="1:13" x14ac:dyDescent="0.2">
      <c r="A2397">
        <v>2573</v>
      </c>
      <c r="B2397" t="s">
        <v>226</v>
      </c>
      <c r="C2397" t="s">
        <v>6810</v>
      </c>
      <c r="D2397" t="s">
        <v>13</v>
      </c>
      <c r="E2397" t="s">
        <v>6811</v>
      </c>
      <c r="F2397" t="s">
        <v>229</v>
      </c>
      <c r="G2397" t="s">
        <v>6812</v>
      </c>
      <c r="H2397" t="s">
        <v>8099</v>
      </c>
      <c r="I2397" t="b">
        <v>1</v>
      </c>
      <c r="J2397">
        <v>299</v>
      </c>
      <c r="K2397">
        <v>2574</v>
      </c>
      <c r="L2397">
        <v>106</v>
      </c>
      <c r="M2397">
        <f>COUNTIF(H2397:$H$2581,H2397)</f>
        <v>6</v>
      </c>
    </row>
    <row r="2398" spans="1:13" x14ac:dyDescent="0.2">
      <c r="A2398">
        <v>1670</v>
      </c>
      <c r="B2398" t="s">
        <v>1059</v>
      </c>
      <c r="C2398" t="s">
        <v>6813</v>
      </c>
      <c r="D2398" t="s">
        <v>13</v>
      </c>
      <c r="E2398" t="s">
        <v>6814</v>
      </c>
      <c r="F2398" t="s">
        <v>1062</v>
      </c>
      <c r="G2398" t="s">
        <v>6815</v>
      </c>
      <c r="H2398" t="s">
        <v>8099</v>
      </c>
      <c r="I2398" t="b">
        <v>1</v>
      </c>
      <c r="J2398">
        <v>201</v>
      </c>
      <c r="K2398">
        <v>1671</v>
      </c>
      <c r="L2398">
        <v>557</v>
      </c>
      <c r="M2398">
        <f>COUNTIF(H2398:$H$2581,H2398)</f>
        <v>5</v>
      </c>
    </row>
    <row r="2399" spans="1:13" x14ac:dyDescent="0.2">
      <c r="A2399">
        <v>1653</v>
      </c>
      <c r="B2399" t="s">
        <v>3361</v>
      </c>
      <c r="C2399" t="s">
        <v>6821</v>
      </c>
      <c r="D2399" t="s">
        <v>13</v>
      </c>
      <c r="E2399" t="s">
        <v>6822</v>
      </c>
      <c r="F2399" t="s">
        <v>3364</v>
      </c>
      <c r="G2399" t="s">
        <v>6823</v>
      </c>
      <c r="H2399" t="s">
        <v>8099</v>
      </c>
      <c r="I2399" t="b">
        <v>0</v>
      </c>
      <c r="J2399">
        <v>198</v>
      </c>
      <c r="K2399">
        <v>1654</v>
      </c>
      <c r="L2399">
        <v>70</v>
      </c>
      <c r="M2399">
        <f>COUNTIF(H2399:$H$2581,H2399)</f>
        <v>4</v>
      </c>
    </row>
    <row r="2400" spans="1:13" x14ac:dyDescent="0.2">
      <c r="A2400">
        <v>1983</v>
      </c>
      <c r="B2400" t="s">
        <v>1621</v>
      </c>
      <c r="C2400" t="s">
        <v>6824</v>
      </c>
      <c r="D2400" t="s">
        <v>13</v>
      </c>
      <c r="E2400" t="s">
        <v>6825</v>
      </c>
      <c r="F2400" t="s">
        <v>1624</v>
      </c>
      <c r="G2400" t="s">
        <v>6826</v>
      </c>
      <c r="H2400" t="s">
        <v>8099</v>
      </c>
      <c r="I2400" t="s">
        <v>24</v>
      </c>
      <c r="J2400">
        <v>228</v>
      </c>
      <c r="K2400">
        <v>1984</v>
      </c>
      <c r="L2400">
        <v>607</v>
      </c>
      <c r="M2400">
        <f>COUNTIF(H2400:$H$2581,H2400)</f>
        <v>3</v>
      </c>
    </row>
    <row r="2401" spans="1:13" x14ac:dyDescent="0.2">
      <c r="A2401">
        <v>903</v>
      </c>
      <c r="B2401" t="s">
        <v>198</v>
      </c>
      <c r="C2401" t="s">
        <v>6828</v>
      </c>
      <c r="D2401" t="s">
        <v>33</v>
      </c>
      <c r="E2401" t="s">
        <v>6829</v>
      </c>
      <c r="F2401" t="s">
        <v>201</v>
      </c>
      <c r="G2401" t="s">
        <v>6830</v>
      </c>
      <c r="H2401" t="s">
        <v>8099</v>
      </c>
      <c r="I2401" t="b">
        <v>0</v>
      </c>
      <c r="J2401">
        <v>120</v>
      </c>
      <c r="K2401">
        <v>904</v>
      </c>
      <c r="L2401">
        <v>340</v>
      </c>
      <c r="M2401">
        <f>COUNTIF(H2401:$H$2581,H2401)</f>
        <v>2</v>
      </c>
    </row>
    <row r="2402" spans="1:13" x14ac:dyDescent="0.2">
      <c r="A2402">
        <v>2509</v>
      </c>
      <c r="B2402" t="s">
        <v>481</v>
      </c>
      <c r="C2402" t="s">
        <v>6912</v>
      </c>
      <c r="D2402" t="s">
        <v>13</v>
      </c>
      <c r="E2402" t="s">
        <v>6913</v>
      </c>
      <c r="F2402" t="s">
        <v>484</v>
      </c>
      <c r="G2402" t="s">
        <v>6914</v>
      </c>
      <c r="H2402" t="s">
        <v>8099</v>
      </c>
      <c r="I2402" t="s">
        <v>24</v>
      </c>
      <c r="J2402">
        <v>291</v>
      </c>
      <c r="K2402">
        <v>2510</v>
      </c>
      <c r="L2402">
        <v>125</v>
      </c>
      <c r="M2402">
        <f>COUNTIF(H2402:$H$2581,H2402)</f>
        <v>1</v>
      </c>
    </row>
    <row r="2403" spans="1:13" x14ac:dyDescent="0.2">
      <c r="A2403">
        <v>2214</v>
      </c>
      <c r="B2403" t="s">
        <v>2675</v>
      </c>
      <c r="C2403" t="s">
        <v>6915</v>
      </c>
      <c r="D2403" t="s">
        <v>13</v>
      </c>
      <c r="E2403" t="s">
        <v>6916</v>
      </c>
      <c r="F2403" t="s">
        <v>2678</v>
      </c>
      <c r="G2403" t="s">
        <v>6917</v>
      </c>
      <c r="H2403" t="s">
        <v>8140</v>
      </c>
      <c r="I2403" t="s">
        <v>24</v>
      </c>
      <c r="J2403">
        <v>260</v>
      </c>
      <c r="K2403">
        <v>2215</v>
      </c>
      <c r="L2403">
        <v>653</v>
      </c>
      <c r="M2403">
        <f>COUNTIF(H2403:$H$2581,H2403)</f>
        <v>34</v>
      </c>
    </row>
    <row r="2404" spans="1:13" x14ac:dyDescent="0.2">
      <c r="A2404">
        <v>1295</v>
      </c>
      <c r="B2404" t="s">
        <v>1679</v>
      </c>
      <c r="C2404" t="s">
        <v>6919</v>
      </c>
      <c r="D2404" t="s">
        <v>13</v>
      </c>
      <c r="E2404" t="s">
        <v>6920</v>
      </c>
      <c r="F2404" t="s">
        <v>1682</v>
      </c>
      <c r="G2404" t="s">
        <v>6921</v>
      </c>
      <c r="H2404" t="s">
        <v>8140</v>
      </c>
      <c r="I2404" t="b">
        <v>1</v>
      </c>
      <c r="J2404">
        <v>159</v>
      </c>
      <c r="K2404">
        <v>1296</v>
      </c>
      <c r="L2404">
        <v>443</v>
      </c>
      <c r="M2404">
        <f>COUNTIF(H2404:$H$2581,H2404)</f>
        <v>33</v>
      </c>
    </row>
    <row r="2405" spans="1:13" x14ac:dyDescent="0.2">
      <c r="A2405">
        <v>1802</v>
      </c>
      <c r="B2405" t="s">
        <v>1287</v>
      </c>
      <c r="C2405" t="s">
        <v>6923</v>
      </c>
      <c r="D2405" t="s">
        <v>13</v>
      </c>
      <c r="E2405" s="1" t="s">
        <v>6924</v>
      </c>
      <c r="F2405" t="s">
        <v>1290</v>
      </c>
      <c r="G2405" t="s">
        <v>6925</v>
      </c>
      <c r="H2405" t="s">
        <v>8140</v>
      </c>
      <c r="I2405" t="s">
        <v>24</v>
      </c>
      <c r="J2405">
        <v>210</v>
      </c>
      <c r="K2405">
        <v>1803</v>
      </c>
      <c r="L2405">
        <v>573</v>
      </c>
      <c r="M2405">
        <f>COUNTIF(H2405:$H$2581,H2405)</f>
        <v>32</v>
      </c>
    </row>
    <row r="2406" spans="1:13" x14ac:dyDescent="0.2">
      <c r="A2406">
        <v>8</v>
      </c>
      <c r="B2406" t="s">
        <v>449</v>
      </c>
      <c r="C2406" t="s">
        <v>6927</v>
      </c>
      <c r="D2406" t="s">
        <v>13</v>
      </c>
      <c r="E2406" t="s">
        <v>6928</v>
      </c>
      <c r="F2406" t="s">
        <v>452</v>
      </c>
      <c r="G2406" t="s">
        <v>6929</v>
      </c>
      <c r="H2406" t="s">
        <v>8140</v>
      </c>
      <c r="I2406" t="s">
        <v>24</v>
      </c>
      <c r="J2406">
        <v>2</v>
      </c>
      <c r="K2406">
        <v>9</v>
      </c>
      <c r="L2406">
        <v>8</v>
      </c>
      <c r="M2406">
        <f>COUNTIF(H2406:$H$2581,H2406)</f>
        <v>31</v>
      </c>
    </row>
    <row r="2407" spans="1:13" x14ac:dyDescent="0.2">
      <c r="A2407">
        <v>2342</v>
      </c>
      <c r="B2407" t="s">
        <v>900</v>
      </c>
      <c r="C2407" t="s">
        <v>6935</v>
      </c>
      <c r="D2407" t="s">
        <v>54</v>
      </c>
      <c r="E2407" t="s">
        <v>6936</v>
      </c>
      <c r="F2407" t="s">
        <v>903</v>
      </c>
      <c r="G2407" t="s">
        <v>6937</v>
      </c>
      <c r="H2407" t="s">
        <v>8140</v>
      </c>
      <c r="I2407" t="b">
        <v>0</v>
      </c>
      <c r="J2407">
        <v>274</v>
      </c>
      <c r="K2407">
        <v>2343</v>
      </c>
      <c r="L2407">
        <v>621</v>
      </c>
      <c r="M2407">
        <f>COUNTIF(H2407:$H$2581,H2407)</f>
        <v>30</v>
      </c>
    </row>
    <row r="2408" spans="1:13" x14ac:dyDescent="0.2">
      <c r="A2408">
        <v>2097</v>
      </c>
      <c r="B2408" t="s">
        <v>255</v>
      </c>
      <c r="C2408" t="s">
        <v>6951</v>
      </c>
      <c r="D2408" t="s">
        <v>54</v>
      </c>
      <c r="E2408" t="s">
        <v>6952</v>
      </c>
      <c r="F2408" t="s">
        <v>258</v>
      </c>
      <c r="G2408" t="s">
        <v>6953</v>
      </c>
      <c r="H2408" t="s">
        <v>8140</v>
      </c>
      <c r="I2408" t="s">
        <v>24</v>
      </c>
      <c r="J2408">
        <v>242</v>
      </c>
      <c r="K2408">
        <v>2098</v>
      </c>
      <c r="L2408">
        <v>126</v>
      </c>
      <c r="M2408">
        <f>COUNTIF(H2408:$H$2581,H2408)</f>
        <v>29</v>
      </c>
    </row>
    <row r="2409" spans="1:13" x14ac:dyDescent="0.2">
      <c r="A2409">
        <v>2068</v>
      </c>
      <c r="B2409" t="s">
        <v>1965</v>
      </c>
      <c r="C2409" t="s">
        <v>6954</v>
      </c>
      <c r="D2409" t="s">
        <v>13</v>
      </c>
      <c r="E2409" t="s">
        <v>6955</v>
      </c>
      <c r="F2409" t="s">
        <v>1968</v>
      </c>
      <c r="G2409" t="s">
        <v>6956</v>
      </c>
      <c r="H2409" t="s">
        <v>8140</v>
      </c>
      <c r="I2409" t="b">
        <v>1</v>
      </c>
      <c r="J2409">
        <v>240</v>
      </c>
      <c r="K2409">
        <v>2069</v>
      </c>
      <c r="L2409">
        <v>630</v>
      </c>
      <c r="M2409">
        <f>COUNTIF(H2409:$H$2581,H2409)</f>
        <v>28</v>
      </c>
    </row>
    <row r="2410" spans="1:13" x14ac:dyDescent="0.2">
      <c r="A2410">
        <v>2274</v>
      </c>
      <c r="B2410" t="s">
        <v>6958</v>
      </c>
      <c r="C2410" t="s">
        <v>6959</v>
      </c>
      <c r="D2410" t="s">
        <v>13</v>
      </c>
      <c r="E2410" t="s">
        <v>6960</v>
      </c>
      <c r="F2410" t="s">
        <v>6961</v>
      </c>
      <c r="G2410" t="s">
        <v>6962</v>
      </c>
      <c r="H2410" t="s">
        <v>8140</v>
      </c>
      <c r="I2410" t="b">
        <v>1</v>
      </c>
      <c r="J2410">
        <v>266</v>
      </c>
      <c r="K2410">
        <v>2275</v>
      </c>
      <c r="L2410">
        <v>669</v>
      </c>
      <c r="M2410">
        <f>COUNTIF(H2410:$H$2581,H2410)</f>
        <v>27</v>
      </c>
    </row>
    <row r="2411" spans="1:13" x14ac:dyDescent="0.2">
      <c r="A2411">
        <v>1369</v>
      </c>
      <c r="B2411" t="s">
        <v>603</v>
      </c>
      <c r="C2411" t="s">
        <v>6964</v>
      </c>
      <c r="D2411" t="s">
        <v>13</v>
      </c>
      <c r="E2411" t="s">
        <v>6965</v>
      </c>
      <c r="F2411" t="s">
        <v>606</v>
      </c>
      <c r="G2411" t="s">
        <v>6966</v>
      </c>
      <c r="H2411" t="s">
        <v>8140</v>
      </c>
      <c r="I2411" t="s">
        <v>24</v>
      </c>
      <c r="J2411">
        <v>166</v>
      </c>
      <c r="K2411">
        <v>1370</v>
      </c>
      <c r="L2411">
        <v>458</v>
      </c>
      <c r="M2411">
        <f>COUNTIF(H2411:$H$2581,H2411)</f>
        <v>26</v>
      </c>
    </row>
    <row r="2412" spans="1:13" x14ac:dyDescent="0.2">
      <c r="A2412">
        <v>2360</v>
      </c>
      <c r="B2412" t="s">
        <v>504</v>
      </c>
      <c r="C2412" t="s">
        <v>6968</v>
      </c>
      <c r="D2412" t="s">
        <v>13</v>
      </c>
      <c r="E2412" t="s">
        <v>6969</v>
      </c>
      <c r="F2412" t="s">
        <v>507</v>
      </c>
      <c r="G2412" t="s">
        <v>6970</v>
      </c>
      <c r="H2412" t="s">
        <v>8140</v>
      </c>
      <c r="I2412" t="s">
        <v>24</v>
      </c>
      <c r="J2412">
        <v>275</v>
      </c>
      <c r="K2412">
        <v>2361</v>
      </c>
      <c r="L2412">
        <v>690</v>
      </c>
      <c r="M2412">
        <f>COUNTIF(H2412:$H$2581,H2412)</f>
        <v>25</v>
      </c>
    </row>
    <row r="2413" spans="1:13" x14ac:dyDescent="0.2">
      <c r="A2413">
        <v>2209</v>
      </c>
      <c r="B2413" t="s">
        <v>3041</v>
      </c>
      <c r="C2413" t="s">
        <v>6972</v>
      </c>
      <c r="D2413" t="s">
        <v>13</v>
      </c>
      <c r="E2413" t="s">
        <v>6973</v>
      </c>
      <c r="F2413" t="s">
        <v>3044</v>
      </c>
      <c r="G2413" t="s">
        <v>6974</v>
      </c>
      <c r="H2413" t="s">
        <v>8140</v>
      </c>
      <c r="I2413" t="b">
        <v>0</v>
      </c>
      <c r="J2413">
        <v>259</v>
      </c>
      <c r="K2413">
        <v>2210</v>
      </c>
      <c r="L2413">
        <v>650</v>
      </c>
      <c r="M2413">
        <f>COUNTIF(H2413:$H$2581,H2413)</f>
        <v>24</v>
      </c>
    </row>
    <row r="2414" spans="1:13" x14ac:dyDescent="0.2">
      <c r="A2414">
        <v>2574</v>
      </c>
      <c r="B2414" t="s">
        <v>226</v>
      </c>
      <c r="C2414" t="s">
        <v>7007</v>
      </c>
      <c r="D2414" t="s">
        <v>13</v>
      </c>
      <c r="E2414" t="s">
        <v>7008</v>
      </c>
      <c r="F2414" t="s">
        <v>229</v>
      </c>
      <c r="G2414" t="s">
        <v>7009</v>
      </c>
      <c r="H2414" t="s">
        <v>8140</v>
      </c>
      <c r="I2414" t="b">
        <v>1</v>
      </c>
      <c r="J2414">
        <v>299</v>
      </c>
      <c r="K2414">
        <v>2575</v>
      </c>
      <c r="L2414">
        <v>107</v>
      </c>
      <c r="M2414">
        <f>COUNTIF(H2414:$H$2581,H2414)</f>
        <v>23</v>
      </c>
    </row>
    <row r="2415" spans="1:13" x14ac:dyDescent="0.2">
      <c r="A2415">
        <v>451</v>
      </c>
      <c r="B2415" t="s">
        <v>778</v>
      </c>
      <c r="C2415" t="s">
        <v>7010</v>
      </c>
      <c r="D2415" t="s">
        <v>54</v>
      </c>
      <c r="E2415" t="s">
        <v>7011</v>
      </c>
      <c r="F2415" t="s">
        <v>781</v>
      </c>
      <c r="G2415" t="s">
        <v>7012</v>
      </c>
      <c r="H2415" t="s">
        <v>8140</v>
      </c>
      <c r="I2415" t="b">
        <v>0</v>
      </c>
      <c r="J2415">
        <v>64</v>
      </c>
      <c r="K2415">
        <v>452</v>
      </c>
      <c r="L2415">
        <v>201</v>
      </c>
      <c r="M2415">
        <f>COUNTIF(H2415:$H$2581,H2415)</f>
        <v>22</v>
      </c>
    </row>
    <row r="2416" spans="1:13" x14ac:dyDescent="0.2">
      <c r="A2416">
        <v>1803</v>
      </c>
      <c r="B2416" t="s">
        <v>1287</v>
      </c>
      <c r="C2416" t="s">
        <v>7014</v>
      </c>
      <c r="D2416" t="s">
        <v>13</v>
      </c>
      <c r="E2416" t="s">
        <v>7015</v>
      </c>
      <c r="F2416" t="s">
        <v>1290</v>
      </c>
      <c r="G2416" t="s">
        <v>7016</v>
      </c>
      <c r="H2416" t="s">
        <v>8140</v>
      </c>
      <c r="I2416" t="s">
        <v>24</v>
      </c>
      <c r="J2416">
        <v>210</v>
      </c>
      <c r="K2416">
        <v>1804</v>
      </c>
      <c r="L2416">
        <v>574</v>
      </c>
      <c r="M2416">
        <f>COUNTIF(H2416:$H$2581,H2416)</f>
        <v>21</v>
      </c>
    </row>
    <row r="2417" spans="1:13" x14ac:dyDescent="0.2">
      <c r="A2417">
        <v>2540</v>
      </c>
      <c r="B2417" t="s">
        <v>754</v>
      </c>
      <c r="C2417" t="s">
        <v>7124</v>
      </c>
      <c r="D2417" t="s">
        <v>33</v>
      </c>
      <c r="E2417" t="s">
        <v>7125</v>
      </c>
      <c r="F2417" t="s">
        <v>757</v>
      </c>
      <c r="G2417" t="s">
        <v>7126</v>
      </c>
      <c r="H2417" t="s">
        <v>8140</v>
      </c>
      <c r="I2417" t="b">
        <v>0</v>
      </c>
      <c r="J2417">
        <v>294</v>
      </c>
      <c r="K2417">
        <v>2541</v>
      </c>
      <c r="L2417">
        <v>14</v>
      </c>
      <c r="M2417">
        <f>COUNTIF(H2417:$H$2581,H2417)</f>
        <v>20</v>
      </c>
    </row>
    <row r="2418" spans="1:13" x14ac:dyDescent="0.2">
      <c r="A2418">
        <v>1907</v>
      </c>
      <c r="B2418" t="s">
        <v>872</v>
      </c>
      <c r="C2418" t="s">
        <v>7131</v>
      </c>
      <c r="D2418" t="s">
        <v>13</v>
      </c>
      <c r="E2418" t="s">
        <v>7132</v>
      </c>
      <c r="F2418" t="s">
        <v>875</v>
      </c>
      <c r="G2418" t="s">
        <v>7133</v>
      </c>
      <c r="H2418" t="s">
        <v>8140</v>
      </c>
      <c r="I2418" t="b">
        <v>0</v>
      </c>
      <c r="J2418">
        <v>222</v>
      </c>
      <c r="K2418">
        <v>1908</v>
      </c>
      <c r="L2418">
        <v>429</v>
      </c>
      <c r="M2418">
        <f>COUNTIF(H2418:$H$2581,H2418)</f>
        <v>19</v>
      </c>
    </row>
    <row r="2419" spans="1:13" x14ac:dyDescent="0.2">
      <c r="A2419">
        <v>2293</v>
      </c>
      <c r="B2419" t="s">
        <v>1070</v>
      </c>
      <c r="C2419" t="s">
        <v>7171</v>
      </c>
      <c r="D2419" t="s">
        <v>13</v>
      </c>
      <c r="E2419" t="s">
        <v>7172</v>
      </c>
      <c r="F2419" t="s">
        <v>1073</v>
      </c>
      <c r="G2419" t="s">
        <v>7173</v>
      </c>
      <c r="H2419" t="s">
        <v>8140</v>
      </c>
      <c r="I2419" t="b">
        <v>1</v>
      </c>
      <c r="J2419">
        <v>268</v>
      </c>
      <c r="K2419">
        <v>2294</v>
      </c>
      <c r="L2419">
        <v>281</v>
      </c>
      <c r="M2419">
        <f>COUNTIF(H2419:$H$2581,H2419)</f>
        <v>18</v>
      </c>
    </row>
    <row r="2420" spans="1:13" x14ac:dyDescent="0.2">
      <c r="A2420">
        <v>1593</v>
      </c>
      <c r="B2420" t="s">
        <v>211</v>
      </c>
      <c r="C2420" t="s">
        <v>7174</v>
      </c>
      <c r="D2420" t="s">
        <v>13</v>
      </c>
      <c r="E2420" t="s">
        <v>7175</v>
      </c>
      <c r="F2420" t="s">
        <v>214</v>
      </c>
      <c r="G2420" t="s">
        <v>7176</v>
      </c>
      <c r="H2420" t="s">
        <v>8140</v>
      </c>
      <c r="I2420" t="s">
        <v>24</v>
      </c>
      <c r="J2420">
        <v>195</v>
      </c>
      <c r="K2420">
        <v>1594</v>
      </c>
      <c r="L2420">
        <v>532</v>
      </c>
      <c r="M2420">
        <f>COUNTIF(H2420:$H$2581,H2420)</f>
        <v>17</v>
      </c>
    </row>
    <row r="2421" spans="1:13" x14ac:dyDescent="0.2">
      <c r="A2421">
        <v>1832</v>
      </c>
      <c r="B2421" t="s">
        <v>1589</v>
      </c>
      <c r="C2421" t="s">
        <v>7178</v>
      </c>
      <c r="D2421" t="s">
        <v>54</v>
      </c>
      <c r="E2421" t="s">
        <v>7179</v>
      </c>
      <c r="F2421" t="s">
        <v>1592</v>
      </c>
      <c r="G2421" t="s">
        <v>7180</v>
      </c>
      <c r="H2421" t="s">
        <v>8140</v>
      </c>
      <c r="I2421" t="s">
        <v>24</v>
      </c>
      <c r="J2421">
        <v>213</v>
      </c>
      <c r="K2421">
        <v>1833</v>
      </c>
      <c r="L2421">
        <v>583</v>
      </c>
      <c r="M2421">
        <f>COUNTIF(H2421:$H$2581,H2421)</f>
        <v>16</v>
      </c>
    </row>
    <row r="2422" spans="1:13" x14ac:dyDescent="0.2">
      <c r="A2422">
        <v>1577</v>
      </c>
      <c r="B2422" t="s">
        <v>744</v>
      </c>
      <c r="C2422" t="s">
        <v>7182</v>
      </c>
      <c r="D2422" t="s">
        <v>13</v>
      </c>
      <c r="E2422" t="s">
        <v>7183</v>
      </c>
      <c r="F2422" t="s">
        <v>747</v>
      </c>
      <c r="G2422" t="s">
        <v>7184</v>
      </c>
      <c r="H2422" t="s">
        <v>8140</v>
      </c>
      <c r="I2422" t="b">
        <v>0</v>
      </c>
      <c r="J2422">
        <v>193</v>
      </c>
      <c r="K2422">
        <v>1578</v>
      </c>
      <c r="L2422">
        <v>526</v>
      </c>
      <c r="M2422">
        <f>COUNTIF(H2422:$H$2581,H2422)</f>
        <v>15</v>
      </c>
    </row>
    <row r="2423" spans="1:13" x14ac:dyDescent="0.2">
      <c r="A2423">
        <v>760</v>
      </c>
      <c r="B2423" t="s">
        <v>1868</v>
      </c>
      <c r="C2423" t="s">
        <v>7186</v>
      </c>
      <c r="D2423" t="s">
        <v>13</v>
      </c>
      <c r="E2423" t="s">
        <v>7187</v>
      </c>
      <c r="F2423" t="s">
        <v>1871</v>
      </c>
      <c r="G2423" t="s">
        <v>7188</v>
      </c>
      <c r="H2423" t="s">
        <v>8140</v>
      </c>
      <c r="I2423" t="s">
        <v>24</v>
      </c>
      <c r="J2423">
        <v>107</v>
      </c>
      <c r="K2423">
        <v>761</v>
      </c>
      <c r="L2423">
        <v>306</v>
      </c>
      <c r="M2423">
        <f>COUNTIF(H2423:$H$2581,H2423)</f>
        <v>14</v>
      </c>
    </row>
    <row r="2424" spans="1:13" x14ac:dyDescent="0.2">
      <c r="A2424">
        <v>2511</v>
      </c>
      <c r="B2424" t="s">
        <v>481</v>
      </c>
      <c r="C2424" t="s">
        <v>7218</v>
      </c>
      <c r="D2424" t="s">
        <v>13</v>
      </c>
      <c r="E2424" t="s">
        <v>7219</v>
      </c>
      <c r="F2424" t="s">
        <v>484</v>
      </c>
      <c r="G2424" t="s">
        <v>7220</v>
      </c>
      <c r="H2424" t="s">
        <v>8140</v>
      </c>
      <c r="I2424" t="s">
        <v>24</v>
      </c>
      <c r="J2424">
        <v>291</v>
      </c>
      <c r="K2424">
        <v>2512</v>
      </c>
      <c r="L2424">
        <v>362</v>
      </c>
      <c r="M2424">
        <f>COUNTIF(H2424:$H$2581,H2424)</f>
        <v>13</v>
      </c>
    </row>
    <row r="2425" spans="1:13" x14ac:dyDescent="0.2">
      <c r="A2425">
        <v>2499</v>
      </c>
      <c r="B2425" t="s">
        <v>249</v>
      </c>
      <c r="C2425" t="s">
        <v>1995</v>
      </c>
      <c r="D2425" t="s">
        <v>13</v>
      </c>
      <c r="E2425" t="s">
        <v>7221</v>
      </c>
      <c r="F2425" t="s">
        <v>252</v>
      </c>
      <c r="G2425" t="s">
        <v>7222</v>
      </c>
      <c r="H2425" t="s">
        <v>8140</v>
      </c>
      <c r="I2425" t="b">
        <v>0</v>
      </c>
      <c r="J2425">
        <v>290</v>
      </c>
      <c r="K2425">
        <v>2500</v>
      </c>
      <c r="L2425">
        <v>711</v>
      </c>
      <c r="M2425">
        <f>COUNTIF(H2425:$H$2581,H2425)</f>
        <v>12</v>
      </c>
    </row>
    <row r="2426" spans="1:13" x14ac:dyDescent="0.2">
      <c r="A2426">
        <v>608</v>
      </c>
      <c r="B2426" t="s">
        <v>1097</v>
      </c>
      <c r="C2426" t="s">
        <v>7224</v>
      </c>
      <c r="D2426" t="s">
        <v>33</v>
      </c>
      <c r="E2426" t="s">
        <v>7225</v>
      </c>
      <c r="F2426" t="s">
        <v>1100</v>
      </c>
      <c r="G2426" t="s">
        <v>7226</v>
      </c>
      <c r="H2426" t="s">
        <v>8140</v>
      </c>
      <c r="I2426" t="b">
        <v>0</v>
      </c>
      <c r="J2426">
        <v>90</v>
      </c>
      <c r="K2426">
        <v>609</v>
      </c>
      <c r="L2426">
        <v>267</v>
      </c>
      <c r="M2426">
        <f>COUNTIF(H2426:$H$2581,H2426)</f>
        <v>11</v>
      </c>
    </row>
    <row r="2427" spans="1:13" x14ac:dyDescent="0.2">
      <c r="A2427">
        <v>1608</v>
      </c>
      <c r="B2427" t="s">
        <v>1548</v>
      </c>
      <c r="C2427" t="s">
        <v>7228</v>
      </c>
      <c r="D2427" t="s">
        <v>33</v>
      </c>
      <c r="E2427" t="s">
        <v>7229</v>
      </c>
      <c r="F2427" t="s">
        <v>1551</v>
      </c>
      <c r="G2427" t="s">
        <v>7230</v>
      </c>
      <c r="H2427" t="s">
        <v>8140</v>
      </c>
      <c r="I2427" t="b">
        <v>0</v>
      </c>
      <c r="J2427">
        <v>196</v>
      </c>
      <c r="K2427">
        <v>1609</v>
      </c>
      <c r="L2427">
        <v>542</v>
      </c>
      <c r="M2427">
        <f>COUNTIF(H2427:$H$2581,H2427)</f>
        <v>10</v>
      </c>
    </row>
    <row r="2428" spans="1:13" x14ac:dyDescent="0.2">
      <c r="A2428">
        <v>2157</v>
      </c>
      <c r="B2428" t="s">
        <v>160</v>
      </c>
      <c r="C2428" t="s">
        <v>7239</v>
      </c>
      <c r="D2428" t="s">
        <v>54</v>
      </c>
      <c r="E2428" t="s">
        <v>7240</v>
      </c>
      <c r="F2428" t="s">
        <v>163</v>
      </c>
      <c r="G2428" t="s">
        <v>7241</v>
      </c>
      <c r="H2428" t="s">
        <v>8140</v>
      </c>
      <c r="I2428" t="b">
        <v>0</v>
      </c>
      <c r="J2428">
        <v>251</v>
      </c>
      <c r="K2428">
        <v>2158</v>
      </c>
      <c r="L2428">
        <v>559</v>
      </c>
      <c r="M2428">
        <f>COUNTIF(H2428:$H$2581,H2428)</f>
        <v>9</v>
      </c>
    </row>
    <row r="2429" spans="1:13" x14ac:dyDescent="0.2">
      <c r="A2429">
        <v>1654</v>
      </c>
      <c r="B2429" t="s">
        <v>3361</v>
      </c>
      <c r="C2429" t="s">
        <v>7246</v>
      </c>
      <c r="D2429" t="s">
        <v>13</v>
      </c>
      <c r="E2429" t="s">
        <v>7247</v>
      </c>
      <c r="F2429" t="s">
        <v>3364</v>
      </c>
      <c r="G2429" t="s">
        <v>7248</v>
      </c>
      <c r="H2429" t="s">
        <v>8140</v>
      </c>
      <c r="I2429" t="b">
        <v>0</v>
      </c>
      <c r="J2429">
        <v>198</v>
      </c>
      <c r="K2429">
        <v>1655</v>
      </c>
      <c r="L2429">
        <v>93</v>
      </c>
      <c r="M2429">
        <f>COUNTIF(H2429:$H$2581,H2429)</f>
        <v>8</v>
      </c>
    </row>
    <row r="2430" spans="1:13" x14ac:dyDescent="0.2">
      <c r="A2430">
        <v>2022</v>
      </c>
      <c r="B2430" t="s">
        <v>444</v>
      </c>
      <c r="C2430" t="s">
        <v>7262</v>
      </c>
      <c r="D2430" t="s">
        <v>54</v>
      </c>
      <c r="E2430" t="s">
        <v>7263</v>
      </c>
      <c r="F2430" t="s">
        <v>447</v>
      </c>
      <c r="G2430" t="s">
        <v>7264</v>
      </c>
      <c r="H2430" t="s">
        <v>8140</v>
      </c>
      <c r="I2430" t="s">
        <v>24</v>
      </c>
      <c r="J2430">
        <v>233</v>
      </c>
      <c r="K2430">
        <v>2023</v>
      </c>
      <c r="L2430">
        <v>108</v>
      </c>
      <c r="M2430">
        <f>COUNTIF(H2430:$H$2581,H2430)</f>
        <v>7</v>
      </c>
    </row>
    <row r="2431" spans="1:13" x14ac:dyDescent="0.2">
      <c r="A2431">
        <v>1804</v>
      </c>
      <c r="B2431" t="s">
        <v>1287</v>
      </c>
      <c r="C2431" t="s">
        <v>7265</v>
      </c>
      <c r="D2431" t="s">
        <v>33</v>
      </c>
      <c r="E2431" t="s">
        <v>7266</v>
      </c>
      <c r="F2431" t="s">
        <v>1290</v>
      </c>
      <c r="G2431" t="s">
        <v>7267</v>
      </c>
      <c r="H2431" t="s">
        <v>8140</v>
      </c>
      <c r="I2431" t="s">
        <v>24</v>
      </c>
      <c r="J2431">
        <v>210</v>
      </c>
      <c r="K2431">
        <v>1805</v>
      </c>
      <c r="L2431">
        <v>575</v>
      </c>
      <c r="M2431">
        <f>COUNTIF(H2431:$H$2581,H2431)</f>
        <v>6</v>
      </c>
    </row>
    <row r="2432" spans="1:13" x14ac:dyDescent="0.2">
      <c r="A2432">
        <v>1947</v>
      </c>
      <c r="B2432" t="s">
        <v>439</v>
      </c>
      <c r="C2432" t="s">
        <v>7273</v>
      </c>
      <c r="D2432" t="s">
        <v>33</v>
      </c>
      <c r="E2432" t="s">
        <v>7274</v>
      </c>
      <c r="F2432" t="s">
        <v>442</v>
      </c>
      <c r="G2432" t="s">
        <v>7275</v>
      </c>
      <c r="H2432" t="s">
        <v>8140</v>
      </c>
      <c r="I2432" t="b">
        <v>0</v>
      </c>
      <c r="J2432">
        <v>224</v>
      </c>
      <c r="K2432">
        <v>1948</v>
      </c>
      <c r="L2432">
        <v>228</v>
      </c>
      <c r="M2432">
        <f>COUNTIF(H2432:$H$2581,H2432)</f>
        <v>5</v>
      </c>
    </row>
    <row r="2433" spans="1:13" x14ac:dyDescent="0.2">
      <c r="A2433">
        <v>2251</v>
      </c>
      <c r="B2433" t="s">
        <v>411</v>
      </c>
      <c r="C2433" t="s">
        <v>7280</v>
      </c>
      <c r="D2433" t="s">
        <v>54</v>
      </c>
      <c r="E2433" t="s">
        <v>7281</v>
      </c>
      <c r="F2433" t="s">
        <v>414</v>
      </c>
      <c r="G2433" t="s">
        <v>7282</v>
      </c>
      <c r="H2433" t="s">
        <v>8140</v>
      </c>
      <c r="I2433" t="s">
        <v>24</v>
      </c>
      <c r="J2433">
        <v>262</v>
      </c>
      <c r="K2433">
        <v>2252</v>
      </c>
      <c r="L2433">
        <v>194</v>
      </c>
      <c r="M2433">
        <f>COUNTIF(H2433:$H$2581,H2433)</f>
        <v>4</v>
      </c>
    </row>
    <row r="2434" spans="1:13" x14ac:dyDescent="0.2">
      <c r="A2434">
        <v>1224</v>
      </c>
      <c r="B2434" t="s">
        <v>4204</v>
      </c>
      <c r="C2434" t="s">
        <v>7283</v>
      </c>
      <c r="D2434" t="s">
        <v>13</v>
      </c>
      <c r="E2434" t="s">
        <v>7284</v>
      </c>
      <c r="F2434" t="s">
        <v>4207</v>
      </c>
      <c r="G2434" t="s">
        <v>7285</v>
      </c>
      <c r="H2434" t="s">
        <v>8140</v>
      </c>
      <c r="I2434" t="s">
        <v>24</v>
      </c>
      <c r="J2434">
        <v>150</v>
      </c>
      <c r="K2434">
        <v>1225</v>
      </c>
      <c r="L2434">
        <v>420</v>
      </c>
      <c r="M2434">
        <f>COUNTIF(H2434:$H$2581,H2434)</f>
        <v>3</v>
      </c>
    </row>
    <row r="2435" spans="1:13" x14ac:dyDescent="0.2">
      <c r="A2435">
        <v>1471</v>
      </c>
      <c r="B2435" t="s">
        <v>736</v>
      </c>
      <c r="C2435" t="s">
        <v>7287</v>
      </c>
      <c r="D2435" t="s">
        <v>13</v>
      </c>
      <c r="E2435" t="s">
        <v>7288</v>
      </c>
      <c r="F2435" t="s">
        <v>739</v>
      </c>
      <c r="G2435" t="s">
        <v>7289</v>
      </c>
      <c r="H2435" t="s">
        <v>8140</v>
      </c>
      <c r="I2435" t="s">
        <v>24</v>
      </c>
      <c r="J2435">
        <v>178</v>
      </c>
      <c r="K2435">
        <v>1472</v>
      </c>
      <c r="L2435">
        <v>498</v>
      </c>
      <c r="M2435">
        <f>COUNTIF(H2435:$H$2581,H2435)</f>
        <v>2</v>
      </c>
    </row>
    <row r="2436" spans="1:13" x14ac:dyDescent="0.2">
      <c r="A2436">
        <v>2185</v>
      </c>
      <c r="B2436" t="s">
        <v>1180</v>
      </c>
      <c r="C2436" t="s">
        <v>7291</v>
      </c>
      <c r="D2436" t="s">
        <v>13</v>
      </c>
      <c r="E2436" t="s">
        <v>7292</v>
      </c>
      <c r="F2436" t="s">
        <v>1183</v>
      </c>
      <c r="G2436" t="s">
        <v>7293</v>
      </c>
      <c r="H2436" t="s">
        <v>8140</v>
      </c>
      <c r="I2436" t="b">
        <v>1</v>
      </c>
      <c r="J2436">
        <v>256</v>
      </c>
      <c r="K2436">
        <v>2186</v>
      </c>
      <c r="L2436">
        <v>648</v>
      </c>
      <c r="M2436">
        <f>COUNTIF(H2436:$H$2581,H2436)</f>
        <v>1</v>
      </c>
    </row>
    <row r="2437" spans="1:13" x14ac:dyDescent="0.2">
      <c r="A2437">
        <v>2395</v>
      </c>
      <c r="B2437" t="s">
        <v>2316</v>
      </c>
      <c r="C2437" t="s">
        <v>7308</v>
      </c>
      <c r="D2437" t="s">
        <v>13</v>
      </c>
      <c r="E2437" t="s">
        <v>7309</v>
      </c>
      <c r="F2437" t="s">
        <v>2319</v>
      </c>
      <c r="G2437" t="s">
        <v>7310</v>
      </c>
      <c r="H2437" t="s">
        <v>8250</v>
      </c>
      <c r="I2437" t="b">
        <v>1</v>
      </c>
      <c r="J2437">
        <v>279</v>
      </c>
      <c r="K2437">
        <v>2396</v>
      </c>
      <c r="L2437">
        <v>341</v>
      </c>
      <c r="M2437">
        <f>COUNTIF(H2437:$H$2581,H2437)</f>
        <v>1</v>
      </c>
    </row>
    <row r="2438" spans="1:13" x14ac:dyDescent="0.2">
      <c r="A2438">
        <v>908</v>
      </c>
      <c r="B2438" t="s">
        <v>198</v>
      </c>
      <c r="C2438" t="s">
        <v>7311</v>
      </c>
      <c r="D2438" t="s">
        <v>33</v>
      </c>
      <c r="E2438" t="s">
        <v>7312</v>
      </c>
      <c r="F2438" t="s">
        <v>201</v>
      </c>
      <c r="G2438" t="s">
        <v>7313</v>
      </c>
      <c r="H2438" t="s">
        <v>8257</v>
      </c>
      <c r="I2438" t="b">
        <v>0</v>
      </c>
      <c r="J2438">
        <v>120</v>
      </c>
      <c r="K2438">
        <v>909</v>
      </c>
      <c r="L2438">
        <v>342</v>
      </c>
      <c r="M2438">
        <f>COUNTIF(H2438:$H$2581,H2438)</f>
        <v>1</v>
      </c>
    </row>
    <row r="2439" spans="1:13" x14ac:dyDescent="0.2">
      <c r="A2439">
        <v>1783</v>
      </c>
      <c r="B2439" t="s">
        <v>216</v>
      </c>
      <c r="C2439" t="s">
        <v>7322</v>
      </c>
      <c r="D2439" t="s">
        <v>54</v>
      </c>
      <c r="E2439" t="s">
        <v>7323</v>
      </c>
      <c r="F2439" t="s">
        <v>219</v>
      </c>
      <c r="G2439" t="s">
        <v>7324</v>
      </c>
      <c r="H2439" t="s">
        <v>8296</v>
      </c>
      <c r="I2439" t="b">
        <v>1</v>
      </c>
      <c r="J2439">
        <v>209</v>
      </c>
      <c r="K2439">
        <v>1784</v>
      </c>
      <c r="L2439">
        <v>163</v>
      </c>
      <c r="M2439">
        <f>COUNTIF(H2439:$H$2581,H2439)</f>
        <v>1</v>
      </c>
    </row>
    <row r="2440" spans="1:13" x14ac:dyDescent="0.2">
      <c r="A2440">
        <v>1463</v>
      </c>
      <c r="B2440" t="s">
        <v>243</v>
      </c>
      <c r="C2440" t="s">
        <v>7325</v>
      </c>
      <c r="D2440" t="s">
        <v>33</v>
      </c>
      <c r="E2440" t="s">
        <v>7326</v>
      </c>
      <c r="F2440" t="s">
        <v>246</v>
      </c>
      <c r="G2440" t="s">
        <v>7327</v>
      </c>
      <c r="H2440" t="s">
        <v>8303</v>
      </c>
      <c r="I2440" t="b">
        <v>0</v>
      </c>
      <c r="J2440">
        <v>177</v>
      </c>
      <c r="K2440">
        <v>1464</v>
      </c>
      <c r="L2440">
        <v>497</v>
      </c>
      <c r="M2440">
        <f>COUNTIF(H2440:$H$2581,H2440)</f>
        <v>1</v>
      </c>
    </row>
    <row r="2441" spans="1:13" x14ac:dyDescent="0.2">
      <c r="A2441">
        <v>2550</v>
      </c>
      <c r="B2441" t="s">
        <v>1559</v>
      </c>
      <c r="C2441" t="s">
        <v>7329</v>
      </c>
      <c r="D2441" t="s">
        <v>13</v>
      </c>
      <c r="E2441" t="s">
        <v>7330</v>
      </c>
      <c r="F2441" t="s">
        <v>1562</v>
      </c>
      <c r="G2441" t="s">
        <v>7331</v>
      </c>
      <c r="H2441" t="s">
        <v>8310</v>
      </c>
      <c r="I2441" t="s">
        <v>24</v>
      </c>
      <c r="J2441">
        <v>296</v>
      </c>
      <c r="K2441">
        <v>2551</v>
      </c>
      <c r="L2441">
        <v>720</v>
      </c>
      <c r="M2441">
        <f>COUNTIF(H2441:$H$2581,H2441)</f>
        <v>12</v>
      </c>
    </row>
    <row r="2442" spans="1:13" x14ac:dyDescent="0.2">
      <c r="A2442">
        <v>521</v>
      </c>
      <c r="B2442" t="s">
        <v>509</v>
      </c>
      <c r="C2442" t="s">
        <v>7333</v>
      </c>
      <c r="D2442" t="s">
        <v>33</v>
      </c>
      <c r="E2442" t="s">
        <v>7334</v>
      </c>
      <c r="F2442" t="s">
        <v>512</v>
      </c>
      <c r="G2442" t="s">
        <v>7335</v>
      </c>
      <c r="H2442" t="s">
        <v>8310</v>
      </c>
      <c r="I2442" t="b">
        <v>0</v>
      </c>
      <c r="J2442">
        <v>76</v>
      </c>
      <c r="K2442">
        <v>522</v>
      </c>
      <c r="L2442">
        <v>232</v>
      </c>
      <c r="M2442">
        <f>COUNTIF(H2442:$H$2581,H2442)</f>
        <v>11</v>
      </c>
    </row>
    <row r="2443" spans="1:13" x14ac:dyDescent="0.2">
      <c r="A2443">
        <v>568</v>
      </c>
      <c r="B2443" t="s">
        <v>2797</v>
      </c>
      <c r="C2443" t="s">
        <v>7337</v>
      </c>
      <c r="D2443" t="s">
        <v>33</v>
      </c>
      <c r="E2443" t="s">
        <v>7338</v>
      </c>
      <c r="F2443" t="s">
        <v>2800</v>
      </c>
      <c r="G2443" t="s">
        <v>7339</v>
      </c>
      <c r="H2443" t="s">
        <v>8310</v>
      </c>
      <c r="I2443" t="s">
        <v>24</v>
      </c>
      <c r="J2443">
        <v>84</v>
      </c>
      <c r="K2443">
        <v>569</v>
      </c>
      <c r="L2443">
        <v>249</v>
      </c>
      <c r="M2443">
        <f>COUNTIF(H2443:$H$2581,H2443)</f>
        <v>10</v>
      </c>
    </row>
    <row r="2444" spans="1:13" x14ac:dyDescent="0.2">
      <c r="A2444">
        <v>1866</v>
      </c>
      <c r="B2444" t="s">
        <v>18</v>
      </c>
      <c r="C2444" t="s">
        <v>7341</v>
      </c>
      <c r="D2444" t="s">
        <v>13</v>
      </c>
      <c r="E2444" t="s">
        <v>7342</v>
      </c>
      <c r="F2444" t="s">
        <v>21</v>
      </c>
      <c r="G2444" t="s">
        <v>7343</v>
      </c>
      <c r="H2444" t="s">
        <v>8310</v>
      </c>
      <c r="I2444" t="s">
        <v>24</v>
      </c>
      <c r="J2444">
        <v>217</v>
      </c>
      <c r="K2444">
        <v>1867</v>
      </c>
      <c r="L2444">
        <v>590</v>
      </c>
      <c r="M2444">
        <f>COUNTIF(H2444:$H$2581,H2444)</f>
        <v>9</v>
      </c>
    </row>
    <row r="2445" spans="1:13" x14ac:dyDescent="0.2">
      <c r="A2445">
        <v>187</v>
      </c>
      <c r="B2445" t="s">
        <v>557</v>
      </c>
      <c r="C2445" t="s">
        <v>7345</v>
      </c>
      <c r="D2445" t="s">
        <v>13</v>
      </c>
      <c r="E2445" t="s">
        <v>7346</v>
      </c>
      <c r="F2445" t="s">
        <v>560</v>
      </c>
      <c r="G2445" t="s">
        <v>7347</v>
      </c>
      <c r="H2445" t="s">
        <v>8310</v>
      </c>
      <c r="I2445" t="s">
        <v>24</v>
      </c>
      <c r="J2445">
        <v>34</v>
      </c>
      <c r="K2445">
        <v>188</v>
      </c>
      <c r="L2445">
        <v>89</v>
      </c>
      <c r="M2445">
        <f>COUNTIF(H2445:$H$2581,H2445)</f>
        <v>8</v>
      </c>
    </row>
    <row r="2446" spans="1:13" x14ac:dyDescent="0.2">
      <c r="A2446">
        <v>2397</v>
      </c>
      <c r="B2446" t="s">
        <v>3095</v>
      </c>
      <c r="C2446" t="s">
        <v>7349</v>
      </c>
      <c r="D2446" t="s">
        <v>33</v>
      </c>
      <c r="E2446" t="s">
        <v>7350</v>
      </c>
      <c r="F2446" t="s">
        <v>3098</v>
      </c>
      <c r="G2446" t="s">
        <v>7351</v>
      </c>
      <c r="H2446" t="s">
        <v>8310</v>
      </c>
      <c r="I2446" t="b">
        <v>0</v>
      </c>
      <c r="J2446">
        <v>280</v>
      </c>
      <c r="K2446">
        <v>2398</v>
      </c>
      <c r="L2446">
        <v>698</v>
      </c>
      <c r="M2446">
        <f>COUNTIF(H2446:$H$2581,H2446)</f>
        <v>7</v>
      </c>
    </row>
    <row r="2447" spans="1:13" x14ac:dyDescent="0.2">
      <c r="A2447">
        <v>1578</v>
      </c>
      <c r="B2447" t="s">
        <v>744</v>
      </c>
      <c r="C2447" t="s">
        <v>7353</v>
      </c>
      <c r="D2447" t="s">
        <v>33</v>
      </c>
      <c r="E2447" t="s">
        <v>7354</v>
      </c>
      <c r="F2447" t="s">
        <v>747</v>
      </c>
      <c r="G2447" t="s">
        <v>7355</v>
      </c>
      <c r="H2447" t="s">
        <v>8310</v>
      </c>
      <c r="I2447" t="b">
        <v>0</v>
      </c>
      <c r="J2447">
        <v>193</v>
      </c>
      <c r="K2447">
        <v>1579</v>
      </c>
      <c r="L2447">
        <v>527</v>
      </c>
      <c r="M2447">
        <f>COUNTIF(H2447:$H$2581,H2447)</f>
        <v>6</v>
      </c>
    </row>
    <row r="2448" spans="1:13" x14ac:dyDescent="0.2">
      <c r="A2448">
        <v>2443</v>
      </c>
      <c r="B2448" t="s">
        <v>1327</v>
      </c>
      <c r="C2448" t="s">
        <v>7400</v>
      </c>
      <c r="D2448" t="s">
        <v>54</v>
      </c>
      <c r="E2448" t="s">
        <v>7401</v>
      </c>
      <c r="F2448" t="s">
        <v>1330</v>
      </c>
      <c r="G2448" t="s">
        <v>7402</v>
      </c>
      <c r="H2448" t="s">
        <v>8310</v>
      </c>
      <c r="I2448" t="b">
        <v>0</v>
      </c>
      <c r="J2448">
        <v>283</v>
      </c>
      <c r="K2448">
        <v>2444</v>
      </c>
      <c r="L2448">
        <v>250</v>
      </c>
      <c r="M2448">
        <f>COUNTIF(H2448:$H$2581,H2448)</f>
        <v>5</v>
      </c>
    </row>
    <row r="2449" spans="1:13" x14ac:dyDescent="0.2">
      <c r="A2449">
        <v>1727</v>
      </c>
      <c r="B2449" t="s">
        <v>725</v>
      </c>
      <c r="C2449" t="s">
        <v>7407</v>
      </c>
      <c r="D2449" t="s">
        <v>54</v>
      </c>
      <c r="E2449" t="s">
        <v>7408</v>
      </c>
      <c r="F2449" t="s">
        <v>728</v>
      </c>
      <c r="G2449" t="s">
        <v>7409</v>
      </c>
      <c r="H2449" t="s">
        <v>8310</v>
      </c>
      <c r="I2449" t="b">
        <v>1</v>
      </c>
      <c r="J2449">
        <v>205</v>
      </c>
      <c r="K2449">
        <v>1728</v>
      </c>
      <c r="L2449">
        <v>359</v>
      </c>
      <c r="M2449">
        <f>COUNTIF(H2449:$H$2581,H2449)</f>
        <v>4</v>
      </c>
    </row>
    <row r="2450" spans="1:13" x14ac:dyDescent="0.2">
      <c r="A2450">
        <v>2057</v>
      </c>
      <c r="B2450" t="s">
        <v>1798</v>
      </c>
      <c r="C2450" t="s">
        <v>1828</v>
      </c>
      <c r="D2450" t="s">
        <v>13</v>
      </c>
      <c r="E2450" t="s">
        <v>7410</v>
      </c>
      <c r="F2450" t="s">
        <v>1801</v>
      </c>
      <c r="G2450" t="s">
        <v>7411</v>
      </c>
      <c r="H2450" t="s">
        <v>8310</v>
      </c>
      <c r="I2450" t="b">
        <v>1</v>
      </c>
      <c r="J2450">
        <v>239</v>
      </c>
      <c r="K2450">
        <v>2058</v>
      </c>
      <c r="L2450">
        <v>627</v>
      </c>
      <c r="M2450">
        <f>COUNTIF(H2450:$H$2581,H2450)</f>
        <v>3</v>
      </c>
    </row>
    <row r="2451" spans="1:13" x14ac:dyDescent="0.2">
      <c r="A2451">
        <v>1127</v>
      </c>
      <c r="B2451" t="s">
        <v>625</v>
      </c>
      <c r="C2451" t="s">
        <v>7413</v>
      </c>
      <c r="D2451" t="s">
        <v>54</v>
      </c>
      <c r="E2451" t="s">
        <v>7414</v>
      </c>
      <c r="F2451" t="s">
        <v>628</v>
      </c>
      <c r="G2451" t="s">
        <v>7415</v>
      </c>
      <c r="H2451" t="s">
        <v>8310</v>
      </c>
      <c r="I2451" t="b">
        <v>1</v>
      </c>
      <c r="J2451">
        <v>136</v>
      </c>
      <c r="K2451">
        <v>1128</v>
      </c>
      <c r="L2451">
        <v>390</v>
      </c>
      <c r="M2451">
        <f>COUNTIF(H2451:$H$2581,H2451)</f>
        <v>2</v>
      </c>
    </row>
    <row r="2452" spans="1:13" x14ac:dyDescent="0.2">
      <c r="A2452">
        <v>1805</v>
      </c>
      <c r="B2452" t="s">
        <v>1287</v>
      </c>
      <c r="C2452" t="s">
        <v>7417</v>
      </c>
      <c r="D2452" t="s">
        <v>33</v>
      </c>
      <c r="E2452" t="s">
        <v>7418</v>
      </c>
      <c r="F2452" t="s">
        <v>1290</v>
      </c>
      <c r="G2452" t="s">
        <v>7419</v>
      </c>
      <c r="H2452" t="s">
        <v>8310</v>
      </c>
      <c r="I2452" t="s">
        <v>24</v>
      </c>
      <c r="J2452">
        <v>210</v>
      </c>
      <c r="K2452">
        <v>1806</v>
      </c>
      <c r="L2452">
        <v>576</v>
      </c>
      <c r="M2452">
        <f>COUNTIF(H2452:$H$2581,H2452)</f>
        <v>1</v>
      </c>
    </row>
    <row r="2453" spans="1:13" x14ac:dyDescent="0.2">
      <c r="A2453">
        <v>2345</v>
      </c>
      <c r="B2453" t="s">
        <v>900</v>
      </c>
      <c r="C2453" t="s">
        <v>7421</v>
      </c>
      <c r="D2453" t="s">
        <v>54</v>
      </c>
      <c r="E2453" t="s">
        <v>7422</v>
      </c>
      <c r="F2453" t="s">
        <v>903</v>
      </c>
      <c r="G2453" t="s">
        <v>7423</v>
      </c>
      <c r="H2453" t="s">
        <v>8350</v>
      </c>
      <c r="I2453" t="b">
        <v>0</v>
      </c>
      <c r="J2453">
        <v>274</v>
      </c>
      <c r="K2453">
        <v>2346</v>
      </c>
      <c r="L2453">
        <v>685</v>
      </c>
      <c r="M2453">
        <f>COUNTIF(H2453:$H$2581,H2453)</f>
        <v>1</v>
      </c>
    </row>
    <row r="2454" spans="1:13" x14ac:dyDescent="0.2">
      <c r="A2454">
        <v>1488</v>
      </c>
      <c r="B2454" t="s">
        <v>1773</v>
      </c>
      <c r="C2454" t="s">
        <v>7425</v>
      </c>
      <c r="D2454" t="s">
        <v>13</v>
      </c>
      <c r="E2454" t="s">
        <v>7426</v>
      </c>
      <c r="F2454" t="s">
        <v>1776</v>
      </c>
      <c r="G2454" t="s">
        <v>7427</v>
      </c>
      <c r="H2454" t="s">
        <v>8357</v>
      </c>
      <c r="I2454" t="b">
        <v>0</v>
      </c>
      <c r="J2454">
        <v>180</v>
      </c>
      <c r="K2454">
        <v>1489</v>
      </c>
      <c r="L2454">
        <v>502</v>
      </c>
      <c r="M2454">
        <f>COUNTIF(H2454:$H$2581,H2454)</f>
        <v>3</v>
      </c>
    </row>
    <row r="2455" spans="1:13" x14ac:dyDescent="0.2">
      <c r="A2455">
        <v>1163</v>
      </c>
      <c r="B2455" t="s">
        <v>3573</v>
      </c>
      <c r="C2455" t="s">
        <v>7429</v>
      </c>
      <c r="D2455" t="s">
        <v>13</v>
      </c>
      <c r="E2455" t="s">
        <v>7430</v>
      </c>
      <c r="F2455" t="s">
        <v>3576</v>
      </c>
      <c r="G2455" t="s">
        <v>7431</v>
      </c>
      <c r="H2455" t="s">
        <v>8357</v>
      </c>
      <c r="I2455" t="s">
        <v>24</v>
      </c>
      <c r="J2455">
        <v>142</v>
      </c>
      <c r="K2455">
        <v>1164</v>
      </c>
      <c r="L2455">
        <v>404</v>
      </c>
      <c r="M2455">
        <f>COUNTIF(H2455:$H$2581,H2455)</f>
        <v>2</v>
      </c>
    </row>
    <row r="2456" spans="1:13" x14ac:dyDescent="0.2">
      <c r="A2456">
        <v>1456</v>
      </c>
      <c r="B2456" t="s">
        <v>2651</v>
      </c>
      <c r="C2456" t="s">
        <v>7433</v>
      </c>
      <c r="D2456" t="s">
        <v>54</v>
      </c>
      <c r="E2456" t="s">
        <v>7434</v>
      </c>
      <c r="F2456" t="s">
        <v>2654</v>
      </c>
      <c r="G2456" t="s">
        <v>7435</v>
      </c>
      <c r="H2456" t="s">
        <v>8357</v>
      </c>
      <c r="I2456" t="b">
        <v>0</v>
      </c>
      <c r="J2456">
        <v>176</v>
      </c>
      <c r="K2456">
        <v>1457</v>
      </c>
      <c r="L2456">
        <v>490</v>
      </c>
      <c r="M2456">
        <f>COUNTIF(H2456:$H$2581,H2456)</f>
        <v>1</v>
      </c>
    </row>
    <row r="2457" spans="1:13" x14ac:dyDescent="0.2">
      <c r="A2457">
        <v>309</v>
      </c>
      <c r="B2457" t="s">
        <v>784</v>
      </c>
      <c r="C2457" t="s">
        <v>7437</v>
      </c>
      <c r="D2457" t="s">
        <v>33</v>
      </c>
      <c r="E2457" t="s">
        <v>7438</v>
      </c>
      <c r="F2457" t="s">
        <v>787</v>
      </c>
      <c r="G2457" t="s">
        <v>7439</v>
      </c>
      <c r="H2457" t="s">
        <v>8370</v>
      </c>
      <c r="I2457" t="b">
        <v>0</v>
      </c>
      <c r="J2457">
        <v>45</v>
      </c>
      <c r="K2457">
        <v>310</v>
      </c>
      <c r="L2457">
        <v>144</v>
      </c>
      <c r="M2457">
        <f>COUNTIF(H2457:$H$2581,H2457)</f>
        <v>3</v>
      </c>
    </row>
    <row r="2458" spans="1:13" x14ac:dyDescent="0.2">
      <c r="A2458">
        <v>1213</v>
      </c>
      <c r="B2458" t="s">
        <v>768</v>
      </c>
      <c r="C2458" t="s">
        <v>7472</v>
      </c>
      <c r="D2458" t="s">
        <v>54</v>
      </c>
      <c r="E2458" t="s">
        <v>7473</v>
      </c>
      <c r="F2458" t="s">
        <v>771</v>
      </c>
      <c r="G2458" t="s">
        <v>7474</v>
      </c>
      <c r="H2458" t="s">
        <v>8370</v>
      </c>
      <c r="I2458" t="s">
        <v>24</v>
      </c>
      <c r="J2458">
        <v>148</v>
      </c>
      <c r="K2458">
        <v>1214</v>
      </c>
      <c r="L2458">
        <v>53</v>
      </c>
      <c r="M2458">
        <f>COUNTIF(H2458:$H$2581,H2458)</f>
        <v>2</v>
      </c>
    </row>
    <row r="2459" spans="1:13" x14ac:dyDescent="0.2">
      <c r="A2459">
        <v>2444</v>
      </c>
      <c r="B2459" t="s">
        <v>1327</v>
      </c>
      <c r="C2459" t="s">
        <v>7503</v>
      </c>
      <c r="D2459" t="s">
        <v>33</v>
      </c>
      <c r="E2459" t="s">
        <v>7504</v>
      </c>
      <c r="F2459" t="s">
        <v>1330</v>
      </c>
      <c r="G2459" t="s">
        <v>7505</v>
      </c>
      <c r="H2459" t="s">
        <v>8370</v>
      </c>
      <c r="I2459" t="b">
        <v>0</v>
      </c>
      <c r="J2459">
        <v>283</v>
      </c>
      <c r="K2459">
        <v>2445</v>
      </c>
      <c r="L2459">
        <v>251</v>
      </c>
      <c r="M2459">
        <f>COUNTIF(H2459:$H$2581,H2459)</f>
        <v>1</v>
      </c>
    </row>
    <row r="2460" spans="1:13" x14ac:dyDescent="0.2">
      <c r="A2460">
        <v>2468</v>
      </c>
      <c r="B2460" t="s">
        <v>1411</v>
      </c>
      <c r="C2460" t="s">
        <v>7540</v>
      </c>
      <c r="D2460" t="s">
        <v>54</v>
      </c>
      <c r="E2460" s="1" t="s">
        <v>7541</v>
      </c>
      <c r="F2460" t="s">
        <v>1414</v>
      </c>
      <c r="G2460" t="s">
        <v>7542</v>
      </c>
      <c r="H2460" t="s">
        <v>8383</v>
      </c>
      <c r="I2460" t="b">
        <v>1</v>
      </c>
      <c r="J2460">
        <v>285</v>
      </c>
      <c r="K2460">
        <v>2469</v>
      </c>
      <c r="L2460">
        <v>26</v>
      </c>
      <c r="M2460">
        <f>COUNTIF(H2460:$H$2581,H2460)</f>
        <v>4</v>
      </c>
    </row>
    <row r="2461" spans="1:13" x14ac:dyDescent="0.2">
      <c r="A2461">
        <v>239</v>
      </c>
      <c r="B2461" t="s">
        <v>1120</v>
      </c>
      <c r="C2461" t="s">
        <v>7543</v>
      </c>
      <c r="D2461" t="s">
        <v>13</v>
      </c>
      <c r="E2461" t="s">
        <v>7544</v>
      </c>
      <c r="F2461" s="1" t="s">
        <v>1123</v>
      </c>
      <c r="G2461" t="s">
        <v>7545</v>
      </c>
      <c r="H2461" t="s">
        <v>8383</v>
      </c>
      <c r="I2461" t="b">
        <v>0</v>
      </c>
      <c r="J2461">
        <v>40</v>
      </c>
      <c r="K2461">
        <v>240</v>
      </c>
      <c r="L2461">
        <v>109</v>
      </c>
      <c r="M2461">
        <f>COUNTIF(H2461:$H$2581,H2461)</f>
        <v>3</v>
      </c>
    </row>
    <row r="2462" spans="1:13" x14ac:dyDescent="0.2">
      <c r="A2462">
        <v>2098</v>
      </c>
      <c r="B2462" t="s">
        <v>255</v>
      </c>
      <c r="C2462" t="s">
        <v>7582</v>
      </c>
      <c r="D2462" t="s">
        <v>54</v>
      </c>
      <c r="E2462" t="s">
        <v>7583</v>
      </c>
      <c r="F2462" t="s">
        <v>258</v>
      </c>
      <c r="G2462" t="s">
        <v>7584</v>
      </c>
      <c r="H2462" t="s">
        <v>8383</v>
      </c>
      <c r="I2462" t="s">
        <v>24</v>
      </c>
      <c r="J2462">
        <v>242</v>
      </c>
      <c r="K2462">
        <v>2099</v>
      </c>
      <c r="L2462">
        <v>118</v>
      </c>
      <c r="M2462">
        <f>COUNTIF(H2462:$H$2581,H2462)</f>
        <v>2</v>
      </c>
    </row>
    <row r="2463" spans="1:13" x14ac:dyDescent="0.2">
      <c r="A2463">
        <v>1376</v>
      </c>
      <c r="B2463" t="s">
        <v>603</v>
      </c>
      <c r="C2463" t="s">
        <v>7585</v>
      </c>
      <c r="D2463" t="s">
        <v>33</v>
      </c>
      <c r="E2463" t="s">
        <v>7586</v>
      </c>
      <c r="F2463" t="s">
        <v>606</v>
      </c>
      <c r="G2463" t="s">
        <v>7587</v>
      </c>
      <c r="H2463" t="s">
        <v>8383</v>
      </c>
      <c r="I2463" t="s">
        <v>24</v>
      </c>
      <c r="J2463">
        <v>166</v>
      </c>
      <c r="K2463">
        <v>1377</v>
      </c>
      <c r="L2463">
        <v>459</v>
      </c>
      <c r="M2463">
        <f>COUNTIF(H2463:$H$2581,H2463)</f>
        <v>1</v>
      </c>
    </row>
    <row r="2464" spans="1:13" x14ac:dyDescent="0.2">
      <c r="A2464">
        <v>1377</v>
      </c>
      <c r="B2464" t="s">
        <v>603</v>
      </c>
      <c r="C2464" t="s">
        <v>7589</v>
      </c>
      <c r="D2464" t="s">
        <v>13</v>
      </c>
      <c r="E2464" t="s">
        <v>7590</v>
      </c>
      <c r="F2464" t="s">
        <v>606</v>
      </c>
      <c r="G2464" t="s">
        <v>7591</v>
      </c>
      <c r="H2464" t="s">
        <v>8403</v>
      </c>
      <c r="I2464" t="s">
        <v>24</v>
      </c>
      <c r="J2464">
        <v>166</v>
      </c>
      <c r="K2464">
        <v>1378</v>
      </c>
      <c r="L2464">
        <v>460</v>
      </c>
      <c r="M2464">
        <f>COUNTIF(H2464:$H$2581,H2464)</f>
        <v>2</v>
      </c>
    </row>
    <row r="2465" spans="1:13" x14ac:dyDescent="0.2">
      <c r="A2465">
        <v>1457</v>
      </c>
      <c r="B2465" t="s">
        <v>2651</v>
      </c>
      <c r="C2465" t="s">
        <v>7593</v>
      </c>
      <c r="D2465" t="s">
        <v>54</v>
      </c>
      <c r="E2465" t="s">
        <v>7594</v>
      </c>
      <c r="F2465" t="s">
        <v>2654</v>
      </c>
      <c r="G2465" t="s">
        <v>7595</v>
      </c>
      <c r="H2465" t="s">
        <v>8403</v>
      </c>
      <c r="I2465" t="b">
        <v>0</v>
      </c>
      <c r="J2465">
        <v>176</v>
      </c>
      <c r="K2465">
        <v>1458</v>
      </c>
      <c r="L2465">
        <v>491</v>
      </c>
      <c r="M2465">
        <f>COUNTIF(H2465:$H$2581,H2465)</f>
        <v>1</v>
      </c>
    </row>
    <row r="2466" spans="1:13" x14ac:dyDescent="0.2">
      <c r="A2466">
        <v>1458</v>
      </c>
      <c r="B2466" t="s">
        <v>2651</v>
      </c>
      <c r="C2466" t="s">
        <v>7597</v>
      </c>
      <c r="D2466" t="s">
        <v>33</v>
      </c>
      <c r="E2466" t="s">
        <v>7598</v>
      </c>
      <c r="F2466" t="s">
        <v>2654</v>
      </c>
      <c r="G2466" t="s">
        <v>7599</v>
      </c>
      <c r="H2466" t="s">
        <v>8413</v>
      </c>
      <c r="I2466" t="b">
        <v>0</v>
      </c>
      <c r="J2466">
        <v>176</v>
      </c>
      <c r="K2466">
        <v>1459</v>
      </c>
      <c r="L2466">
        <v>492</v>
      </c>
      <c r="M2466">
        <f>COUNTIF(H2466:$H$2581,H2466)</f>
        <v>6</v>
      </c>
    </row>
    <row r="2467" spans="1:13" x14ac:dyDescent="0.2">
      <c r="A2467">
        <v>1609</v>
      </c>
      <c r="B2467" t="s">
        <v>1548</v>
      </c>
      <c r="C2467" t="s">
        <v>7601</v>
      </c>
      <c r="D2467" t="s">
        <v>13</v>
      </c>
      <c r="E2467" t="s">
        <v>7602</v>
      </c>
      <c r="F2467" t="s">
        <v>1551</v>
      </c>
      <c r="G2467" t="s">
        <v>7603</v>
      </c>
      <c r="H2467" t="s">
        <v>8413</v>
      </c>
      <c r="I2467" t="b">
        <v>0</v>
      </c>
      <c r="J2467">
        <v>196</v>
      </c>
      <c r="K2467">
        <v>1610</v>
      </c>
      <c r="L2467">
        <v>543</v>
      </c>
      <c r="M2467">
        <f>COUNTIF(H2467:$H$2581,H2467)</f>
        <v>5</v>
      </c>
    </row>
    <row r="2468" spans="1:13" x14ac:dyDescent="0.2">
      <c r="A2468">
        <v>2280</v>
      </c>
      <c r="B2468" t="s">
        <v>11</v>
      </c>
      <c r="C2468" t="s">
        <v>7612</v>
      </c>
      <c r="D2468" t="s">
        <v>54</v>
      </c>
      <c r="E2468" t="s">
        <v>7613</v>
      </c>
      <c r="F2468" t="s">
        <v>15</v>
      </c>
      <c r="G2468" t="s">
        <v>7614</v>
      </c>
      <c r="H2468" t="s">
        <v>8413</v>
      </c>
      <c r="I2468" t="b">
        <v>0</v>
      </c>
      <c r="J2468">
        <v>267</v>
      </c>
      <c r="K2468">
        <v>2281</v>
      </c>
      <c r="L2468">
        <v>448</v>
      </c>
      <c r="M2468">
        <f>COUNTIF(H2468:$H$2581,H2468)</f>
        <v>4</v>
      </c>
    </row>
    <row r="2469" spans="1:13" x14ac:dyDescent="0.2">
      <c r="A2469">
        <v>2529</v>
      </c>
      <c r="B2469" t="s">
        <v>2001</v>
      </c>
      <c r="C2469" t="s">
        <v>7615</v>
      </c>
      <c r="D2469" t="s">
        <v>13</v>
      </c>
      <c r="E2469" t="s">
        <v>7616</v>
      </c>
      <c r="F2469" t="s">
        <v>2004</v>
      </c>
      <c r="G2469" t="s">
        <v>7617</v>
      </c>
      <c r="H2469" t="s">
        <v>8413</v>
      </c>
      <c r="I2469" t="s">
        <v>24</v>
      </c>
      <c r="J2469">
        <v>293</v>
      </c>
      <c r="K2469">
        <v>2530</v>
      </c>
      <c r="L2469">
        <v>718</v>
      </c>
      <c r="M2469">
        <f>COUNTIF(H2469:$H$2581,H2469)</f>
        <v>3</v>
      </c>
    </row>
    <row r="2470" spans="1:13" x14ac:dyDescent="0.2">
      <c r="A2470">
        <v>1610</v>
      </c>
      <c r="B2470" t="s">
        <v>1548</v>
      </c>
      <c r="C2470" t="s">
        <v>7619</v>
      </c>
      <c r="D2470" t="s">
        <v>13</v>
      </c>
      <c r="E2470" t="s">
        <v>7620</v>
      </c>
      <c r="F2470" t="s">
        <v>1551</v>
      </c>
      <c r="G2470" t="s">
        <v>7621</v>
      </c>
      <c r="H2470" t="s">
        <v>8413</v>
      </c>
      <c r="I2470" t="b">
        <v>0</v>
      </c>
      <c r="J2470">
        <v>196</v>
      </c>
      <c r="K2470">
        <v>1611</v>
      </c>
      <c r="L2470">
        <v>544</v>
      </c>
      <c r="M2470">
        <f>COUNTIF(H2470:$H$2581,H2470)</f>
        <v>2</v>
      </c>
    </row>
    <row r="2471" spans="1:13" x14ac:dyDescent="0.2">
      <c r="A2471">
        <v>1855</v>
      </c>
      <c r="B2471" t="s">
        <v>631</v>
      </c>
      <c r="C2471" t="s">
        <v>7623</v>
      </c>
      <c r="D2471" t="s">
        <v>13</v>
      </c>
      <c r="E2471" t="s">
        <v>7624</v>
      </c>
      <c r="F2471" t="s">
        <v>634</v>
      </c>
      <c r="G2471" t="s">
        <v>7625</v>
      </c>
      <c r="H2471" t="s">
        <v>8413</v>
      </c>
      <c r="I2471" t="s">
        <v>24</v>
      </c>
      <c r="J2471">
        <v>215</v>
      </c>
      <c r="K2471">
        <v>1856</v>
      </c>
      <c r="L2471">
        <v>586</v>
      </c>
      <c r="M2471">
        <f>COUNTIF(H2471:$H$2581,H2471)</f>
        <v>1</v>
      </c>
    </row>
    <row r="2472" spans="1:13" x14ac:dyDescent="0.2">
      <c r="A2472">
        <v>1512</v>
      </c>
      <c r="B2472" t="s">
        <v>2438</v>
      </c>
      <c r="C2472" t="s">
        <v>7627</v>
      </c>
      <c r="D2472" t="s">
        <v>54</v>
      </c>
      <c r="E2472" t="s">
        <v>7628</v>
      </c>
      <c r="F2472" t="s">
        <v>2441</v>
      </c>
      <c r="G2472" t="s">
        <v>7629</v>
      </c>
      <c r="H2472" t="s">
        <v>8434</v>
      </c>
      <c r="I2472" t="b">
        <v>0</v>
      </c>
      <c r="J2472">
        <v>183</v>
      </c>
      <c r="K2472">
        <v>1513</v>
      </c>
      <c r="L2472">
        <v>507</v>
      </c>
      <c r="M2472">
        <f>COUNTIF(H2472:$H$2581,H2472)</f>
        <v>2</v>
      </c>
    </row>
    <row r="2473" spans="1:13" x14ac:dyDescent="0.2">
      <c r="A2473">
        <v>1842</v>
      </c>
      <c r="B2473" t="s">
        <v>1198</v>
      </c>
      <c r="C2473" t="s">
        <v>7631</v>
      </c>
      <c r="D2473" t="s">
        <v>54</v>
      </c>
      <c r="E2473" t="s">
        <v>7632</v>
      </c>
      <c r="F2473" t="s">
        <v>1201</v>
      </c>
      <c r="G2473" t="s">
        <v>7633</v>
      </c>
      <c r="H2473" t="s">
        <v>8434</v>
      </c>
      <c r="I2473" t="s">
        <v>24</v>
      </c>
      <c r="J2473">
        <v>214</v>
      </c>
      <c r="K2473">
        <v>1843</v>
      </c>
      <c r="L2473">
        <v>585</v>
      </c>
      <c r="M2473">
        <f>COUNTIF(H2473:$H$2581,H2473)</f>
        <v>1</v>
      </c>
    </row>
    <row r="2474" spans="1:13" x14ac:dyDescent="0.2">
      <c r="A2474">
        <v>1807</v>
      </c>
      <c r="B2474" t="s">
        <v>1287</v>
      </c>
      <c r="C2474" t="s">
        <v>7641</v>
      </c>
      <c r="D2474" t="s">
        <v>33</v>
      </c>
      <c r="E2474" t="s">
        <v>7642</v>
      </c>
      <c r="F2474" t="s">
        <v>1290</v>
      </c>
      <c r="G2474" t="s">
        <v>7643</v>
      </c>
      <c r="H2474" t="s">
        <v>8444</v>
      </c>
      <c r="I2474" t="s">
        <v>24</v>
      </c>
      <c r="J2474">
        <v>210</v>
      </c>
      <c r="K2474">
        <v>1808</v>
      </c>
      <c r="L2474">
        <v>127</v>
      </c>
      <c r="M2474">
        <f>COUNTIF(H2474:$H$2581,H2474)</f>
        <v>1</v>
      </c>
    </row>
    <row r="2475" spans="1:13" x14ac:dyDescent="0.2">
      <c r="A2475">
        <v>2541</v>
      </c>
      <c r="B2475" t="s">
        <v>754</v>
      </c>
      <c r="C2475" t="s">
        <v>7648</v>
      </c>
      <c r="D2475" t="s">
        <v>33</v>
      </c>
      <c r="E2475" t="s">
        <v>7649</v>
      </c>
      <c r="F2475" t="s">
        <v>757</v>
      </c>
      <c r="G2475" t="s">
        <v>7650</v>
      </c>
      <c r="H2475" t="s">
        <v>8451</v>
      </c>
      <c r="I2475" t="b">
        <v>0</v>
      </c>
      <c r="J2475">
        <v>294</v>
      </c>
      <c r="K2475">
        <v>2542</v>
      </c>
      <c r="L2475">
        <v>517</v>
      </c>
      <c r="M2475">
        <f>COUNTIF(H2475:$H$2581,H2475)</f>
        <v>1</v>
      </c>
    </row>
    <row r="2476" spans="1:13" x14ac:dyDescent="0.2">
      <c r="A2476">
        <v>2099</v>
      </c>
      <c r="B2476" t="s">
        <v>255</v>
      </c>
      <c r="C2476" t="s">
        <v>7655</v>
      </c>
      <c r="D2476" t="s">
        <v>54</v>
      </c>
      <c r="E2476" t="s">
        <v>7656</v>
      </c>
      <c r="F2476" t="s">
        <v>258</v>
      </c>
      <c r="G2476" t="s">
        <v>7657</v>
      </c>
      <c r="H2476" t="s">
        <v>8462</v>
      </c>
      <c r="I2476" t="s">
        <v>24</v>
      </c>
      <c r="J2476">
        <v>242</v>
      </c>
      <c r="K2476">
        <v>2100</v>
      </c>
      <c r="L2476">
        <v>275</v>
      </c>
      <c r="M2476">
        <f>COUNTIF(H2476:$H$2581,H2476)</f>
        <v>1</v>
      </c>
    </row>
    <row r="2477" spans="1:13" x14ac:dyDescent="0.2">
      <c r="A2477">
        <v>310</v>
      </c>
      <c r="B2477" t="s">
        <v>784</v>
      </c>
      <c r="C2477" t="s">
        <v>7658</v>
      </c>
      <c r="D2477" t="s">
        <v>33</v>
      </c>
      <c r="E2477" t="s">
        <v>7659</v>
      </c>
      <c r="F2477" t="s">
        <v>787</v>
      </c>
      <c r="G2477" t="s">
        <v>7660</v>
      </c>
      <c r="H2477" t="s">
        <v>8469</v>
      </c>
      <c r="I2477" t="b">
        <v>0</v>
      </c>
      <c r="J2477">
        <v>45</v>
      </c>
      <c r="K2477">
        <v>311</v>
      </c>
      <c r="L2477">
        <v>145</v>
      </c>
      <c r="M2477">
        <f>COUNTIF(H2477:$H$2581,H2477)</f>
        <v>6</v>
      </c>
    </row>
    <row r="2478" spans="1:13" x14ac:dyDescent="0.2">
      <c r="A2478">
        <v>2000</v>
      </c>
      <c r="B2478" t="s">
        <v>1009</v>
      </c>
      <c r="C2478" t="s">
        <v>7662</v>
      </c>
      <c r="D2478" t="s">
        <v>54</v>
      </c>
      <c r="E2478" t="s">
        <v>7663</v>
      </c>
      <c r="F2478" t="s">
        <v>1012</v>
      </c>
      <c r="G2478" t="s">
        <v>7664</v>
      </c>
      <c r="H2478" t="s">
        <v>8469</v>
      </c>
      <c r="I2478" t="s">
        <v>24</v>
      </c>
      <c r="J2478">
        <v>232</v>
      </c>
      <c r="K2478">
        <v>2001</v>
      </c>
      <c r="L2478">
        <v>613</v>
      </c>
      <c r="M2478">
        <f>COUNTIF(H2478:$H$2581,H2478)</f>
        <v>5</v>
      </c>
    </row>
    <row r="2479" spans="1:13" x14ac:dyDescent="0.2">
      <c r="A2479">
        <v>787</v>
      </c>
      <c r="B2479" t="s">
        <v>373</v>
      </c>
      <c r="C2479" t="s">
        <v>7666</v>
      </c>
      <c r="D2479" t="s">
        <v>54</v>
      </c>
      <c r="E2479" t="s">
        <v>7667</v>
      </c>
      <c r="F2479" s="1" t="s">
        <v>376</v>
      </c>
      <c r="G2479" t="s">
        <v>7668</v>
      </c>
      <c r="H2479" t="s">
        <v>8469</v>
      </c>
      <c r="I2479" t="s">
        <v>24</v>
      </c>
      <c r="J2479">
        <v>111</v>
      </c>
      <c r="K2479">
        <v>788</v>
      </c>
      <c r="L2479">
        <v>310</v>
      </c>
      <c r="M2479">
        <f>COUNTIF(H2479:$H$2581,H2479)</f>
        <v>4</v>
      </c>
    </row>
    <row r="2480" spans="1:13" x14ac:dyDescent="0.2">
      <c r="A2480">
        <v>1214</v>
      </c>
      <c r="B2480" t="s">
        <v>768</v>
      </c>
      <c r="C2480" t="s">
        <v>7674</v>
      </c>
      <c r="D2480" t="s">
        <v>54</v>
      </c>
      <c r="E2480" t="s">
        <v>7675</v>
      </c>
      <c r="F2480" t="s">
        <v>771</v>
      </c>
      <c r="G2480" t="s">
        <v>7676</v>
      </c>
      <c r="H2480" t="s">
        <v>8469</v>
      </c>
      <c r="I2480" t="s">
        <v>24</v>
      </c>
      <c r="J2480">
        <v>148</v>
      </c>
      <c r="K2480">
        <v>1215</v>
      </c>
      <c r="L2480">
        <v>83</v>
      </c>
      <c r="M2480">
        <f>COUNTIF(H2480:$H$2581,H2480)</f>
        <v>3</v>
      </c>
    </row>
    <row r="2481" spans="1:13" x14ac:dyDescent="0.2">
      <c r="A2481">
        <v>2142</v>
      </c>
      <c r="B2481" t="s">
        <v>147</v>
      </c>
      <c r="C2481" t="s">
        <v>7715</v>
      </c>
      <c r="D2481" t="s">
        <v>13</v>
      </c>
      <c r="E2481" t="s">
        <v>7716</v>
      </c>
      <c r="F2481" t="s">
        <v>150</v>
      </c>
      <c r="G2481" t="s">
        <v>7717</v>
      </c>
      <c r="H2481" t="s">
        <v>8469</v>
      </c>
      <c r="I2481" t="b">
        <v>1</v>
      </c>
      <c r="J2481">
        <v>248</v>
      </c>
      <c r="K2481">
        <v>2143</v>
      </c>
      <c r="L2481">
        <v>54</v>
      </c>
      <c r="M2481">
        <f>COUNTIF(H2481:$H$2581,H2481)</f>
        <v>2</v>
      </c>
    </row>
    <row r="2482" spans="1:13" x14ac:dyDescent="0.2">
      <c r="A2482">
        <v>1215</v>
      </c>
      <c r="B2482" t="s">
        <v>768</v>
      </c>
      <c r="C2482" t="s">
        <v>7718</v>
      </c>
      <c r="D2482" t="s">
        <v>54</v>
      </c>
      <c r="E2482" t="s">
        <v>7719</v>
      </c>
      <c r="F2482" t="s">
        <v>771</v>
      </c>
      <c r="G2482" t="s">
        <v>7720</v>
      </c>
      <c r="H2482" t="s">
        <v>8469</v>
      </c>
      <c r="I2482" t="s">
        <v>24</v>
      </c>
      <c r="J2482">
        <v>148</v>
      </c>
      <c r="K2482">
        <v>1216</v>
      </c>
      <c r="L2482">
        <v>414</v>
      </c>
      <c r="M2482">
        <f>COUNTIF(H2482:$H$2581,H2482)</f>
        <v>1</v>
      </c>
    </row>
    <row r="2483" spans="1:13" x14ac:dyDescent="0.2">
      <c r="A2483">
        <v>1216</v>
      </c>
      <c r="B2483" t="s">
        <v>768</v>
      </c>
      <c r="C2483" t="s">
        <v>7722</v>
      </c>
      <c r="D2483" t="s">
        <v>54</v>
      </c>
      <c r="E2483" t="s">
        <v>7723</v>
      </c>
      <c r="F2483" t="s">
        <v>771</v>
      </c>
      <c r="G2483" t="s">
        <v>7724</v>
      </c>
      <c r="H2483" t="s">
        <v>8498</v>
      </c>
      <c r="I2483" t="s">
        <v>24</v>
      </c>
      <c r="J2483">
        <v>148</v>
      </c>
      <c r="K2483">
        <v>1217</v>
      </c>
      <c r="L2483">
        <v>415</v>
      </c>
      <c r="M2483">
        <f>COUNTIF(H2483:$H$2581,H2483)</f>
        <v>7</v>
      </c>
    </row>
    <row r="2484" spans="1:13" x14ac:dyDescent="0.2">
      <c r="A2484">
        <v>2512</v>
      </c>
      <c r="B2484" t="s">
        <v>481</v>
      </c>
      <c r="C2484" t="s">
        <v>7858</v>
      </c>
      <c r="D2484" t="s">
        <v>13</v>
      </c>
      <c r="E2484" t="s">
        <v>7859</v>
      </c>
      <c r="F2484" t="s">
        <v>484</v>
      </c>
      <c r="G2484" t="s">
        <v>7860</v>
      </c>
      <c r="H2484" t="s">
        <v>8498</v>
      </c>
      <c r="I2484" t="s">
        <v>24</v>
      </c>
      <c r="J2484">
        <v>291</v>
      </c>
      <c r="K2484">
        <v>2513</v>
      </c>
      <c r="L2484">
        <v>27</v>
      </c>
      <c r="M2484">
        <f>COUNTIF(H2484:$H$2581,H2484)</f>
        <v>6</v>
      </c>
    </row>
    <row r="2485" spans="1:13" x14ac:dyDescent="0.2">
      <c r="A2485">
        <v>571</v>
      </c>
      <c r="B2485" t="s">
        <v>2797</v>
      </c>
      <c r="C2485" t="s">
        <v>7861</v>
      </c>
      <c r="D2485" t="s">
        <v>13</v>
      </c>
      <c r="E2485" t="s">
        <v>7862</v>
      </c>
      <c r="F2485" t="s">
        <v>2800</v>
      </c>
      <c r="G2485" t="s">
        <v>7863</v>
      </c>
      <c r="H2485" t="s">
        <v>8498</v>
      </c>
      <c r="I2485" t="s">
        <v>24</v>
      </c>
      <c r="J2485">
        <v>84</v>
      </c>
      <c r="K2485">
        <v>572</v>
      </c>
      <c r="L2485">
        <v>252</v>
      </c>
      <c r="M2485">
        <f>COUNTIF(H2485:$H$2581,H2485)</f>
        <v>5</v>
      </c>
    </row>
    <row r="2486" spans="1:13" x14ac:dyDescent="0.2">
      <c r="A2486">
        <v>2513</v>
      </c>
      <c r="B2486" t="s">
        <v>481</v>
      </c>
      <c r="C2486" t="s">
        <v>7865</v>
      </c>
      <c r="D2486" t="s">
        <v>13</v>
      </c>
      <c r="E2486" t="s">
        <v>7866</v>
      </c>
      <c r="F2486" t="s">
        <v>484</v>
      </c>
      <c r="G2486" t="s">
        <v>7867</v>
      </c>
      <c r="H2486" t="s">
        <v>8498</v>
      </c>
      <c r="I2486" t="s">
        <v>24</v>
      </c>
      <c r="J2486">
        <v>291</v>
      </c>
      <c r="K2486">
        <v>2514</v>
      </c>
      <c r="L2486">
        <v>712</v>
      </c>
      <c r="M2486">
        <f>COUNTIF(H2486:$H$2581,H2486)</f>
        <v>4</v>
      </c>
    </row>
    <row r="2487" spans="1:13" x14ac:dyDescent="0.2">
      <c r="A2487">
        <v>1809</v>
      </c>
      <c r="B2487" t="s">
        <v>1287</v>
      </c>
      <c r="C2487" t="s">
        <v>7869</v>
      </c>
      <c r="D2487" t="s">
        <v>13</v>
      </c>
      <c r="E2487" t="s">
        <v>7870</v>
      </c>
      <c r="F2487" t="s">
        <v>1290</v>
      </c>
      <c r="G2487" t="s">
        <v>7871</v>
      </c>
      <c r="H2487" t="s">
        <v>8498</v>
      </c>
      <c r="I2487" t="s">
        <v>24</v>
      </c>
      <c r="J2487">
        <v>210</v>
      </c>
      <c r="K2487">
        <v>1810</v>
      </c>
      <c r="L2487">
        <v>577</v>
      </c>
      <c r="M2487">
        <f>COUNTIF(H2487:$H$2581,H2487)</f>
        <v>3</v>
      </c>
    </row>
    <row r="2488" spans="1:13" x14ac:dyDescent="0.2">
      <c r="A2488">
        <v>48</v>
      </c>
      <c r="B2488" t="s">
        <v>2199</v>
      </c>
      <c r="C2488" t="s">
        <v>7873</v>
      </c>
      <c r="D2488" t="s">
        <v>13</v>
      </c>
      <c r="E2488" t="s">
        <v>7874</v>
      </c>
      <c r="F2488" t="s">
        <v>2202</v>
      </c>
      <c r="G2488" t="s">
        <v>7875</v>
      </c>
      <c r="H2488" t="s">
        <v>8498</v>
      </c>
      <c r="I2488" t="s">
        <v>24</v>
      </c>
      <c r="J2488">
        <v>7</v>
      </c>
      <c r="K2488">
        <v>49</v>
      </c>
      <c r="L2488">
        <v>36</v>
      </c>
      <c r="M2488">
        <f>COUNTIF(H2488:$H$2581,H2488)</f>
        <v>2</v>
      </c>
    </row>
    <row r="2489" spans="1:13" x14ac:dyDescent="0.2">
      <c r="A2489">
        <v>1343</v>
      </c>
      <c r="B2489" t="s">
        <v>2235</v>
      </c>
      <c r="C2489" t="s">
        <v>7893</v>
      </c>
      <c r="D2489" t="s">
        <v>13</v>
      </c>
      <c r="E2489" t="s">
        <v>7894</v>
      </c>
      <c r="F2489" t="s">
        <v>2238</v>
      </c>
      <c r="G2489" t="s">
        <v>7895</v>
      </c>
      <c r="H2489" t="s">
        <v>8498</v>
      </c>
      <c r="I2489" t="b">
        <v>0</v>
      </c>
      <c r="J2489">
        <v>163</v>
      </c>
      <c r="K2489">
        <v>1344</v>
      </c>
      <c r="L2489">
        <v>28</v>
      </c>
      <c r="M2489">
        <f>COUNTIF(H2489:$H$2581,H2489)</f>
        <v>1</v>
      </c>
    </row>
    <row r="2490" spans="1:13" x14ac:dyDescent="0.2">
      <c r="A2490">
        <v>2469</v>
      </c>
      <c r="B2490" t="s">
        <v>1411</v>
      </c>
      <c r="C2490" t="s">
        <v>7900</v>
      </c>
      <c r="D2490" t="s">
        <v>13</v>
      </c>
      <c r="E2490" t="s">
        <v>7901</v>
      </c>
      <c r="F2490" t="s">
        <v>1414</v>
      </c>
      <c r="G2490" t="s">
        <v>7902</v>
      </c>
      <c r="H2490" t="s">
        <v>8527</v>
      </c>
      <c r="I2490" t="b">
        <v>1</v>
      </c>
      <c r="J2490">
        <v>285</v>
      </c>
      <c r="K2490">
        <v>2470</v>
      </c>
      <c r="L2490">
        <v>253</v>
      </c>
      <c r="M2490">
        <f>COUNTIF(H2490:$H$2581,H2490)</f>
        <v>6</v>
      </c>
    </row>
    <row r="2491" spans="1:13" x14ac:dyDescent="0.2">
      <c r="A2491">
        <v>2575</v>
      </c>
      <c r="B2491" t="s">
        <v>226</v>
      </c>
      <c r="C2491" t="s">
        <v>7943</v>
      </c>
      <c r="D2491" t="s">
        <v>54</v>
      </c>
      <c r="E2491" t="s">
        <v>7944</v>
      </c>
      <c r="F2491" t="s">
        <v>229</v>
      </c>
      <c r="G2491" t="s">
        <v>7945</v>
      </c>
      <c r="H2491" t="s">
        <v>8527</v>
      </c>
      <c r="I2491" t="b">
        <v>1</v>
      </c>
      <c r="J2491">
        <v>299</v>
      </c>
      <c r="K2491">
        <v>2576</v>
      </c>
      <c r="L2491">
        <v>183</v>
      </c>
      <c r="M2491">
        <f>COUNTIF(H2491:$H$2581,H2491)</f>
        <v>5</v>
      </c>
    </row>
    <row r="2492" spans="1:13" x14ac:dyDescent="0.2">
      <c r="A2492">
        <v>1595</v>
      </c>
      <c r="B2492" t="s">
        <v>211</v>
      </c>
      <c r="C2492" t="s">
        <v>7946</v>
      </c>
      <c r="D2492" t="s">
        <v>54</v>
      </c>
      <c r="E2492" t="s">
        <v>7947</v>
      </c>
      <c r="F2492" t="s">
        <v>214</v>
      </c>
      <c r="G2492" t="s">
        <v>7948</v>
      </c>
      <c r="H2492" t="s">
        <v>8527</v>
      </c>
      <c r="I2492" t="s">
        <v>24</v>
      </c>
      <c r="J2492">
        <v>195</v>
      </c>
      <c r="K2492">
        <v>1596</v>
      </c>
      <c r="L2492">
        <v>533</v>
      </c>
      <c r="M2492">
        <f>COUNTIF(H2492:$H$2581,H2492)</f>
        <v>4</v>
      </c>
    </row>
    <row r="2493" spans="1:13" x14ac:dyDescent="0.2">
      <c r="A2493">
        <v>1158</v>
      </c>
      <c r="B2493" t="s">
        <v>1725</v>
      </c>
      <c r="C2493" t="s">
        <v>7950</v>
      </c>
      <c r="D2493" t="s">
        <v>54</v>
      </c>
      <c r="E2493" t="s">
        <v>7951</v>
      </c>
      <c r="F2493" t="s">
        <v>1728</v>
      </c>
      <c r="G2493" t="s">
        <v>7952</v>
      </c>
      <c r="H2493" t="s">
        <v>8527</v>
      </c>
      <c r="I2493" t="b">
        <v>0</v>
      </c>
      <c r="J2493">
        <v>141</v>
      </c>
      <c r="K2493">
        <v>1159</v>
      </c>
      <c r="L2493">
        <v>403</v>
      </c>
      <c r="M2493">
        <f>COUNTIF(H2493:$H$2581,H2493)</f>
        <v>3</v>
      </c>
    </row>
    <row r="2494" spans="1:13" x14ac:dyDescent="0.2">
      <c r="A2494">
        <v>2266</v>
      </c>
      <c r="B2494" t="s">
        <v>2093</v>
      </c>
      <c r="C2494" t="s">
        <v>7954</v>
      </c>
      <c r="D2494" t="s">
        <v>54</v>
      </c>
      <c r="E2494" t="s">
        <v>7955</v>
      </c>
      <c r="F2494" t="s">
        <v>2096</v>
      </c>
      <c r="G2494" t="s">
        <v>7956</v>
      </c>
      <c r="H2494" t="s">
        <v>8527</v>
      </c>
      <c r="I2494" t="b">
        <v>0</v>
      </c>
      <c r="J2494">
        <v>264</v>
      </c>
      <c r="K2494">
        <v>2267</v>
      </c>
      <c r="L2494">
        <v>665</v>
      </c>
      <c r="M2494">
        <f>COUNTIF(H2494:$H$2581,H2494)</f>
        <v>2</v>
      </c>
    </row>
    <row r="2495" spans="1:13" x14ac:dyDescent="0.2">
      <c r="A2495">
        <v>2500</v>
      </c>
      <c r="B2495" t="s">
        <v>249</v>
      </c>
      <c r="C2495" t="s">
        <v>250</v>
      </c>
      <c r="D2495" t="s">
        <v>13</v>
      </c>
      <c r="E2495" t="s">
        <v>7995</v>
      </c>
      <c r="F2495" t="s">
        <v>252</v>
      </c>
      <c r="G2495" t="s">
        <v>7996</v>
      </c>
      <c r="H2495" t="s">
        <v>8527</v>
      </c>
      <c r="I2495" t="b">
        <v>0</v>
      </c>
      <c r="J2495">
        <v>290</v>
      </c>
      <c r="K2495">
        <v>2501</v>
      </c>
      <c r="L2495">
        <v>284</v>
      </c>
      <c r="M2495">
        <f>COUNTIF(H2495:$H$2581,H2495)</f>
        <v>1</v>
      </c>
    </row>
    <row r="2496" spans="1:13" x14ac:dyDescent="0.2">
      <c r="A2496">
        <v>2346</v>
      </c>
      <c r="B2496" t="s">
        <v>900</v>
      </c>
      <c r="C2496" t="s">
        <v>8004</v>
      </c>
      <c r="D2496" t="s">
        <v>54</v>
      </c>
      <c r="E2496" t="s">
        <v>8005</v>
      </c>
      <c r="F2496" t="s">
        <v>903</v>
      </c>
      <c r="G2496" t="s">
        <v>8006</v>
      </c>
      <c r="H2496" t="s">
        <v>8549</v>
      </c>
      <c r="I2496" t="b">
        <v>0</v>
      </c>
      <c r="J2496">
        <v>274</v>
      </c>
      <c r="K2496">
        <v>2347</v>
      </c>
      <c r="L2496">
        <v>325</v>
      </c>
      <c r="M2496">
        <f>COUNTIF(H2496:$H$2581,H2496)</f>
        <v>21</v>
      </c>
    </row>
    <row r="2497" spans="1:13" x14ac:dyDescent="0.2">
      <c r="A2497">
        <v>1811</v>
      </c>
      <c r="B2497" t="s">
        <v>1287</v>
      </c>
      <c r="C2497" t="s">
        <v>8007</v>
      </c>
      <c r="D2497" t="s">
        <v>13</v>
      </c>
      <c r="E2497" t="s">
        <v>8008</v>
      </c>
      <c r="F2497" t="s">
        <v>1290</v>
      </c>
      <c r="G2497" t="s">
        <v>8009</v>
      </c>
      <c r="H2497" t="s">
        <v>8549</v>
      </c>
      <c r="I2497" t="s">
        <v>24</v>
      </c>
      <c r="J2497">
        <v>210</v>
      </c>
      <c r="K2497">
        <v>1812</v>
      </c>
      <c r="L2497">
        <v>578</v>
      </c>
      <c r="M2497">
        <f>COUNTIF(H2497:$H$2581,H2497)</f>
        <v>20</v>
      </c>
    </row>
    <row r="2498" spans="1:13" x14ac:dyDescent="0.2">
      <c r="A2498">
        <v>1118</v>
      </c>
      <c r="B2498" t="s">
        <v>1892</v>
      </c>
      <c r="C2498" t="s">
        <v>8011</v>
      </c>
      <c r="D2498" t="s">
        <v>13</v>
      </c>
      <c r="E2498" t="s">
        <v>8012</v>
      </c>
      <c r="F2498" t="s">
        <v>1895</v>
      </c>
      <c r="G2498" t="s">
        <v>8013</v>
      </c>
      <c r="H2498" t="s">
        <v>8549</v>
      </c>
      <c r="I2498" t="s">
        <v>24</v>
      </c>
      <c r="J2498">
        <v>135</v>
      </c>
      <c r="K2498">
        <v>1119</v>
      </c>
      <c r="L2498">
        <v>382</v>
      </c>
      <c r="M2498">
        <f>COUNTIF(H2498:$H$2581,H2498)</f>
        <v>19</v>
      </c>
    </row>
    <row r="2499" spans="1:13" x14ac:dyDescent="0.2">
      <c r="A2499">
        <v>2484</v>
      </c>
      <c r="B2499" t="s">
        <v>1626</v>
      </c>
      <c r="C2499" t="s">
        <v>8066</v>
      </c>
      <c r="D2499" t="s">
        <v>33</v>
      </c>
      <c r="E2499" t="s">
        <v>8067</v>
      </c>
      <c r="F2499" t="s">
        <v>1629</v>
      </c>
      <c r="G2499" t="s">
        <v>8068</v>
      </c>
      <c r="H2499" t="s">
        <v>8549</v>
      </c>
      <c r="I2499" t="b">
        <v>0</v>
      </c>
      <c r="J2499">
        <v>287</v>
      </c>
      <c r="K2499">
        <v>2485</v>
      </c>
      <c r="L2499">
        <v>128</v>
      </c>
      <c r="M2499">
        <f>COUNTIF(H2499:$H$2581,H2499)</f>
        <v>18</v>
      </c>
    </row>
    <row r="2500" spans="1:13" x14ac:dyDescent="0.2">
      <c r="A2500">
        <v>2456</v>
      </c>
      <c r="B2500" t="s">
        <v>908</v>
      </c>
      <c r="C2500" t="s">
        <v>8069</v>
      </c>
      <c r="D2500" t="s">
        <v>13</v>
      </c>
      <c r="E2500" t="s">
        <v>8070</v>
      </c>
      <c r="F2500" t="s">
        <v>911</v>
      </c>
      <c r="G2500" t="s">
        <v>8071</v>
      </c>
      <c r="H2500" t="s">
        <v>8549</v>
      </c>
      <c r="I2500" t="b">
        <v>0</v>
      </c>
      <c r="J2500">
        <v>284</v>
      </c>
      <c r="K2500">
        <v>2457</v>
      </c>
      <c r="L2500">
        <v>705</v>
      </c>
      <c r="M2500">
        <f>COUNTIF(H2500:$H$2581,H2500)</f>
        <v>17</v>
      </c>
    </row>
    <row r="2501" spans="1:13" x14ac:dyDescent="0.2">
      <c r="A2501">
        <v>519</v>
      </c>
      <c r="B2501" t="s">
        <v>5195</v>
      </c>
      <c r="C2501" t="s">
        <v>8073</v>
      </c>
      <c r="D2501" t="s">
        <v>54</v>
      </c>
      <c r="E2501" t="s">
        <v>8074</v>
      </c>
      <c r="F2501" t="s">
        <v>5198</v>
      </c>
      <c r="G2501" t="s">
        <v>8075</v>
      </c>
      <c r="H2501" t="s">
        <v>8549</v>
      </c>
      <c r="I2501" t="s">
        <v>24</v>
      </c>
      <c r="J2501">
        <v>75</v>
      </c>
      <c r="K2501">
        <v>520</v>
      </c>
      <c r="L2501">
        <v>230</v>
      </c>
      <c r="M2501">
        <f>COUNTIF(H2501:$H$2581,H2501)</f>
        <v>16</v>
      </c>
    </row>
    <row r="2502" spans="1:13" x14ac:dyDescent="0.2">
      <c r="A2502">
        <v>2561</v>
      </c>
      <c r="B2502" t="s">
        <v>636</v>
      </c>
      <c r="C2502" t="s">
        <v>8093</v>
      </c>
      <c r="D2502" t="s">
        <v>54</v>
      </c>
      <c r="E2502" t="s">
        <v>8094</v>
      </c>
      <c r="F2502" t="s">
        <v>639</v>
      </c>
      <c r="G2502" t="s">
        <v>8095</v>
      </c>
      <c r="H2502" t="s">
        <v>8549</v>
      </c>
      <c r="I2502" t="b">
        <v>0</v>
      </c>
      <c r="J2502">
        <v>297</v>
      </c>
      <c r="K2502">
        <v>2562</v>
      </c>
      <c r="L2502">
        <v>129</v>
      </c>
      <c r="M2502">
        <f>COUNTIF(H2502:$H$2581,H2502)</f>
        <v>15</v>
      </c>
    </row>
    <row r="2503" spans="1:13" x14ac:dyDescent="0.2">
      <c r="A2503">
        <v>2448</v>
      </c>
      <c r="B2503" t="s">
        <v>1327</v>
      </c>
      <c r="C2503" t="s">
        <v>8130</v>
      </c>
      <c r="D2503" t="s">
        <v>54</v>
      </c>
      <c r="E2503" t="s">
        <v>8131</v>
      </c>
      <c r="F2503" t="s">
        <v>1330</v>
      </c>
      <c r="G2503" t="s">
        <v>8132</v>
      </c>
      <c r="H2503" t="s">
        <v>8549</v>
      </c>
      <c r="I2503" t="b">
        <v>0</v>
      </c>
      <c r="J2503">
        <v>283</v>
      </c>
      <c r="K2503">
        <v>2449</v>
      </c>
      <c r="L2503">
        <v>29</v>
      </c>
      <c r="M2503">
        <f>COUNTIF(H2503:$H$2581,H2503)</f>
        <v>14</v>
      </c>
    </row>
    <row r="2504" spans="1:13" x14ac:dyDescent="0.2">
      <c r="A2504">
        <v>2023</v>
      </c>
      <c r="B2504" t="s">
        <v>444</v>
      </c>
      <c r="C2504" t="s">
        <v>8133</v>
      </c>
      <c r="D2504" t="s">
        <v>13</v>
      </c>
      <c r="E2504" t="s">
        <v>8134</v>
      </c>
      <c r="F2504" t="s">
        <v>447</v>
      </c>
      <c r="G2504" t="s">
        <v>8135</v>
      </c>
      <c r="H2504" t="s">
        <v>8549</v>
      </c>
      <c r="I2504" t="s">
        <v>24</v>
      </c>
      <c r="J2504">
        <v>233</v>
      </c>
      <c r="K2504">
        <v>2024</v>
      </c>
      <c r="L2504">
        <v>617</v>
      </c>
      <c r="M2504">
        <f>COUNTIF(H2504:$H$2581,H2504)</f>
        <v>13</v>
      </c>
    </row>
    <row r="2505" spans="1:13" x14ac:dyDescent="0.2">
      <c r="A2505">
        <v>2450</v>
      </c>
      <c r="B2505" t="s">
        <v>1327</v>
      </c>
      <c r="C2505" t="s">
        <v>8240</v>
      </c>
      <c r="D2505" t="s">
        <v>54</v>
      </c>
      <c r="E2505" t="s">
        <v>8241</v>
      </c>
      <c r="F2505" t="s">
        <v>1330</v>
      </c>
      <c r="G2505" t="s">
        <v>8242</v>
      </c>
      <c r="H2505" t="s">
        <v>8549</v>
      </c>
      <c r="I2505" t="b">
        <v>0</v>
      </c>
      <c r="J2505">
        <v>283</v>
      </c>
      <c r="K2505">
        <v>2451</v>
      </c>
      <c r="L2505">
        <v>30</v>
      </c>
      <c r="M2505">
        <f>COUNTIF(H2505:$H$2581,H2505)</f>
        <v>12</v>
      </c>
    </row>
    <row r="2506" spans="1:13" x14ac:dyDescent="0.2">
      <c r="A2506">
        <v>2386</v>
      </c>
      <c r="B2506" t="s">
        <v>812</v>
      </c>
      <c r="C2506" t="s">
        <v>8243</v>
      </c>
      <c r="D2506" t="s">
        <v>13</v>
      </c>
      <c r="E2506" t="s">
        <v>8244</v>
      </c>
      <c r="F2506" t="s">
        <v>815</v>
      </c>
      <c r="G2506" t="s">
        <v>8245</v>
      </c>
      <c r="H2506" t="s">
        <v>8549</v>
      </c>
      <c r="I2506" t="b">
        <v>1</v>
      </c>
      <c r="J2506">
        <v>277</v>
      </c>
      <c r="K2506">
        <v>2387</v>
      </c>
      <c r="L2506">
        <v>696</v>
      </c>
      <c r="M2506">
        <f>COUNTIF(H2506:$H$2581,H2506)</f>
        <v>11</v>
      </c>
    </row>
    <row r="2507" spans="1:13" x14ac:dyDescent="0.2">
      <c r="A2507">
        <v>1860</v>
      </c>
      <c r="B2507" t="s">
        <v>1295</v>
      </c>
      <c r="C2507" t="s">
        <v>8251</v>
      </c>
      <c r="D2507" t="s">
        <v>54</v>
      </c>
      <c r="E2507" t="s">
        <v>8252</v>
      </c>
      <c r="F2507" t="s">
        <v>1297</v>
      </c>
      <c r="G2507" t="s">
        <v>8253</v>
      </c>
      <c r="H2507" t="s">
        <v>8549</v>
      </c>
      <c r="I2507" t="s">
        <v>24</v>
      </c>
      <c r="J2507">
        <v>216</v>
      </c>
      <c r="K2507">
        <v>1861</v>
      </c>
      <c r="L2507">
        <v>427</v>
      </c>
      <c r="M2507">
        <f>COUNTIF(H2507:$H$2581,H2507)</f>
        <v>10</v>
      </c>
    </row>
    <row r="2508" spans="1:13" x14ac:dyDescent="0.2">
      <c r="A2508">
        <v>312</v>
      </c>
      <c r="B2508" t="s">
        <v>784</v>
      </c>
      <c r="C2508" t="s">
        <v>8258</v>
      </c>
      <c r="D2508" t="s">
        <v>33</v>
      </c>
      <c r="E2508" t="s">
        <v>8259</v>
      </c>
      <c r="F2508" t="s">
        <v>787</v>
      </c>
      <c r="G2508" t="s">
        <v>8260</v>
      </c>
      <c r="H2508" t="s">
        <v>8549</v>
      </c>
      <c r="I2508" t="b">
        <v>0</v>
      </c>
      <c r="J2508">
        <v>45</v>
      </c>
      <c r="K2508">
        <v>313</v>
      </c>
      <c r="L2508">
        <v>146</v>
      </c>
      <c r="M2508">
        <f>COUNTIF(H2508:$H$2581,H2508)</f>
        <v>9</v>
      </c>
    </row>
    <row r="2509" spans="1:13" x14ac:dyDescent="0.2">
      <c r="A2509">
        <v>1459</v>
      </c>
      <c r="B2509" t="s">
        <v>2651</v>
      </c>
      <c r="C2509" t="s">
        <v>8261</v>
      </c>
      <c r="D2509" t="s">
        <v>13</v>
      </c>
      <c r="E2509" t="s">
        <v>8262</v>
      </c>
      <c r="F2509" t="s">
        <v>2654</v>
      </c>
      <c r="G2509" t="s">
        <v>8263</v>
      </c>
      <c r="H2509" t="s">
        <v>8549</v>
      </c>
      <c r="I2509" t="b">
        <v>0</v>
      </c>
      <c r="J2509">
        <v>176</v>
      </c>
      <c r="K2509">
        <v>1460</v>
      </c>
      <c r="L2509">
        <v>493</v>
      </c>
      <c r="M2509">
        <f>COUNTIF(H2509:$H$2581,H2509)</f>
        <v>8</v>
      </c>
    </row>
    <row r="2510" spans="1:13" x14ac:dyDescent="0.2">
      <c r="A2510">
        <v>1178</v>
      </c>
      <c r="B2510" t="s">
        <v>1665</v>
      </c>
      <c r="C2510" t="s">
        <v>8265</v>
      </c>
      <c r="D2510" t="s">
        <v>13</v>
      </c>
      <c r="E2510" t="s">
        <v>8266</v>
      </c>
      <c r="F2510" t="s">
        <v>1668</v>
      </c>
      <c r="G2510" t="s">
        <v>8267</v>
      </c>
      <c r="H2510" t="s">
        <v>8549</v>
      </c>
      <c r="I2510" t="b">
        <v>1</v>
      </c>
      <c r="J2510">
        <v>144</v>
      </c>
      <c r="K2510">
        <v>1179</v>
      </c>
      <c r="L2510">
        <v>407</v>
      </c>
      <c r="M2510">
        <f>COUNTIF(H2510:$H$2581,H2510)</f>
        <v>7</v>
      </c>
    </row>
    <row r="2511" spans="1:13" x14ac:dyDescent="0.2">
      <c r="A2511">
        <v>462</v>
      </c>
      <c r="B2511" t="s">
        <v>1039</v>
      </c>
      <c r="C2511" t="s">
        <v>8269</v>
      </c>
      <c r="D2511" t="s">
        <v>13</v>
      </c>
      <c r="E2511" t="s">
        <v>8270</v>
      </c>
      <c r="F2511" t="s">
        <v>1042</v>
      </c>
      <c r="G2511" t="s">
        <v>8271</v>
      </c>
      <c r="H2511" t="s">
        <v>8549</v>
      </c>
      <c r="I2511" t="s">
        <v>24</v>
      </c>
      <c r="J2511">
        <v>65</v>
      </c>
      <c r="K2511">
        <v>463</v>
      </c>
      <c r="L2511">
        <v>208</v>
      </c>
      <c r="M2511">
        <f>COUNTIF(H2511:$H$2581,H2511)</f>
        <v>6</v>
      </c>
    </row>
    <row r="2512" spans="1:13" x14ac:dyDescent="0.2">
      <c r="A2512">
        <v>1731</v>
      </c>
      <c r="B2512" t="s">
        <v>725</v>
      </c>
      <c r="C2512" t="s">
        <v>8273</v>
      </c>
      <c r="D2512" t="s">
        <v>54</v>
      </c>
      <c r="E2512" t="s">
        <v>8274</v>
      </c>
      <c r="F2512" t="s">
        <v>728</v>
      </c>
      <c r="G2512" t="s">
        <v>8275</v>
      </c>
      <c r="H2512" t="s">
        <v>8549</v>
      </c>
      <c r="I2512" t="b">
        <v>1</v>
      </c>
      <c r="J2512">
        <v>205</v>
      </c>
      <c r="K2512">
        <v>1732</v>
      </c>
      <c r="L2512">
        <v>566</v>
      </c>
      <c r="M2512">
        <f>COUNTIF(H2512:$H$2581,H2512)</f>
        <v>5</v>
      </c>
    </row>
    <row r="2513" spans="1:13" x14ac:dyDescent="0.2">
      <c r="A2513">
        <v>1460</v>
      </c>
      <c r="B2513" t="s">
        <v>2651</v>
      </c>
      <c r="C2513" t="s">
        <v>8277</v>
      </c>
      <c r="D2513" t="s">
        <v>54</v>
      </c>
      <c r="E2513" t="s">
        <v>8278</v>
      </c>
      <c r="F2513" t="s">
        <v>2654</v>
      </c>
      <c r="G2513" t="s">
        <v>8279</v>
      </c>
      <c r="H2513" t="s">
        <v>8549</v>
      </c>
      <c r="I2513" t="b">
        <v>0</v>
      </c>
      <c r="J2513">
        <v>176</v>
      </c>
      <c r="K2513">
        <v>1461</v>
      </c>
      <c r="L2513">
        <v>494</v>
      </c>
      <c r="M2513">
        <f>COUNTIF(H2513:$H$2581,H2513)</f>
        <v>4</v>
      </c>
    </row>
    <row r="2514" spans="1:13" x14ac:dyDescent="0.2">
      <c r="A2514">
        <v>2313</v>
      </c>
      <c r="B2514" t="s">
        <v>703</v>
      </c>
      <c r="C2514" t="s">
        <v>8281</v>
      </c>
      <c r="D2514" t="s">
        <v>33</v>
      </c>
      <c r="E2514" t="s">
        <v>8282</v>
      </c>
      <c r="F2514" t="s">
        <v>706</v>
      </c>
      <c r="G2514" t="s">
        <v>8283</v>
      </c>
      <c r="H2514" t="s">
        <v>8549</v>
      </c>
      <c r="I2514" t="s">
        <v>24</v>
      </c>
      <c r="J2514">
        <v>271</v>
      </c>
      <c r="K2514">
        <v>2314</v>
      </c>
      <c r="L2514">
        <v>677</v>
      </c>
      <c r="M2514">
        <f>COUNTIF(H2514:$H$2581,H2514)</f>
        <v>3</v>
      </c>
    </row>
    <row r="2515" spans="1:13" x14ac:dyDescent="0.2">
      <c r="A2515">
        <v>1867</v>
      </c>
      <c r="B2515" t="s">
        <v>18</v>
      </c>
      <c r="C2515" t="s">
        <v>8285</v>
      </c>
      <c r="D2515" t="s">
        <v>13</v>
      </c>
      <c r="E2515" t="s">
        <v>8286</v>
      </c>
      <c r="F2515" t="s">
        <v>21</v>
      </c>
      <c r="G2515" t="s">
        <v>8287</v>
      </c>
      <c r="H2515" t="s">
        <v>8549</v>
      </c>
      <c r="I2515" t="s">
        <v>24</v>
      </c>
      <c r="J2515">
        <v>217</v>
      </c>
      <c r="K2515">
        <v>1868</v>
      </c>
      <c r="L2515">
        <v>591</v>
      </c>
      <c r="M2515">
        <f>COUNTIF(H2515:$H$2581,H2515)</f>
        <v>2</v>
      </c>
    </row>
    <row r="2516" spans="1:13" x14ac:dyDescent="0.2">
      <c r="A2516">
        <v>1833</v>
      </c>
      <c r="B2516" t="s">
        <v>1589</v>
      </c>
      <c r="C2516" t="s">
        <v>8289</v>
      </c>
      <c r="D2516" t="s">
        <v>13</v>
      </c>
      <c r="E2516" t="s">
        <v>8290</v>
      </c>
      <c r="F2516" t="s">
        <v>1592</v>
      </c>
      <c r="G2516" t="s">
        <v>8291</v>
      </c>
      <c r="H2516" t="s">
        <v>8549</v>
      </c>
      <c r="I2516" t="s">
        <v>24</v>
      </c>
      <c r="J2516">
        <v>213</v>
      </c>
      <c r="K2516">
        <v>1834</v>
      </c>
      <c r="L2516">
        <v>584</v>
      </c>
      <c r="M2516">
        <f>COUNTIF(H2516:$H$2581,H2516)</f>
        <v>1</v>
      </c>
    </row>
    <row r="2517" spans="1:13" x14ac:dyDescent="0.2">
      <c r="A2517">
        <v>2070</v>
      </c>
      <c r="B2517" t="s">
        <v>1965</v>
      </c>
      <c r="C2517" t="s">
        <v>8297</v>
      </c>
      <c r="D2517" t="s">
        <v>13</v>
      </c>
      <c r="E2517" t="s">
        <v>8298</v>
      </c>
      <c r="F2517" t="s">
        <v>1968</v>
      </c>
      <c r="G2517" t="s">
        <v>8299</v>
      </c>
      <c r="H2517" t="s">
        <v>8618</v>
      </c>
      <c r="I2517" t="b">
        <v>1</v>
      </c>
      <c r="J2517">
        <v>240</v>
      </c>
      <c r="K2517">
        <v>2071</v>
      </c>
      <c r="L2517">
        <v>431</v>
      </c>
      <c r="M2517">
        <f>COUNTIF(H2517:$H$2581,H2517)</f>
        <v>2</v>
      </c>
    </row>
    <row r="2518" spans="1:13" x14ac:dyDescent="0.2">
      <c r="A2518">
        <v>2024</v>
      </c>
      <c r="B2518" t="s">
        <v>444</v>
      </c>
      <c r="C2518" t="s">
        <v>8304</v>
      </c>
      <c r="D2518" t="s">
        <v>13</v>
      </c>
      <c r="E2518" t="s">
        <v>8305</v>
      </c>
      <c r="F2518" t="s">
        <v>447</v>
      </c>
      <c r="G2518" t="s">
        <v>8306</v>
      </c>
      <c r="H2518" t="s">
        <v>8618</v>
      </c>
      <c r="I2518" t="s">
        <v>24</v>
      </c>
      <c r="J2518">
        <v>233</v>
      </c>
      <c r="K2518">
        <v>2025</v>
      </c>
      <c r="L2518">
        <v>450</v>
      </c>
      <c r="M2518">
        <f>COUNTIF(H2518:$H$2581,H2518)</f>
        <v>1</v>
      </c>
    </row>
    <row r="2519" spans="1:13" x14ac:dyDescent="0.2">
      <c r="A2519">
        <v>2238</v>
      </c>
      <c r="B2519" t="s">
        <v>165</v>
      </c>
      <c r="C2519" t="s">
        <v>8344</v>
      </c>
      <c r="D2519" t="s">
        <v>13</v>
      </c>
      <c r="E2519" s="1" t="s">
        <v>8345</v>
      </c>
      <c r="F2519" t="s">
        <v>168</v>
      </c>
      <c r="G2519" t="s">
        <v>8346</v>
      </c>
      <c r="H2519" t="s">
        <v>8628</v>
      </c>
      <c r="I2519" t="s">
        <v>24</v>
      </c>
      <c r="J2519">
        <v>261</v>
      </c>
      <c r="K2519">
        <v>2239</v>
      </c>
      <c r="L2519">
        <v>42</v>
      </c>
      <c r="M2519">
        <f>COUNTIF(H2519:$H$2581,H2519)</f>
        <v>3</v>
      </c>
    </row>
    <row r="2520" spans="1:13" x14ac:dyDescent="0.2">
      <c r="A2520">
        <v>1382</v>
      </c>
      <c r="B2520" t="s">
        <v>603</v>
      </c>
      <c r="C2520" t="s">
        <v>8351</v>
      </c>
      <c r="D2520" t="s">
        <v>33</v>
      </c>
      <c r="E2520" t="s">
        <v>8352</v>
      </c>
      <c r="F2520" t="s">
        <v>606</v>
      </c>
      <c r="G2520" t="s">
        <v>8353</v>
      </c>
      <c r="H2520" t="s">
        <v>8628</v>
      </c>
      <c r="I2520" t="s">
        <v>24</v>
      </c>
      <c r="J2520">
        <v>166</v>
      </c>
      <c r="K2520">
        <v>1383</v>
      </c>
      <c r="L2520">
        <v>164</v>
      </c>
      <c r="M2520">
        <f>COUNTIF(H2520:$H$2581,H2520)</f>
        <v>2</v>
      </c>
    </row>
    <row r="2521" spans="1:13" x14ac:dyDescent="0.2">
      <c r="A2521">
        <v>1826</v>
      </c>
      <c r="B2521" t="s">
        <v>434</v>
      </c>
      <c r="C2521" t="s">
        <v>8364</v>
      </c>
      <c r="D2521" t="s">
        <v>13</v>
      </c>
      <c r="E2521" t="s">
        <v>8365</v>
      </c>
      <c r="F2521" t="s">
        <v>437</v>
      </c>
      <c r="G2521" t="s">
        <v>8366</v>
      </c>
      <c r="H2521" t="s">
        <v>8628</v>
      </c>
      <c r="I2521" t="b">
        <v>0</v>
      </c>
      <c r="J2521">
        <v>212</v>
      </c>
      <c r="K2521">
        <v>1827</v>
      </c>
      <c r="L2521">
        <v>307</v>
      </c>
      <c r="M2521">
        <f>COUNTIF(H2521:$H$2581,H2521)</f>
        <v>1</v>
      </c>
    </row>
    <row r="2522" spans="1:13" x14ac:dyDescent="0.2">
      <c r="A2522">
        <v>1788</v>
      </c>
      <c r="B2522" t="s">
        <v>216</v>
      </c>
      <c r="C2522" t="s">
        <v>8377</v>
      </c>
      <c r="D2522" t="s">
        <v>54</v>
      </c>
      <c r="E2522" t="s">
        <v>8378</v>
      </c>
      <c r="F2522" t="s">
        <v>219</v>
      </c>
      <c r="G2522" t="s">
        <v>8379</v>
      </c>
      <c r="H2522" t="s">
        <v>8645</v>
      </c>
      <c r="I2522" t="b">
        <v>1</v>
      </c>
      <c r="J2522">
        <v>209</v>
      </c>
      <c r="K2522">
        <v>1789</v>
      </c>
      <c r="L2522">
        <v>171</v>
      </c>
      <c r="M2522">
        <f>COUNTIF(H2522:$H$2581,H2522)</f>
        <v>1</v>
      </c>
    </row>
    <row r="2523" spans="1:13" x14ac:dyDescent="0.2">
      <c r="A2523">
        <v>2239</v>
      </c>
      <c r="B2523" t="s">
        <v>165</v>
      </c>
      <c r="C2523" t="s">
        <v>8393</v>
      </c>
      <c r="D2523" t="s">
        <v>54</v>
      </c>
      <c r="E2523" t="s">
        <v>8394</v>
      </c>
      <c r="F2523" t="s">
        <v>168</v>
      </c>
      <c r="G2523" t="s">
        <v>8395</v>
      </c>
      <c r="H2523" t="s">
        <v>8671</v>
      </c>
      <c r="I2523" t="s">
        <v>24</v>
      </c>
      <c r="J2523">
        <v>261</v>
      </c>
      <c r="K2523">
        <v>2240</v>
      </c>
      <c r="L2523">
        <v>214</v>
      </c>
      <c r="M2523">
        <f>COUNTIF(H2523:$H$2581,H2523)</f>
        <v>2</v>
      </c>
    </row>
    <row r="2524" spans="1:13" x14ac:dyDescent="0.2">
      <c r="A2524">
        <v>1356</v>
      </c>
      <c r="B2524" t="s">
        <v>571</v>
      </c>
      <c r="C2524" t="s">
        <v>8396</v>
      </c>
      <c r="D2524" t="s">
        <v>13</v>
      </c>
      <c r="E2524" t="s">
        <v>8397</v>
      </c>
      <c r="F2524" t="s">
        <v>574</v>
      </c>
      <c r="G2524" t="s">
        <v>8398</v>
      </c>
      <c r="H2524" t="s">
        <v>8671</v>
      </c>
      <c r="I2524" t="b">
        <v>0</v>
      </c>
      <c r="J2524">
        <v>165</v>
      </c>
      <c r="K2524">
        <v>1357</v>
      </c>
      <c r="L2524">
        <v>455</v>
      </c>
      <c r="M2524">
        <f>COUNTIF(H2524:$H$2581,H2524)</f>
        <v>1</v>
      </c>
    </row>
    <row r="2525" spans="1:13" x14ac:dyDescent="0.2">
      <c r="A2525">
        <v>1533</v>
      </c>
      <c r="B2525" t="s">
        <v>715</v>
      </c>
      <c r="C2525" t="s">
        <v>8407</v>
      </c>
      <c r="D2525" t="s">
        <v>13</v>
      </c>
      <c r="E2525" t="s">
        <v>8408</v>
      </c>
      <c r="F2525" t="s">
        <v>718</v>
      </c>
      <c r="G2525" t="s">
        <v>8409</v>
      </c>
      <c r="H2525" t="s">
        <v>8681</v>
      </c>
      <c r="I2525" t="s">
        <v>24</v>
      </c>
      <c r="J2525">
        <v>186</v>
      </c>
      <c r="K2525">
        <v>1534</v>
      </c>
      <c r="L2525">
        <v>165</v>
      </c>
      <c r="M2525">
        <f>COUNTIF(H2525:$H$2581,H2525)</f>
        <v>1</v>
      </c>
    </row>
    <row r="2526" spans="1:13" x14ac:dyDescent="0.2">
      <c r="A2526">
        <v>1016</v>
      </c>
      <c r="B2526" t="s">
        <v>1268</v>
      </c>
      <c r="C2526" t="s">
        <v>8429</v>
      </c>
      <c r="D2526" t="s">
        <v>54</v>
      </c>
      <c r="E2526" t="s">
        <v>8430</v>
      </c>
      <c r="F2526" t="s">
        <v>1271</v>
      </c>
      <c r="G2526" t="s">
        <v>8431</v>
      </c>
      <c r="H2526" t="s">
        <v>8688</v>
      </c>
      <c r="I2526" t="s">
        <v>24</v>
      </c>
      <c r="J2526">
        <v>126</v>
      </c>
      <c r="K2526">
        <v>1017</v>
      </c>
      <c r="L2526">
        <v>130</v>
      </c>
      <c r="M2526">
        <f>COUNTIF(H2526:$H$2581,H2526)</f>
        <v>1</v>
      </c>
    </row>
    <row r="2527" spans="1:13" x14ac:dyDescent="0.2">
      <c r="A2527">
        <v>2485</v>
      </c>
      <c r="B2527" t="s">
        <v>1626</v>
      </c>
      <c r="C2527" t="s">
        <v>8438</v>
      </c>
      <c r="D2527" t="s">
        <v>33</v>
      </c>
      <c r="E2527" t="s">
        <v>8439</v>
      </c>
      <c r="F2527" t="s">
        <v>1629</v>
      </c>
      <c r="G2527" t="s">
        <v>8440</v>
      </c>
      <c r="H2527" t="s">
        <v>8707</v>
      </c>
      <c r="I2527" t="b">
        <v>0</v>
      </c>
      <c r="J2527">
        <v>287</v>
      </c>
      <c r="K2527">
        <v>2486</v>
      </c>
      <c r="L2527">
        <v>168</v>
      </c>
      <c r="M2527">
        <f>COUNTIF(H2527:$H$2581,H2527)</f>
        <v>34</v>
      </c>
    </row>
    <row r="2528" spans="1:13" x14ac:dyDescent="0.2">
      <c r="A2528">
        <v>801</v>
      </c>
      <c r="B2528" t="s">
        <v>116</v>
      </c>
      <c r="C2528" t="s">
        <v>8445</v>
      </c>
      <c r="D2528" t="s">
        <v>54</v>
      </c>
      <c r="E2528" t="s">
        <v>8446</v>
      </c>
      <c r="F2528" t="s">
        <v>119</v>
      </c>
      <c r="G2528" t="s">
        <v>8447</v>
      </c>
      <c r="H2528" t="s">
        <v>8707</v>
      </c>
      <c r="I2528" t="s">
        <v>24</v>
      </c>
      <c r="J2528">
        <v>112</v>
      </c>
      <c r="K2528">
        <v>802</v>
      </c>
      <c r="L2528">
        <v>296</v>
      </c>
      <c r="M2528">
        <f>COUNTIF(H2528:$H$2581,H2528)</f>
        <v>33</v>
      </c>
    </row>
    <row r="2529" spans="1:13" x14ac:dyDescent="0.2">
      <c r="A2529">
        <v>2375</v>
      </c>
      <c r="B2529" t="s">
        <v>1816</v>
      </c>
      <c r="C2529" t="s">
        <v>8452</v>
      </c>
      <c r="D2529" t="s">
        <v>54</v>
      </c>
      <c r="E2529" t="s">
        <v>8453</v>
      </c>
      <c r="F2529" t="s">
        <v>1819</v>
      </c>
      <c r="G2529" t="s">
        <v>8454</v>
      </c>
      <c r="H2529" t="s">
        <v>8707</v>
      </c>
      <c r="I2529" t="s">
        <v>24</v>
      </c>
      <c r="J2529">
        <v>276</v>
      </c>
      <c r="K2529">
        <v>2376</v>
      </c>
      <c r="L2529">
        <v>528</v>
      </c>
      <c r="M2529">
        <f>COUNTIF(H2529:$H$2581,H2529)</f>
        <v>32</v>
      </c>
    </row>
    <row r="2530" spans="1:13" x14ac:dyDescent="0.2">
      <c r="A2530">
        <v>2414</v>
      </c>
      <c r="B2530" t="s">
        <v>793</v>
      </c>
      <c r="C2530" t="s">
        <v>8455</v>
      </c>
      <c r="D2530" t="s">
        <v>13</v>
      </c>
      <c r="E2530" t="s">
        <v>8456</v>
      </c>
      <c r="F2530" t="s">
        <v>796</v>
      </c>
      <c r="G2530" t="s">
        <v>8457</v>
      </c>
      <c r="H2530" t="s">
        <v>8707</v>
      </c>
      <c r="I2530" t="s">
        <v>24</v>
      </c>
      <c r="J2530">
        <v>282</v>
      </c>
      <c r="K2530">
        <v>2415</v>
      </c>
      <c r="L2530">
        <v>702</v>
      </c>
      <c r="M2530">
        <f>COUNTIF(H2530:$H$2581,H2530)</f>
        <v>31</v>
      </c>
    </row>
    <row r="2531" spans="1:13" x14ac:dyDescent="0.2">
      <c r="A2531">
        <v>774</v>
      </c>
      <c r="B2531" t="s">
        <v>368</v>
      </c>
      <c r="C2531" t="s">
        <v>8463</v>
      </c>
      <c r="D2531" t="s">
        <v>54</v>
      </c>
      <c r="E2531" t="s">
        <v>8464</v>
      </c>
      <c r="F2531" t="s">
        <v>371</v>
      </c>
      <c r="G2531" t="s">
        <v>8465</v>
      </c>
      <c r="H2531" t="s">
        <v>8707</v>
      </c>
      <c r="I2531" t="s">
        <v>24</v>
      </c>
      <c r="J2531">
        <v>109</v>
      </c>
      <c r="K2531">
        <v>775</v>
      </c>
      <c r="L2531">
        <v>243</v>
      </c>
      <c r="M2531">
        <f>COUNTIF(H2531:$H$2581,H2531)</f>
        <v>30</v>
      </c>
    </row>
    <row r="2532" spans="1:13" x14ac:dyDescent="0.2">
      <c r="A2532">
        <v>1952</v>
      </c>
      <c r="B2532" t="s">
        <v>439</v>
      </c>
      <c r="C2532" t="s">
        <v>8484</v>
      </c>
      <c r="D2532" t="s">
        <v>33</v>
      </c>
      <c r="E2532" t="s">
        <v>8485</v>
      </c>
      <c r="F2532" t="s">
        <v>442</v>
      </c>
      <c r="G2532" t="s">
        <v>8486</v>
      </c>
      <c r="H2532" t="s">
        <v>8707</v>
      </c>
      <c r="I2532" t="b">
        <v>0</v>
      </c>
      <c r="J2532">
        <v>224</v>
      </c>
      <c r="K2532">
        <v>1953</v>
      </c>
      <c r="L2532">
        <v>147</v>
      </c>
      <c r="M2532">
        <f>COUNTIF(H2532:$H$2581,H2532)</f>
        <v>29</v>
      </c>
    </row>
    <row r="2533" spans="1:13" x14ac:dyDescent="0.2">
      <c r="A2533">
        <v>1514</v>
      </c>
      <c r="B2533" t="s">
        <v>2438</v>
      </c>
      <c r="C2533" t="s">
        <v>8487</v>
      </c>
      <c r="D2533" t="s">
        <v>33</v>
      </c>
      <c r="E2533" t="s">
        <v>8488</v>
      </c>
      <c r="F2533" t="s">
        <v>2441</v>
      </c>
      <c r="G2533" t="s">
        <v>8489</v>
      </c>
      <c r="H2533" t="s">
        <v>8707</v>
      </c>
      <c r="I2533" t="b">
        <v>0</v>
      </c>
      <c r="J2533">
        <v>183</v>
      </c>
      <c r="K2533">
        <v>1515</v>
      </c>
      <c r="L2533">
        <v>508</v>
      </c>
      <c r="M2533">
        <f>COUNTIF(H2533:$H$2581,H2533)</f>
        <v>28</v>
      </c>
    </row>
    <row r="2534" spans="1:13" x14ac:dyDescent="0.2">
      <c r="A2534">
        <v>1279</v>
      </c>
      <c r="B2534" t="s">
        <v>1273</v>
      </c>
      <c r="C2534" t="s">
        <v>8491</v>
      </c>
      <c r="D2534" t="s">
        <v>13</v>
      </c>
      <c r="E2534" t="s">
        <v>8492</v>
      </c>
      <c r="F2534" t="s">
        <v>1276</v>
      </c>
      <c r="G2534" t="s">
        <v>8493</v>
      </c>
      <c r="H2534" t="s">
        <v>8707</v>
      </c>
      <c r="I2534" t="b">
        <v>1</v>
      </c>
      <c r="J2534">
        <v>157</v>
      </c>
      <c r="K2534">
        <v>1280</v>
      </c>
      <c r="L2534">
        <v>439</v>
      </c>
      <c r="M2534">
        <f>COUNTIF(H2534:$H$2581,H2534)</f>
        <v>27</v>
      </c>
    </row>
    <row r="2535" spans="1:13" x14ac:dyDescent="0.2">
      <c r="A2535">
        <v>778</v>
      </c>
      <c r="B2535" t="s">
        <v>111</v>
      </c>
      <c r="C2535" t="s">
        <v>8517</v>
      </c>
      <c r="D2535" t="s">
        <v>33</v>
      </c>
      <c r="E2535" t="s">
        <v>8518</v>
      </c>
      <c r="F2535" t="s">
        <v>114</v>
      </c>
      <c r="G2535" t="s">
        <v>8519</v>
      </c>
      <c r="H2535" t="s">
        <v>8707</v>
      </c>
      <c r="I2535" t="s">
        <v>24</v>
      </c>
      <c r="J2535">
        <v>110</v>
      </c>
      <c r="K2535">
        <v>779</v>
      </c>
      <c r="L2535">
        <v>58</v>
      </c>
      <c r="M2535">
        <f>COUNTIF(H2535:$H$2581,H2535)</f>
        <v>26</v>
      </c>
    </row>
    <row r="2536" spans="1:13" x14ac:dyDescent="0.2">
      <c r="A2536">
        <v>1049</v>
      </c>
      <c r="B2536" t="s">
        <v>1456</v>
      </c>
      <c r="C2536" t="s">
        <v>8520</v>
      </c>
      <c r="D2536" t="s">
        <v>54</v>
      </c>
      <c r="E2536" t="s">
        <v>8521</v>
      </c>
      <c r="F2536" t="s">
        <v>1459</v>
      </c>
      <c r="G2536" t="s">
        <v>8522</v>
      </c>
      <c r="H2536" t="s">
        <v>8707</v>
      </c>
      <c r="I2536" t="s">
        <v>24</v>
      </c>
      <c r="J2536">
        <v>130</v>
      </c>
      <c r="K2536">
        <v>1050</v>
      </c>
      <c r="L2536">
        <v>373</v>
      </c>
      <c r="M2536">
        <f>COUNTIF(H2536:$H$2581,H2536)</f>
        <v>25</v>
      </c>
    </row>
    <row r="2537" spans="1:13" x14ac:dyDescent="0.2">
      <c r="A2537">
        <v>2525</v>
      </c>
      <c r="B2537" t="s">
        <v>2029</v>
      </c>
      <c r="C2537" t="s">
        <v>8543</v>
      </c>
      <c r="D2537" t="s">
        <v>13</v>
      </c>
      <c r="E2537" t="s">
        <v>8544</v>
      </c>
      <c r="F2537" t="s">
        <v>2032</v>
      </c>
      <c r="G2537" t="s">
        <v>8545</v>
      </c>
      <c r="H2537" t="s">
        <v>8707</v>
      </c>
      <c r="I2537" t="s">
        <v>24</v>
      </c>
      <c r="J2537">
        <v>292</v>
      </c>
      <c r="K2537">
        <v>2526</v>
      </c>
      <c r="L2537">
        <v>110</v>
      </c>
      <c r="M2537">
        <f>COUNTIF(H2537:$H$2581,H2537)</f>
        <v>24</v>
      </c>
    </row>
    <row r="2538" spans="1:13" x14ac:dyDescent="0.2">
      <c r="A2538">
        <v>2576</v>
      </c>
      <c r="B2538" t="s">
        <v>226</v>
      </c>
      <c r="C2538" t="s">
        <v>8612</v>
      </c>
      <c r="D2538" t="s">
        <v>13</v>
      </c>
      <c r="E2538" t="s">
        <v>8613</v>
      </c>
      <c r="F2538" t="s">
        <v>229</v>
      </c>
      <c r="G2538" t="s">
        <v>8614</v>
      </c>
      <c r="H2538" t="s">
        <v>8707</v>
      </c>
      <c r="I2538" t="b">
        <v>1</v>
      </c>
      <c r="J2538">
        <v>299</v>
      </c>
      <c r="K2538">
        <v>2577</v>
      </c>
      <c r="L2538">
        <v>56</v>
      </c>
      <c r="M2538">
        <f>COUNTIF(H2538:$H$2581,H2538)</f>
        <v>23</v>
      </c>
    </row>
    <row r="2539" spans="1:13" x14ac:dyDescent="0.2">
      <c r="A2539">
        <v>1878</v>
      </c>
      <c r="B2539" t="s">
        <v>749</v>
      </c>
      <c r="C2539" t="s">
        <v>8622</v>
      </c>
      <c r="D2539" t="s">
        <v>54</v>
      </c>
      <c r="E2539" t="s">
        <v>8623</v>
      </c>
      <c r="F2539" t="s">
        <v>752</v>
      </c>
      <c r="G2539" t="s">
        <v>8624</v>
      </c>
      <c r="H2539" t="s">
        <v>8707</v>
      </c>
      <c r="I2539" t="s">
        <v>24</v>
      </c>
      <c r="J2539">
        <v>218</v>
      </c>
      <c r="K2539">
        <v>1879</v>
      </c>
      <c r="L2539">
        <v>215</v>
      </c>
      <c r="M2539">
        <f>COUNTIF(H2539:$H$2581,H2539)</f>
        <v>22</v>
      </c>
    </row>
    <row r="2540" spans="1:13" x14ac:dyDescent="0.2">
      <c r="A2540">
        <v>2577</v>
      </c>
      <c r="B2540" t="s">
        <v>226</v>
      </c>
      <c r="C2540" t="s">
        <v>8635</v>
      </c>
      <c r="D2540" t="s">
        <v>13</v>
      </c>
      <c r="E2540" t="s">
        <v>8636</v>
      </c>
      <c r="F2540" t="s">
        <v>229</v>
      </c>
      <c r="G2540" t="s">
        <v>8637</v>
      </c>
      <c r="H2540" t="s">
        <v>8707</v>
      </c>
      <c r="I2540" t="b">
        <v>1</v>
      </c>
      <c r="J2540">
        <v>299</v>
      </c>
      <c r="K2540">
        <v>2578</v>
      </c>
      <c r="L2540">
        <v>242</v>
      </c>
      <c r="M2540">
        <f>COUNTIF(H2540:$H$2581,H2540)</f>
        <v>21</v>
      </c>
    </row>
    <row r="2541" spans="1:13" x14ac:dyDescent="0.2">
      <c r="A2541">
        <v>1217</v>
      </c>
      <c r="B2541" t="s">
        <v>768</v>
      </c>
      <c r="C2541" t="s">
        <v>8638</v>
      </c>
      <c r="D2541" t="s">
        <v>54</v>
      </c>
      <c r="E2541" t="s">
        <v>8639</v>
      </c>
      <c r="F2541" t="s">
        <v>771</v>
      </c>
      <c r="G2541" t="s">
        <v>8640</v>
      </c>
      <c r="H2541" t="s">
        <v>8707</v>
      </c>
      <c r="I2541" t="s">
        <v>24</v>
      </c>
      <c r="J2541">
        <v>148</v>
      </c>
      <c r="K2541">
        <v>1218</v>
      </c>
      <c r="L2541">
        <v>416</v>
      </c>
      <c r="M2541">
        <f>COUNTIF(H2541:$H$2581,H2541)</f>
        <v>20</v>
      </c>
    </row>
    <row r="2542" spans="1:13" x14ac:dyDescent="0.2">
      <c r="A2542">
        <v>1261</v>
      </c>
      <c r="B2542" t="s">
        <v>3822</v>
      </c>
      <c r="C2542" t="s">
        <v>8646</v>
      </c>
      <c r="D2542" t="s">
        <v>13</v>
      </c>
      <c r="E2542" t="s">
        <v>8647</v>
      </c>
      <c r="F2542" t="s">
        <v>3825</v>
      </c>
      <c r="G2542" t="s">
        <v>8648</v>
      </c>
      <c r="H2542" t="s">
        <v>8707</v>
      </c>
      <c r="I2542" t="s">
        <v>24</v>
      </c>
      <c r="J2542">
        <v>155</v>
      </c>
      <c r="K2542">
        <v>1262</v>
      </c>
      <c r="L2542">
        <v>292</v>
      </c>
      <c r="M2542">
        <f>COUNTIF(H2542:$H$2581,H2542)</f>
        <v>19</v>
      </c>
    </row>
    <row r="2543" spans="1:13" x14ac:dyDescent="0.2">
      <c r="A2543">
        <v>1827</v>
      </c>
      <c r="B2543" t="s">
        <v>434</v>
      </c>
      <c r="C2543" t="s">
        <v>8649</v>
      </c>
      <c r="D2543" t="s">
        <v>13</v>
      </c>
      <c r="E2543" t="s">
        <v>8650</v>
      </c>
      <c r="F2543" t="s">
        <v>437</v>
      </c>
      <c r="G2543" t="s">
        <v>8651</v>
      </c>
      <c r="H2543" t="s">
        <v>8707</v>
      </c>
      <c r="I2543" t="b">
        <v>0</v>
      </c>
      <c r="J2543">
        <v>212</v>
      </c>
      <c r="K2543">
        <v>1828</v>
      </c>
      <c r="L2543">
        <v>582</v>
      </c>
      <c r="M2543">
        <f>COUNTIF(H2543:$H$2581,H2543)</f>
        <v>18</v>
      </c>
    </row>
    <row r="2544" spans="1:13" x14ac:dyDescent="0.2">
      <c r="A2544">
        <v>808</v>
      </c>
      <c r="B2544" t="s">
        <v>492</v>
      </c>
      <c r="C2544" t="s">
        <v>1081</v>
      </c>
      <c r="D2544" t="s">
        <v>13</v>
      </c>
      <c r="E2544" t="s">
        <v>8653</v>
      </c>
      <c r="F2544" t="s">
        <v>495</v>
      </c>
      <c r="G2544" t="s">
        <v>8654</v>
      </c>
      <c r="H2544" t="s">
        <v>8707</v>
      </c>
      <c r="I2544" t="b">
        <v>0</v>
      </c>
      <c r="J2544">
        <v>113</v>
      </c>
      <c r="K2544">
        <v>809</v>
      </c>
      <c r="L2544">
        <v>319</v>
      </c>
      <c r="M2544">
        <f>COUNTIF(H2544:$H$2581,H2544)</f>
        <v>17</v>
      </c>
    </row>
    <row r="2545" spans="1:13" x14ac:dyDescent="0.2">
      <c r="A2545">
        <v>243</v>
      </c>
      <c r="B2545" t="s">
        <v>1120</v>
      </c>
      <c r="C2545" t="s">
        <v>8656</v>
      </c>
      <c r="D2545" t="s">
        <v>13</v>
      </c>
      <c r="E2545" t="s">
        <v>8657</v>
      </c>
      <c r="F2545" s="1" t="s">
        <v>1123</v>
      </c>
      <c r="G2545" t="s">
        <v>8658</v>
      </c>
      <c r="H2545" t="s">
        <v>8707</v>
      </c>
      <c r="I2545" t="b">
        <v>0</v>
      </c>
      <c r="J2545">
        <v>40</v>
      </c>
      <c r="K2545">
        <v>244</v>
      </c>
      <c r="L2545">
        <v>111</v>
      </c>
      <c r="M2545">
        <f>COUNTIF(H2545:$H$2581,H2545)</f>
        <v>16</v>
      </c>
    </row>
    <row r="2546" spans="1:13" x14ac:dyDescent="0.2">
      <c r="A2546">
        <v>716</v>
      </c>
      <c r="B2546" t="s">
        <v>730</v>
      </c>
      <c r="C2546" t="s">
        <v>8660</v>
      </c>
      <c r="D2546" t="s">
        <v>13</v>
      </c>
      <c r="E2546" t="s">
        <v>8661</v>
      </c>
      <c r="F2546" t="s">
        <v>733</v>
      </c>
      <c r="G2546" t="s">
        <v>8662</v>
      </c>
      <c r="H2546" t="s">
        <v>8707</v>
      </c>
      <c r="I2546" t="s">
        <v>24</v>
      </c>
      <c r="J2546">
        <v>103</v>
      </c>
      <c r="K2546">
        <v>717</v>
      </c>
      <c r="L2546">
        <v>297</v>
      </c>
      <c r="M2546">
        <f>COUNTIF(H2546:$H$2581,H2546)</f>
        <v>15</v>
      </c>
    </row>
    <row r="2547" spans="1:13" x14ac:dyDescent="0.2">
      <c r="A2547">
        <v>2347</v>
      </c>
      <c r="B2547" t="s">
        <v>900</v>
      </c>
      <c r="C2547" t="s">
        <v>8664</v>
      </c>
      <c r="D2547" t="s">
        <v>33</v>
      </c>
      <c r="E2547" t="s">
        <v>8665</v>
      </c>
      <c r="F2547" t="s">
        <v>903</v>
      </c>
      <c r="G2547" t="s">
        <v>8666</v>
      </c>
      <c r="H2547" t="s">
        <v>8707</v>
      </c>
      <c r="I2547" t="b">
        <v>0</v>
      </c>
      <c r="J2547">
        <v>274</v>
      </c>
      <c r="K2547">
        <v>2348</v>
      </c>
      <c r="L2547">
        <v>686</v>
      </c>
      <c r="M2547">
        <f>COUNTIF(H2547:$H$2581,H2547)</f>
        <v>14</v>
      </c>
    </row>
    <row r="2548" spans="1:13" x14ac:dyDescent="0.2">
      <c r="A2548">
        <v>2453</v>
      </c>
      <c r="B2548" t="s">
        <v>1327</v>
      </c>
      <c r="C2548" t="s">
        <v>8675</v>
      </c>
      <c r="D2548" t="s">
        <v>33</v>
      </c>
      <c r="E2548" s="1" t="s">
        <v>8676</v>
      </c>
      <c r="F2548" t="s">
        <v>1330</v>
      </c>
      <c r="G2548" t="s">
        <v>8677</v>
      </c>
      <c r="H2548" t="s">
        <v>8707</v>
      </c>
      <c r="I2548" t="b">
        <v>0</v>
      </c>
      <c r="J2548">
        <v>283</v>
      </c>
      <c r="K2548">
        <v>2454</v>
      </c>
      <c r="L2548">
        <v>298</v>
      </c>
      <c r="M2548">
        <f>COUNTIF(H2548:$H$2581,H2548)</f>
        <v>13</v>
      </c>
    </row>
    <row r="2549" spans="1:13" x14ac:dyDescent="0.2">
      <c r="A2549">
        <v>677</v>
      </c>
      <c r="B2549" t="s">
        <v>822</v>
      </c>
      <c r="C2549" t="s">
        <v>8682</v>
      </c>
      <c r="D2549" t="s">
        <v>13</v>
      </c>
      <c r="E2549" t="s">
        <v>8683</v>
      </c>
      <c r="F2549" t="s">
        <v>825</v>
      </c>
      <c r="G2549" t="s">
        <v>8684</v>
      </c>
      <c r="H2549" t="s">
        <v>8707</v>
      </c>
      <c r="I2549" t="s">
        <v>24</v>
      </c>
      <c r="J2549">
        <v>99</v>
      </c>
      <c r="K2549">
        <v>678</v>
      </c>
      <c r="L2549">
        <v>172</v>
      </c>
      <c r="M2549">
        <f>COUNTIF(H2549:$H$2581,H2549)</f>
        <v>12</v>
      </c>
    </row>
    <row r="2550" spans="1:13" x14ac:dyDescent="0.2">
      <c r="A2550">
        <v>1645</v>
      </c>
      <c r="B2550" t="s">
        <v>720</v>
      </c>
      <c r="C2550" t="s">
        <v>8689</v>
      </c>
      <c r="D2550" t="s">
        <v>54</v>
      </c>
      <c r="E2550" t="s">
        <v>8690</v>
      </c>
      <c r="F2550" t="s">
        <v>723</v>
      </c>
      <c r="G2550" t="s">
        <v>8691</v>
      </c>
      <c r="H2550" t="s">
        <v>8707</v>
      </c>
      <c r="I2550" t="b">
        <v>1</v>
      </c>
      <c r="J2550">
        <v>197</v>
      </c>
      <c r="K2550">
        <v>1646</v>
      </c>
      <c r="L2550">
        <v>550</v>
      </c>
      <c r="M2550">
        <f>COUNTIF(H2550:$H$2581,H2550)</f>
        <v>11</v>
      </c>
    </row>
    <row r="2551" spans="1:13" x14ac:dyDescent="0.2">
      <c r="A2551">
        <v>2004</v>
      </c>
      <c r="B2551" t="s">
        <v>1009</v>
      </c>
      <c r="C2551" t="s">
        <v>8692</v>
      </c>
      <c r="D2551" t="s">
        <v>13</v>
      </c>
      <c r="E2551" t="s">
        <v>8693</v>
      </c>
      <c r="F2551" t="s">
        <v>1012</v>
      </c>
      <c r="G2551" t="s">
        <v>8694</v>
      </c>
      <c r="H2551" t="s">
        <v>8707</v>
      </c>
      <c r="I2551" t="s">
        <v>24</v>
      </c>
      <c r="J2551">
        <v>232</v>
      </c>
      <c r="K2551">
        <v>2005</v>
      </c>
      <c r="L2551">
        <v>615</v>
      </c>
      <c r="M2551">
        <f>COUNTIF(H2551:$H$2581,H2551)</f>
        <v>10</v>
      </c>
    </row>
    <row r="2552" spans="1:13" x14ac:dyDescent="0.2">
      <c r="A2552">
        <v>747</v>
      </c>
      <c r="B2552" t="s">
        <v>1237</v>
      </c>
      <c r="C2552" t="s">
        <v>8696</v>
      </c>
      <c r="D2552" t="s">
        <v>13</v>
      </c>
      <c r="E2552" t="s">
        <v>8697</v>
      </c>
      <c r="F2552" t="s">
        <v>1239</v>
      </c>
      <c r="G2552" t="s">
        <v>8698</v>
      </c>
      <c r="H2552" t="s">
        <v>8707</v>
      </c>
      <c r="I2552" t="s">
        <v>24</v>
      </c>
      <c r="J2552">
        <v>106</v>
      </c>
      <c r="K2552">
        <v>748</v>
      </c>
      <c r="L2552">
        <v>302</v>
      </c>
      <c r="M2552">
        <f>COUNTIF(H2552:$H$2581,H2552)</f>
        <v>9</v>
      </c>
    </row>
    <row r="2553" spans="1:13" x14ac:dyDescent="0.2">
      <c r="A2553">
        <v>589</v>
      </c>
      <c r="B2553" t="s">
        <v>6388</v>
      </c>
      <c r="C2553" t="s">
        <v>8700</v>
      </c>
      <c r="D2553" t="s">
        <v>33</v>
      </c>
      <c r="E2553" t="s">
        <v>8701</v>
      </c>
      <c r="F2553" t="s">
        <v>6391</v>
      </c>
      <c r="G2553" t="s">
        <v>8702</v>
      </c>
      <c r="H2553" t="s">
        <v>8707</v>
      </c>
      <c r="I2553" t="b">
        <v>0</v>
      </c>
      <c r="J2553">
        <v>88</v>
      </c>
      <c r="K2553">
        <v>590</v>
      </c>
      <c r="L2553">
        <v>258</v>
      </c>
      <c r="M2553">
        <f>COUNTIF(H2553:$H$2581,H2553)</f>
        <v>8</v>
      </c>
    </row>
    <row r="2554" spans="1:13" x14ac:dyDescent="0.2">
      <c r="A2554">
        <v>2579</v>
      </c>
      <c r="B2554" t="s">
        <v>226</v>
      </c>
      <c r="C2554" t="s">
        <v>8805</v>
      </c>
      <c r="D2554" t="s">
        <v>13</v>
      </c>
      <c r="E2554" t="s">
        <v>8806</v>
      </c>
      <c r="F2554" t="s">
        <v>229</v>
      </c>
      <c r="G2554" t="s">
        <v>8807</v>
      </c>
      <c r="H2554" t="s">
        <v>8707</v>
      </c>
      <c r="I2554" t="b">
        <v>1</v>
      </c>
      <c r="J2554">
        <v>299</v>
      </c>
      <c r="K2554">
        <v>2580</v>
      </c>
      <c r="L2554">
        <v>31</v>
      </c>
      <c r="M2554">
        <f>COUNTIF(H2554:$H$2581,H2554)</f>
        <v>7</v>
      </c>
    </row>
    <row r="2555" spans="1:13" x14ac:dyDescent="0.2">
      <c r="A2555">
        <v>2103</v>
      </c>
      <c r="B2555" t="s">
        <v>255</v>
      </c>
      <c r="C2555" t="s">
        <v>8835</v>
      </c>
      <c r="D2555" t="s">
        <v>13</v>
      </c>
      <c r="E2555" t="s">
        <v>8836</v>
      </c>
      <c r="F2555" t="s">
        <v>258</v>
      </c>
      <c r="G2555" t="s">
        <v>8837</v>
      </c>
      <c r="H2555" t="s">
        <v>8707</v>
      </c>
      <c r="I2555" t="s">
        <v>24</v>
      </c>
      <c r="J2555">
        <v>242</v>
      </c>
      <c r="K2555">
        <v>2104</v>
      </c>
      <c r="L2555">
        <v>254</v>
      </c>
      <c r="M2555">
        <f>COUNTIF(H2555:$H$2581,H2555)</f>
        <v>6</v>
      </c>
    </row>
    <row r="2556" spans="1:13" x14ac:dyDescent="0.2">
      <c r="A2556">
        <v>1815</v>
      </c>
      <c r="B2556" t="s">
        <v>1287</v>
      </c>
      <c r="C2556" t="s">
        <v>8838</v>
      </c>
      <c r="D2556" t="s">
        <v>33</v>
      </c>
      <c r="E2556" t="s">
        <v>8839</v>
      </c>
      <c r="F2556" t="s">
        <v>1290</v>
      </c>
      <c r="G2556" t="s">
        <v>8840</v>
      </c>
      <c r="H2556" t="s">
        <v>8707</v>
      </c>
      <c r="I2556" t="s">
        <v>24</v>
      </c>
      <c r="J2556">
        <v>210</v>
      </c>
      <c r="K2556">
        <v>1816</v>
      </c>
      <c r="L2556">
        <v>579</v>
      </c>
      <c r="M2556">
        <f>COUNTIF(H2556:$H$2581,H2556)</f>
        <v>5</v>
      </c>
    </row>
    <row r="2557" spans="1:13" x14ac:dyDescent="0.2">
      <c r="A2557">
        <v>1420</v>
      </c>
      <c r="B2557" t="s">
        <v>1397</v>
      </c>
      <c r="C2557" t="s">
        <v>8842</v>
      </c>
      <c r="D2557" t="s">
        <v>54</v>
      </c>
      <c r="E2557" t="s">
        <v>8843</v>
      </c>
      <c r="F2557" t="s">
        <v>1400</v>
      </c>
      <c r="G2557" t="s">
        <v>8844</v>
      </c>
      <c r="H2557" t="s">
        <v>8707</v>
      </c>
      <c r="I2557" t="b">
        <v>1</v>
      </c>
      <c r="J2557">
        <v>169</v>
      </c>
      <c r="K2557">
        <v>1421</v>
      </c>
      <c r="L2557">
        <v>475</v>
      </c>
      <c r="M2557">
        <f>COUNTIF(H2557:$H$2581,H2557)</f>
        <v>4</v>
      </c>
    </row>
    <row r="2558" spans="1:13" x14ac:dyDescent="0.2">
      <c r="A2558">
        <v>1384</v>
      </c>
      <c r="B2558" t="s">
        <v>603</v>
      </c>
      <c r="C2558" t="s">
        <v>8846</v>
      </c>
      <c r="D2558" t="s">
        <v>13</v>
      </c>
      <c r="E2558" t="s">
        <v>8847</v>
      </c>
      <c r="F2558" t="s">
        <v>606</v>
      </c>
      <c r="G2558" t="s">
        <v>8848</v>
      </c>
      <c r="H2558" t="s">
        <v>8707</v>
      </c>
      <c r="I2558" t="s">
        <v>24</v>
      </c>
      <c r="J2558">
        <v>166</v>
      </c>
      <c r="K2558">
        <v>1385</v>
      </c>
      <c r="L2558">
        <v>461</v>
      </c>
      <c r="M2558">
        <f>COUNTIF(H2558:$H$2581,H2558)</f>
        <v>3</v>
      </c>
    </row>
    <row r="2559" spans="1:13" x14ac:dyDescent="0.2">
      <c r="A2559">
        <v>2349</v>
      </c>
      <c r="B2559" t="s">
        <v>900</v>
      </c>
      <c r="C2559" t="s">
        <v>8850</v>
      </c>
      <c r="D2559" t="s">
        <v>13</v>
      </c>
      <c r="E2559" t="s">
        <v>8851</v>
      </c>
      <c r="F2559" t="s">
        <v>903</v>
      </c>
      <c r="G2559" t="s">
        <v>8852</v>
      </c>
      <c r="H2559" t="s">
        <v>8707</v>
      </c>
      <c r="I2559" t="b">
        <v>0</v>
      </c>
      <c r="J2559">
        <v>274</v>
      </c>
      <c r="K2559">
        <v>2350</v>
      </c>
      <c r="L2559">
        <v>687</v>
      </c>
      <c r="M2559">
        <f>COUNTIF(H2559:$H$2581,H2559)</f>
        <v>2</v>
      </c>
    </row>
    <row r="2560" spans="1:13" x14ac:dyDescent="0.2">
      <c r="A2560">
        <v>454</v>
      </c>
      <c r="B2560" t="s">
        <v>778</v>
      </c>
      <c r="C2560" t="s">
        <v>8854</v>
      </c>
      <c r="D2560" t="s">
        <v>13</v>
      </c>
      <c r="E2560" t="s">
        <v>8855</v>
      </c>
      <c r="F2560" t="s">
        <v>781</v>
      </c>
      <c r="G2560" t="s">
        <v>8856</v>
      </c>
      <c r="H2560" t="s">
        <v>8707</v>
      </c>
      <c r="I2560" t="b">
        <v>0</v>
      </c>
      <c r="J2560">
        <v>64</v>
      </c>
      <c r="K2560">
        <v>455</v>
      </c>
      <c r="L2560">
        <v>202</v>
      </c>
      <c r="M2560">
        <f>COUNTIF(H2560:$H$2581,H2560)</f>
        <v>1</v>
      </c>
    </row>
    <row r="2561" spans="1:13" x14ac:dyDescent="0.2">
      <c r="A2561">
        <v>2544</v>
      </c>
      <c r="B2561" t="s">
        <v>754</v>
      </c>
      <c r="C2561" t="s">
        <v>8862</v>
      </c>
      <c r="D2561" t="s">
        <v>33</v>
      </c>
      <c r="E2561" t="s">
        <v>8863</v>
      </c>
      <c r="F2561" t="s">
        <v>757</v>
      </c>
      <c r="G2561" t="s">
        <v>8864</v>
      </c>
      <c r="H2561" t="s">
        <v>8811</v>
      </c>
      <c r="I2561" t="b">
        <v>0</v>
      </c>
      <c r="J2561">
        <v>294</v>
      </c>
      <c r="K2561">
        <v>2545</v>
      </c>
      <c r="L2561">
        <v>259</v>
      </c>
      <c r="M2561">
        <f>COUNTIF(H2561:$H$2581,H2561)</f>
        <v>9</v>
      </c>
    </row>
    <row r="2562" spans="1:13" x14ac:dyDescent="0.2">
      <c r="A2562">
        <v>1903</v>
      </c>
      <c r="B2562" t="s">
        <v>8049</v>
      </c>
      <c r="C2562" t="s">
        <v>8865</v>
      </c>
      <c r="D2562" t="s">
        <v>54</v>
      </c>
      <c r="E2562" t="s">
        <v>8866</v>
      </c>
      <c r="F2562" t="s">
        <v>8052</v>
      </c>
      <c r="G2562" t="s">
        <v>8867</v>
      </c>
      <c r="H2562" t="s">
        <v>8811</v>
      </c>
      <c r="I2562" t="b">
        <v>0</v>
      </c>
      <c r="J2562">
        <v>221</v>
      </c>
      <c r="K2562">
        <v>1904</v>
      </c>
      <c r="L2562">
        <v>598</v>
      </c>
      <c r="M2562">
        <f>COUNTIF(H2562:$H$2581,H2562)</f>
        <v>8</v>
      </c>
    </row>
    <row r="2563" spans="1:13" x14ac:dyDescent="0.2">
      <c r="A2563">
        <v>579</v>
      </c>
      <c r="B2563" t="s">
        <v>1338</v>
      </c>
      <c r="C2563" t="s">
        <v>8869</v>
      </c>
      <c r="D2563" t="s">
        <v>13</v>
      </c>
      <c r="E2563" t="s">
        <v>8870</v>
      </c>
      <c r="F2563" t="s">
        <v>1341</v>
      </c>
      <c r="G2563" t="s">
        <v>8871</v>
      </c>
      <c r="H2563" t="s">
        <v>8811</v>
      </c>
      <c r="I2563" t="b">
        <v>0</v>
      </c>
      <c r="J2563">
        <v>86</v>
      </c>
      <c r="K2563">
        <v>580</v>
      </c>
      <c r="L2563">
        <v>257</v>
      </c>
      <c r="M2563">
        <f>COUNTIF(H2563:$H$2581,H2563)</f>
        <v>7</v>
      </c>
    </row>
    <row r="2564" spans="1:13" x14ac:dyDescent="0.2">
      <c r="A2564">
        <v>426</v>
      </c>
      <c r="B2564" t="s">
        <v>1634</v>
      </c>
      <c r="C2564" t="s">
        <v>8873</v>
      </c>
      <c r="D2564" t="s">
        <v>13</v>
      </c>
      <c r="E2564" t="s">
        <v>8874</v>
      </c>
      <c r="F2564" t="s">
        <v>1637</v>
      </c>
      <c r="G2564" t="s">
        <v>8875</v>
      </c>
      <c r="H2564" t="s">
        <v>8811</v>
      </c>
      <c r="I2564" t="s">
        <v>24</v>
      </c>
      <c r="J2564">
        <v>62</v>
      </c>
      <c r="K2564">
        <v>427</v>
      </c>
      <c r="L2564">
        <v>188</v>
      </c>
      <c r="M2564">
        <f>COUNTIF(H2564:$H$2581,H2564)</f>
        <v>6</v>
      </c>
    </row>
    <row r="2565" spans="1:13" x14ac:dyDescent="0.2">
      <c r="A2565">
        <v>2262</v>
      </c>
      <c r="B2565" t="s">
        <v>1170</v>
      </c>
      <c r="C2565" t="s">
        <v>8877</v>
      </c>
      <c r="D2565" t="s">
        <v>33</v>
      </c>
      <c r="E2565" t="s">
        <v>8878</v>
      </c>
      <c r="F2565" t="s">
        <v>1173</v>
      </c>
      <c r="G2565" t="s">
        <v>8879</v>
      </c>
      <c r="H2565" t="s">
        <v>8811</v>
      </c>
      <c r="I2565" t="b">
        <v>0</v>
      </c>
      <c r="J2565">
        <v>263</v>
      </c>
      <c r="K2565">
        <v>2263</v>
      </c>
      <c r="L2565">
        <v>662</v>
      </c>
      <c r="M2565">
        <f>COUNTIF(H2565:$H$2581,H2565)</f>
        <v>5</v>
      </c>
    </row>
    <row r="2566" spans="1:13" x14ac:dyDescent="0.2">
      <c r="A2566">
        <v>870</v>
      </c>
      <c r="B2566" t="s">
        <v>1091</v>
      </c>
      <c r="C2566" t="s">
        <v>8881</v>
      </c>
      <c r="D2566" t="s">
        <v>13</v>
      </c>
      <c r="E2566" t="s">
        <v>8882</v>
      </c>
      <c r="F2566" t="s">
        <v>1094</v>
      </c>
      <c r="G2566" t="s">
        <v>8883</v>
      </c>
      <c r="H2566" t="s">
        <v>8811</v>
      </c>
      <c r="I2566" t="b">
        <v>1</v>
      </c>
      <c r="J2566">
        <v>118</v>
      </c>
      <c r="K2566">
        <v>871</v>
      </c>
      <c r="L2566">
        <v>333</v>
      </c>
      <c r="M2566">
        <f>COUNTIF(H2566:$H$2581,H2566)</f>
        <v>4</v>
      </c>
    </row>
    <row r="2567" spans="1:13" x14ac:dyDescent="0.2">
      <c r="A2567">
        <v>2350</v>
      </c>
      <c r="B2567" t="s">
        <v>900</v>
      </c>
      <c r="C2567" t="s">
        <v>8892</v>
      </c>
      <c r="D2567" t="s">
        <v>54</v>
      </c>
      <c r="E2567" t="s">
        <v>8893</v>
      </c>
      <c r="F2567" t="s">
        <v>903</v>
      </c>
      <c r="G2567" t="s">
        <v>8894</v>
      </c>
      <c r="H2567" t="s">
        <v>8811</v>
      </c>
      <c r="I2567" t="b">
        <v>0</v>
      </c>
      <c r="J2567">
        <v>274</v>
      </c>
      <c r="K2567">
        <v>2351</v>
      </c>
      <c r="L2567">
        <v>180</v>
      </c>
      <c r="M2567">
        <f>COUNTIF(H2567:$H$2581,H2567)</f>
        <v>3</v>
      </c>
    </row>
    <row r="2568" spans="1:13" x14ac:dyDescent="0.2">
      <c r="A2568">
        <v>314</v>
      </c>
      <c r="B2568" t="s">
        <v>784</v>
      </c>
      <c r="C2568" t="s">
        <v>8895</v>
      </c>
      <c r="D2568" t="s">
        <v>13</v>
      </c>
      <c r="E2568" t="s">
        <v>8896</v>
      </c>
      <c r="F2568" t="s">
        <v>787</v>
      </c>
      <c r="G2568" t="s">
        <v>8897</v>
      </c>
      <c r="H2568" t="s">
        <v>8811</v>
      </c>
      <c r="I2568" t="b">
        <v>0</v>
      </c>
      <c r="J2568">
        <v>45</v>
      </c>
      <c r="K2568">
        <v>315</v>
      </c>
      <c r="L2568">
        <v>148</v>
      </c>
      <c r="M2568">
        <f>COUNTIF(H2568:$H$2581,H2568)</f>
        <v>2</v>
      </c>
    </row>
    <row r="2569" spans="1:13" x14ac:dyDescent="0.2">
      <c r="A2569">
        <v>1648</v>
      </c>
      <c r="B2569" t="s">
        <v>720</v>
      </c>
      <c r="C2569" t="s">
        <v>6100</v>
      </c>
      <c r="D2569" t="s">
        <v>54</v>
      </c>
      <c r="E2569" t="s">
        <v>8899</v>
      </c>
      <c r="F2569" t="s">
        <v>723</v>
      </c>
      <c r="G2569" t="s">
        <v>8900</v>
      </c>
      <c r="H2569" t="s">
        <v>8811</v>
      </c>
      <c r="I2569" t="b">
        <v>1</v>
      </c>
      <c r="J2569">
        <v>197</v>
      </c>
      <c r="K2569">
        <v>1649</v>
      </c>
      <c r="L2569">
        <v>551</v>
      </c>
      <c r="M2569">
        <f>COUNTIF(H2569:$H$2581,H2569)</f>
        <v>1</v>
      </c>
    </row>
    <row r="2570" spans="1:13" x14ac:dyDescent="0.2">
      <c r="A2570">
        <v>213</v>
      </c>
      <c r="B2570" t="s">
        <v>88</v>
      </c>
      <c r="C2570" t="s">
        <v>8902</v>
      </c>
      <c r="D2570" t="s">
        <v>54</v>
      </c>
      <c r="E2570" t="s">
        <v>8903</v>
      </c>
      <c r="F2570" t="s">
        <v>91</v>
      </c>
      <c r="G2570" t="s">
        <v>8904</v>
      </c>
      <c r="H2570" t="s">
        <v>8861</v>
      </c>
      <c r="I2570" t="s">
        <v>24</v>
      </c>
      <c r="J2570">
        <v>37</v>
      </c>
      <c r="K2570">
        <v>214</v>
      </c>
      <c r="L2570">
        <v>94</v>
      </c>
      <c r="M2570">
        <f>COUNTIF(H2570:$H$2581,H2570)</f>
        <v>1</v>
      </c>
    </row>
    <row r="2571" spans="1:13" x14ac:dyDescent="0.2">
      <c r="A2571">
        <v>1954</v>
      </c>
      <c r="B2571" t="s">
        <v>439</v>
      </c>
      <c r="C2571" t="s">
        <v>8913</v>
      </c>
      <c r="D2571" t="s">
        <v>54</v>
      </c>
      <c r="E2571" t="s">
        <v>8914</v>
      </c>
      <c r="F2571" t="s">
        <v>442</v>
      </c>
      <c r="G2571" t="s">
        <v>8915</v>
      </c>
      <c r="H2571" t="s">
        <v>8888</v>
      </c>
      <c r="I2571" t="b">
        <v>0</v>
      </c>
      <c r="J2571">
        <v>224</v>
      </c>
      <c r="K2571">
        <v>1955</v>
      </c>
      <c r="L2571">
        <v>571</v>
      </c>
      <c r="M2571">
        <f>COUNTIF(H2571:$H$2581,H2571)</f>
        <v>2</v>
      </c>
    </row>
    <row r="2572" spans="1:13" x14ac:dyDescent="0.2">
      <c r="A2572">
        <v>1421</v>
      </c>
      <c r="B2572" t="s">
        <v>1397</v>
      </c>
      <c r="C2572" t="s">
        <v>8916</v>
      </c>
      <c r="D2572" t="s">
        <v>54</v>
      </c>
      <c r="E2572" t="s">
        <v>8917</v>
      </c>
      <c r="F2572" t="s">
        <v>1400</v>
      </c>
      <c r="G2572" t="s">
        <v>8918</v>
      </c>
      <c r="H2572" t="s">
        <v>8888</v>
      </c>
      <c r="I2572" t="b">
        <v>1</v>
      </c>
      <c r="J2572">
        <v>169</v>
      </c>
      <c r="K2572">
        <v>1422</v>
      </c>
      <c r="L2572">
        <v>476</v>
      </c>
      <c r="M2572">
        <f>COUNTIF(H2572:$H$2581,H2572)</f>
        <v>1</v>
      </c>
    </row>
    <row r="2573" spans="1:13" x14ac:dyDescent="0.2">
      <c r="A2573">
        <v>1560</v>
      </c>
      <c r="B2573" t="s">
        <v>3069</v>
      </c>
      <c r="C2573" t="s">
        <v>5052</v>
      </c>
      <c r="D2573" t="s">
        <v>13</v>
      </c>
      <c r="E2573" t="s">
        <v>8920</v>
      </c>
      <c r="F2573" t="s">
        <v>3072</v>
      </c>
      <c r="G2573" t="s">
        <v>8921</v>
      </c>
      <c r="H2573" t="s">
        <v>8909</v>
      </c>
      <c r="I2573" t="b">
        <v>1</v>
      </c>
      <c r="J2573">
        <v>190</v>
      </c>
      <c r="K2573">
        <v>1561</v>
      </c>
      <c r="L2573">
        <v>521</v>
      </c>
      <c r="M2573">
        <f>COUNTIF(H2573:$H$2581,H2573)</f>
        <v>2</v>
      </c>
    </row>
    <row r="2574" spans="1:13" x14ac:dyDescent="0.2">
      <c r="A2574">
        <v>2487</v>
      </c>
      <c r="B2574" t="s">
        <v>589</v>
      </c>
      <c r="C2574" t="s">
        <v>590</v>
      </c>
      <c r="D2574" t="s">
        <v>54</v>
      </c>
      <c r="E2574" t="s">
        <v>8929</v>
      </c>
      <c r="F2574" t="s">
        <v>592</v>
      </c>
      <c r="G2574" t="s">
        <v>8930</v>
      </c>
      <c r="H2574" t="s">
        <v>8909</v>
      </c>
      <c r="I2574" t="s">
        <v>24</v>
      </c>
      <c r="J2574">
        <v>288</v>
      </c>
      <c r="K2574">
        <v>2488</v>
      </c>
      <c r="L2574">
        <v>150</v>
      </c>
      <c r="M2574">
        <f>COUNTIF(H2574:$H$2581,H2574)</f>
        <v>1</v>
      </c>
    </row>
    <row r="2575" spans="1:13" x14ac:dyDescent="0.2">
      <c r="A2575">
        <v>632</v>
      </c>
      <c r="B2575" t="s">
        <v>1491</v>
      </c>
      <c r="C2575" t="s">
        <v>8931</v>
      </c>
      <c r="D2575" t="s">
        <v>54</v>
      </c>
      <c r="E2575" t="s">
        <v>8932</v>
      </c>
      <c r="F2575" t="s">
        <v>1494</v>
      </c>
      <c r="G2575" t="s">
        <v>8933</v>
      </c>
      <c r="H2575" t="s">
        <v>8926</v>
      </c>
      <c r="I2575" t="b">
        <v>0</v>
      </c>
      <c r="J2575">
        <v>91</v>
      </c>
      <c r="K2575">
        <v>633</v>
      </c>
      <c r="L2575">
        <v>276</v>
      </c>
      <c r="M2575">
        <f>COUNTIF(H2575:$H$2581,H2575)</f>
        <v>2</v>
      </c>
    </row>
    <row r="2576" spans="1:13" x14ac:dyDescent="0.2">
      <c r="A2576">
        <v>1137</v>
      </c>
      <c r="B2576" t="s">
        <v>231</v>
      </c>
      <c r="C2576" t="s">
        <v>8935</v>
      </c>
      <c r="D2576" t="s">
        <v>54</v>
      </c>
      <c r="E2576" t="s">
        <v>8936</v>
      </c>
      <c r="F2576" t="s">
        <v>234</v>
      </c>
      <c r="G2576" t="s">
        <v>8937</v>
      </c>
      <c r="H2576" t="s">
        <v>8926</v>
      </c>
      <c r="I2576" t="b">
        <v>0</v>
      </c>
      <c r="J2576">
        <v>138</v>
      </c>
      <c r="K2576">
        <v>1138</v>
      </c>
      <c r="L2576">
        <v>395</v>
      </c>
      <c r="M2576">
        <f>COUNTIF(H2576:$H$2581,H2576)</f>
        <v>1</v>
      </c>
    </row>
    <row r="2577" spans="1:13" x14ac:dyDescent="0.2">
      <c r="A2577">
        <v>2490</v>
      </c>
      <c r="B2577" t="s">
        <v>589</v>
      </c>
      <c r="C2577" t="s">
        <v>8939</v>
      </c>
      <c r="D2577" t="s">
        <v>54</v>
      </c>
      <c r="E2577" t="s">
        <v>8940</v>
      </c>
      <c r="F2577" t="s">
        <v>592</v>
      </c>
      <c r="G2577" t="s">
        <v>8941</v>
      </c>
      <c r="H2577" t="s">
        <v>8946</v>
      </c>
      <c r="I2577" t="s">
        <v>24</v>
      </c>
      <c r="J2577">
        <v>288</v>
      </c>
      <c r="K2577">
        <v>2491</v>
      </c>
      <c r="L2577">
        <v>709</v>
      </c>
      <c r="M2577">
        <f>COUNTIF(H2577:$H$2581,H2577)</f>
        <v>4</v>
      </c>
    </row>
    <row r="2578" spans="1:13" x14ac:dyDescent="0.2">
      <c r="A2578">
        <v>2351</v>
      </c>
      <c r="B2578" t="s">
        <v>900</v>
      </c>
      <c r="C2578" t="s">
        <v>8956</v>
      </c>
      <c r="D2578" t="s">
        <v>54</v>
      </c>
      <c r="E2578" t="s">
        <v>8957</v>
      </c>
      <c r="F2578" t="s">
        <v>903</v>
      </c>
      <c r="G2578" t="s">
        <v>8958</v>
      </c>
      <c r="H2578" t="s">
        <v>8946</v>
      </c>
      <c r="I2578" t="b">
        <v>0</v>
      </c>
      <c r="J2578">
        <v>274</v>
      </c>
      <c r="K2578">
        <v>2352</v>
      </c>
      <c r="L2578">
        <v>268</v>
      </c>
      <c r="M2578">
        <f>COUNTIF(H2578:$H$2581,H2578)</f>
        <v>3</v>
      </c>
    </row>
    <row r="2579" spans="1:13" x14ac:dyDescent="0.2">
      <c r="A2579">
        <v>762</v>
      </c>
      <c r="B2579" t="s">
        <v>1868</v>
      </c>
      <c r="C2579" t="s">
        <v>8959</v>
      </c>
      <c r="D2579" t="s">
        <v>13</v>
      </c>
      <c r="E2579" t="s">
        <v>8960</v>
      </c>
      <c r="F2579" t="s">
        <v>1871</v>
      </c>
      <c r="G2579" t="s">
        <v>8961</v>
      </c>
      <c r="H2579" t="s">
        <v>8946</v>
      </c>
      <c r="I2579" t="s">
        <v>24</v>
      </c>
      <c r="J2579">
        <v>107</v>
      </c>
      <c r="K2579">
        <v>763</v>
      </c>
      <c r="L2579">
        <v>308</v>
      </c>
      <c r="M2579">
        <f>COUNTIF(H2579:$H$2581,H2579)</f>
        <v>2</v>
      </c>
    </row>
    <row r="2580" spans="1:13" x14ac:dyDescent="0.2">
      <c r="A2580">
        <v>2281</v>
      </c>
      <c r="B2580" t="s">
        <v>11</v>
      </c>
      <c r="C2580" t="s">
        <v>8970</v>
      </c>
      <c r="D2580" t="s">
        <v>13</v>
      </c>
      <c r="E2580" t="s">
        <v>8971</v>
      </c>
      <c r="F2580" t="s">
        <v>15</v>
      </c>
      <c r="G2580" t="s">
        <v>8972</v>
      </c>
      <c r="H2580" t="s">
        <v>8946</v>
      </c>
      <c r="I2580" t="b">
        <v>0</v>
      </c>
      <c r="J2580">
        <v>267</v>
      </c>
      <c r="K2580">
        <v>2282</v>
      </c>
      <c r="L2580">
        <v>320</v>
      </c>
      <c r="M2580">
        <f>COUNTIF(H2580:$H$2581,H2580)</f>
        <v>1</v>
      </c>
    </row>
    <row r="2581" spans="1:13" x14ac:dyDescent="0.2">
      <c r="A2581">
        <v>872</v>
      </c>
      <c r="B2581" t="s">
        <v>1091</v>
      </c>
      <c r="C2581" t="s">
        <v>8973</v>
      </c>
      <c r="D2581" t="s">
        <v>13</v>
      </c>
      <c r="E2581" t="s">
        <v>8974</v>
      </c>
      <c r="F2581" t="s">
        <v>1094</v>
      </c>
      <c r="G2581" t="s">
        <v>8975</v>
      </c>
      <c r="H2581" t="s">
        <v>8966</v>
      </c>
      <c r="I2581" t="b">
        <v>1</v>
      </c>
      <c r="J2581">
        <v>118</v>
      </c>
      <c r="K2581">
        <v>873</v>
      </c>
      <c r="L2581">
        <v>334</v>
      </c>
      <c r="M2581">
        <f>COUNTIF(H2581:$H$2581,H2581)</f>
        <v>1</v>
      </c>
    </row>
    <row r="2582" spans="1:13" x14ac:dyDescent="0.2">
      <c r="A2582">
        <v>2580</v>
      </c>
      <c r="B2582" t="s">
        <v>226</v>
      </c>
      <c r="C2582" t="s">
        <v>8977</v>
      </c>
      <c r="D2582" t="s">
        <v>54</v>
      </c>
      <c r="E2582" t="s">
        <v>8978</v>
      </c>
      <c r="F2582" t="s">
        <v>8979</v>
      </c>
      <c r="H2582" t="s">
        <v>8966</v>
      </c>
      <c r="M2582">
        <f>COUNTIF(H$2581:$H2582,H2582)</f>
        <v>2</v>
      </c>
    </row>
    <row r="2583" spans="1:13" x14ac:dyDescent="0.2">
      <c r="M2583">
        <f>COUNTIF(H$2581:$H2583,H2583)</f>
        <v>0</v>
      </c>
    </row>
    <row r="2584" spans="1:13" x14ac:dyDescent="0.2">
      <c r="M2584">
        <f>COUNTIF(H$2581:$H2584,H2584)</f>
        <v>0</v>
      </c>
    </row>
    <row r="2585" spans="1:13" x14ac:dyDescent="0.2">
      <c r="M2585">
        <f>COUNTIF(H$2581:$H2585,H2585)</f>
        <v>0</v>
      </c>
    </row>
    <row r="2586" spans="1:13" x14ac:dyDescent="0.2">
      <c r="M2586">
        <f>COUNTIF(H$2581:$H2586,H2586)</f>
        <v>0</v>
      </c>
    </row>
    <row r="2587" spans="1:13" x14ac:dyDescent="0.2">
      <c r="M2587">
        <f>COUNTIF(H$2581:$H2587,H2587)</f>
        <v>0</v>
      </c>
    </row>
    <row r="2588" spans="1:13" x14ac:dyDescent="0.2">
      <c r="M2588">
        <f>COUNTIF(H$2581:$H2588,H2588)</f>
        <v>0</v>
      </c>
    </row>
    <row r="2589" spans="1:13" x14ac:dyDescent="0.2">
      <c r="M2589">
        <f>COUNTIF(H$2581:$H2589,H2589)</f>
        <v>0</v>
      </c>
    </row>
    <row r="2590" spans="1:13" x14ac:dyDescent="0.2">
      <c r="M2590">
        <f>COUNTIF(H$2581:$H2590,H2590)</f>
        <v>0</v>
      </c>
    </row>
    <row r="2591" spans="1:13" x14ac:dyDescent="0.2">
      <c r="M2591">
        <f>COUNTIF(H$2581:$H2591,H2591)</f>
        <v>0</v>
      </c>
    </row>
    <row r="2592" spans="1:13" x14ac:dyDescent="0.2">
      <c r="M2592">
        <f>COUNTIF(H$2581:$H2592,H2592)</f>
        <v>0</v>
      </c>
    </row>
    <row r="2593" spans="13:13" x14ac:dyDescent="0.2">
      <c r="M2593">
        <f>COUNTIF(H$2581:$H2593,H2593)</f>
        <v>0</v>
      </c>
    </row>
    <row r="2594" spans="13:13" x14ac:dyDescent="0.2">
      <c r="M2594">
        <f>COUNTIF(H$2581:$H2594,H2594)</f>
        <v>0</v>
      </c>
    </row>
    <row r="2595" spans="13:13" x14ac:dyDescent="0.2">
      <c r="M2595">
        <f>COUNTIF(H$2581:$H2595,H2595)</f>
        <v>0</v>
      </c>
    </row>
    <row r="2596" spans="13:13" x14ac:dyDescent="0.2">
      <c r="M2596">
        <f>COUNTIF(H$2581:$H2596,H2596)</f>
        <v>0</v>
      </c>
    </row>
    <row r="2597" spans="13:13" x14ac:dyDescent="0.2">
      <c r="M2597">
        <f>COUNTIF(H$2581:$H2597,H2597)</f>
        <v>0</v>
      </c>
    </row>
    <row r="2598" spans="13:13" x14ac:dyDescent="0.2">
      <c r="M2598">
        <f>COUNTIF(H$2581:$H2598,H2598)</f>
        <v>0</v>
      </c>
    </row>
    <row r="2599" spans="13:13" x14ac:dyDescent="0.2">
      <c r="M2599">
        <f>COUNTIF(H$2581:$H2599,H2599)</f>
        <v>0</v>
      </c>
    </row>
    <row r="2600" spans="13:13" x14ac:dyDescent="0.2">
      <c r="M2600">
        <f>COUNTIF(H$2581:$H2600,H2600)</f>
        <v>0</v>
      </c>
    </row>
    <row r="2601" spans="13:13" x14ac:dyDescent="0.2">
      <c r="M2601">
        <f>COUNTIF(H$2581:$H2601,H2601)</f>
        <v>0</v>
      </c>
    </row>
    <row r="2602" spans="13:13" x14ac:dyDescent="0.2">
      <c r="M2602">
        <f>COUNTIF(H$2581:$H2602,H2602)</f>
        <v>0</v>
      </c>
    </row>
    <row r="2603" spans="13:13" x14ac:dyDescent="0.2">
      <c r="M2603">
        <f>COUNTIF(H$2581:$H2603,H2603)</f>
        <v>0</v>
      </c>
    </row>
    <row r="2604" spans="13:13" x14ac:dyDescent="0.2">
      <c r="M2604">
        <f>COUNTIF(H$2581:$H2604,H2604)</f>
        <v>0</v>
      </c>
    </row>
    <row r="2605" spans="13:13" x14ac:dyDescent="0.2">
      <c r="M2605">
        <f>COUNTIF(H$2581:$H2605,H2605)</f>
        <v>0</v>
      </c>
    </row>
    <row r="2606" spans="13:13" x14ac:dyDescent="0.2">
      <c r="M2606">
        <f>COUNTIF(H$2581:$H2606,H2606)</f>
        <v>0</v>
      </c>
    </row>
    <row r="2607" spans="13:13" x14ac:dyDescent="0.2">
      <c r="M2607">
        <f>COUNTIF(H$2581:$H2607,H2607)</f>
        <v>0</v>
      </c>
    </row>
    <row r="2608" spans="13:13" x14ac:dyDescent="0.2">
      <c r="M2608">
        <f>COUNTIF(H$2581:$H2608,H2608)</f>
        <v>0</v>
      </c>
    </row>
    <row r="2609" spans="13:13" x14ac:dyDescent="0.2">
      <c r="M2609">
        <f>COUNTIF(H$2581:$H2609,H2609)</f>
        <v>0</v>
      </c>
    </row>
    <row r="2610" spans="13:13" x14ac:dyDescent="0.2">
      <c r="M2610">
        <f>COUNTIF(H$2581:$H2610,H2610)</f>
        <v>0</v>
      </c>
    </row>
    <row r="2611" spans="13:13" x14ac:dyDescent="0.2">
      <c r="M2611">
        <f>COUNTIF(H$2581:$H2611,H2611)</f>
        <v>0</v>
      </c>
    </row>
    <row r="2612" spans="13:13" x14ac:dyDescent="0.2">
      <c r="M2612">
        <f>COUNTIF(H$2581:$H2612,H2612)</f>
        <v>0</v>
      </c>
    </row>
    <row r="2613" spans="13:13" x14ac:dyDescent="0.2">
      <c r="M2613">
        <f>COUNTIF(H$2581:$H2613,H2613)</f>
        <v>0</v>
      </c>
    </row>
    <row r="2614" spans="13:13" x14ac:dyDescent="0.2">
      <c r="M2614">
        <f>COUNTIF(H$2581:$H2614,H2614)</f>
        <v>0</v>
      </c>
    </row>
    <row r="2615" spans="13:13" x14ac:dyDescent="0.2">
      <c r="M2615">
        <f>COUNTIF(H$2581:$H2615,H2615)</f>
        <v>0</v>
      </c>
    </row>
    <row r="2616" spans="13:13" x14ac:dyDescent="0.2">
      <c r="M2616">
        <f>COUNTIF(H$2581:$H2616,H2616)</f>
        <v>0</v>
      </c>
    </row>
    <row r="2617" spans="13:13" x14ac:dyDescent="0.2">
      <c r="M2617">
        <f>COUNTIF(H$2581:$H2617,H2617)</f>
        <v>0</v>
      </c>
    </row>
    <row r="2618" spans="13:13" x14ac:dyDescent="0.2">
      <c r="M2618">
        <f>COUNTIF(H$2581:$H2618,H2618)</f>
        <v>0</v>
      </c>
    </row>
    <row r="2619" spans="13:13" x14ac:dyDescent="0.2">
      <c r="M2619">
        <f>COUNTIF(H$2581:$H2619,H2619)</f>
        <v>0</v>
      </c>
    </row>
    <row r="2620" spans="13:13" x14ac:dyDescent="0.2">
      <c r="M2620">
        <f>COUNTIF(H$2581:$H2620,H2620)</f>
        <v>0</v>
      </c>
    </row>
    <row r="2621" spans="13:13" x14ac:dyDescent="0.2">
      <c r="M2621">
        <f>COUNTIF(H$2581:$H2621,H2621)</f>
        <v>0</v>
      </c>
    </row>
    <row r="2622" spans="13:13" x14ac:dyDescent="0.2">
      <c r="M2622">
        <f>COUNTIF(H$2581:$H2622,H2622)</f>
        <v>0</v>
      </c>
    </row>
    <row r="2623" spans="13:13" x14ac:dyDescent="0.2">
      <c r="M2623">
        <f>COUNTIF(H$2581:$H2623,H2623)</f>
        <v>0</v>
      </c>
    </row>
    <row r="2624" spans="13:13" x14ac:dyDescent="0.2">
      <c r="M2624">
        <f>COUNTIF(H$2581:$H2624,H2624)</f>
        <v>0</v>
      </c>
    </row>
    <row r="2625" spans="13:13" x14ac:dyDescent="0.2">
      <c r="M2625">
        <f>COUNTIF(H$2581:$H2625,H2625)</f>
        <v>0</v>
      </c>
    </row>
    <row r="2626" spans="13:13" x14ac:dyDescent="0.2">
      <c r="M2626">
        <f>COUNTIF(H$2581:$H2626,H2626)</f>
        <v>0</v>
      </c>
    </row>
    <row r="2627" spans="13:13" x14ac:dyDescent="0.2">
      <c r="M2627">
        <f>COUNTIF(H$2581:$H2627,H2627)</f>
        <v>0</v>
      </c>
    </row>
    <row r="2628" spans="13:13" x14ac:dyDescent="0.2">
      <c r="M2628">
        <f>COUNTIF(H$2581:$H2628,H2628)</f>
        <v>0</v>
      </c>
    </row>
    <row r="2629" spans="13:13" x14ac:dyDescent="0.2">
      <c r="M2629">
        <f>COUNTIF(H$2581:$H2629,H2629)</f>
        <v>0</v>
      </c>
    </row>
    <row r="2630" spans="13:13" x14ac:dyDescent="0.2">
      <c r="M2630">
        <f>COUNTIF(H$2581:$H2630,H2630)</f>
        <v>0</v>
      </c>
    </row>
    <row r="2631" spans="13:13" x14ac:dyDescent="0.2">
      <c r="M2631">
        <f>COUNTIF(H$2581:$H2631,H2631)</f>
        <v>0</v>
      </c>
    </row>
    <row r="2632" spans="13:13" x14ac:dyDescent="0.2">
      <c r="M2632">
        <f>COUNTIF(H$2581:$H2632,H2632)</f>
        <v>0</v>
      </c>
    </row>
    <row r="2633" spans="13:13" x14ac:dyDescent="0.2">
      <c r="M2633">
        <f>COUNTIF(H$2581:$H2633,H2633)</f>
        <v>0</v>
      </c>
    </row>
    <row r="2634" spans="13:13" x14ac:dyDescent="0.2">
      <c r="M2634">
        <f>COUNTIF(H$2581:$H2634,H2634)</f>
        <v>0</v>
      </c>
    </row>
    <row r="2635" spans="13:13" x14ac:dyDescent="0.2">
      <c r="M2635">
        <f>COUNTIF(H$2581:$H2635,H2635)</f>
        <v>0</v>
      </c>
    </row>
    <row r="2636" spans="13:13" x14ac:dyDescent="0.2">
      <c r="M2636">
        <f>COUNTIF(H$2581:$H2636,H2636)</f>
        <v>0</v>
      </c>
    </row>
    <row r="2637" spans="13:13" x14ac:dyDescent="0.2">
      <c r="M2637">
        <f>COUNTIF(H$2581:$H2637,H2637)</f>
        <v>0</v>
      </c>
    </row>
    <row r="2638" spans="13:13" x14ac:dyDescent="0.2">
      <c r="M2638">
        <f>COUNTIF(H$2581:$H2638,H2638)</f>
        <v>0</v>
      </c>
    </row>
    <row r="2639" spans="13:13" x14ac:dyDescent="0.2">
      <c r="M2639">
        <f>COUNTIF(H$2581:$H2639,H2639)</f>
        <v>0</v>
      </c>
    </row>
    <row r="2640" spans="13:13" x14ac:dyDescent="0.2">
      <c r="M2640">
        <f>COUNTIF(H$2581:$H2640,H2640)</f>
        <v>0</v>
      </c>
    </row>
    <row r="2641" spans="13:13" x14ac:dyDescent="0.2">
      <c r="M2641">
        <f>COUNTIF(H$2581:$H2641,H2641)</f>
        <v>0</v>
      </c>
    </row>
    <row r="2642" spans="13:13" x14ac:dyDescent="0.2">
      <c r="M2642">
        <f>COUNTIF(H$2581:$H2642,H2642)</f>
        <v>0</v>
      </c>
    </row>
    <row r="2643" spans="13:13" x14ac:dyDescent="0.2">
      <c r="M2643">
        <f>COUNTIF(H$2581:$H2643,H2643)</f>
        <v>0</v>
      </c>
    </row>
    <row r="2644" spans="13:13" x14ac:dyDescent="0.2">
      <c r="M2644">
        <f>COUNTIF(H$2581:$H2644,H2644)</f>
        <v>0</v>
      </c>
    </row>
    <row r="2645" spans="13:13" x14ac:dyDescent="0.2">
      <c r="M2645">
        <f>COUNTIF(H$2581:$H2645,H2645)</f>
        <v>0</v>
      </c>
    </row>
    <row r="2646" spans="13:13" x14ac:dyDescent="0.2">
      <c r="M2646">
        <f>COUNTIF(H$2581:$H2646,H2646)</f>
        <v>0</v>
      </c>
    </row>
    <row r="2647" spans="13:13" x14ac:dyDescent="0.2">
      <c r="M2647">
        <f>COUNTIF(H$2581:$H2647,H2647)</f>
        <v>0</v>
      </c>
    </row>
    <row r="2648" spans="13:13" x14ac:dyDescent="0.2">
      <c r="M2648">
        <f>COUNTIF(H$2581:$H2648,H2648)</f>
        <v>0</v>
      </c>
    </row>
    <row r="2649" spans="13:13" x14ac:dyDescent="0.2">
      <c r="M2649">
        <f>COUNTIF(H$2581:$H2649,H2649)</f>
        <v>0</v>
      </c>
    </row>
    <row r="2650" spans="13:13" x14ac:dyDescent="0.2">
      <c r="M2650">
        <f>COUNTIF(H$2581:$H2650,H2650)</f>
        <v>0</v>
      </c>
    </row>
    <row r="2651" spans="13:13" x14ac:dyDescent="0.2">
      <c r="M2651">
        <f>COUNTIF(H$2581:$H2651,H2651)</f>
        <v>0</v>
      </c>
    </row>
    <row r="2652" spans="13:13" x14ac:dyDescent="0.2">
      <c r="M2652">
        <f>COUNTIF(H$2581:$H2652,H2652)</f>
        <v>0</v>
      </c>
    </row>
    <row r="2653" spans="13:13" x14ac:dyDescent="0.2">
      <c r="M2653">
        <f>COUNTIF(H$2581:$H2653,H2653)</f>
        <v>0</v>
      </c>
    </row>
    <row r="2654" spans="13:13" x14ac:dyDescent="0.2">
      <c r="M2654">
        <f>COUNTIF(H$2581:$H2654,H2654)</f>
        <v>0</v>
      </c>
    </row>
    <row r="2655" spans="13:13" x14ac:dyDescent="0.2">
      <c r="M2655">
        <f>COUNTIF(H$2581:$H2655,H2655)</f>
        <v>0</v>
      </c>
    </row>
    <row r="2656" spans="13:13" x14ac:dyDescent="0.2">
      <c r="M2656">
        <f>COUNTIF(H$2581:$H2656,H2656)</f>
        <v>0</v>
      </c>
    </row>
    <row r="2657" spans="13:13" x14ac:dyDescent="0.2">
      <c r="M2657">
        <f>COUNTIF(H$2581:$H2657,H2657)</f>
        <v>0</v>
      </c>
    </row>
    <row r="2658" spans="13:13" x14ac:dyDescent="0.2">
      <c r="M2658">
        <f>COUNTIF(H$2581:$H2658,H2658)</f>
        <v>0</v>
      </c>
    </row>
    <row r="2659" spans="13:13" x14ac:dyDescent="0.2">
      <c r="M2659">
        <f>COUNTIF(H$2581:$H2659,H2659)</f>
        <v>0</v>
      </c>
    </row>
    <row r="2660" spans="13:13" x14ac:dyDescent="0.2">
      <c r="M2660">
        <f>COUNTIF(H$2581:$H2660,H2660)</f>
        <v>0</v>
      </c>
    </row>
    <row r="2661" spans="13:13" x14ac:dyDescent="0.2">
      <c r="M2661">
        <f>COUNTIF(H$2581:$H2661,H2661)</f>
        <v>0</v>
      </c>
    </row>
    <row r="2662" spans="13:13" x14ac:dyDescent="0.2">
      <c r="M2662">
        <f>COUNTIF(H$2581:$H2662,H2662)</f>
        <v>0</v>
      </c>
    </row>
    <row r="2663" spans="13:13" x14ac:dyDescent="0.2">
      <c r="M2663">
        <f>COUNTIF(H$2581:$H2663,H2663)</f>
        <v>0</v>
      </c>
    </row>
    <row r="2664" spans="13:13" x14ac:dyDescent="0.2">
      <c r="M2664">
        <f>COUNTIF(H$2581:$H2664,H2664)</f>
        <v>0</v>
      </c>
    </row>
    <row r="2665" spans="13:13" x14ac:dyDescent="0.2">
      <c r="M2665">
        <f>COUNTIF(H$2581:$H2665,H2665)</f>
        <v>0</v>
      </c>
    </row>
    <row r="2666" spans="13:13" x14ac:dyDescent="0.2">
      <c r="M2666">
        <f>COUNTIF(H$2581:$H2666,H2666)</f>
        <v>0</v>
      </c>
    </row>
    <row r="2667" spans="13:13" x14ac:dyDescent="0.2">
      <c r="M2667">
        <f>COUNTIF(H$2581:$H2667,H2667)</f>
        <v>0</v>
      </c>
    </row>
    <row r="2668" spans="13:13" x14ac:dyDescent="0.2">
      <c r="M2668">
        <f>COUNTIF(H$2581:$H2668,H2668)</f>
        <v>0</v>
      </c>
    </row>
    <row r="2669" spans="13:13" x14ac:dyDescent="0.2">
      <c r="M2669">
        <f>COUNTIF(H$2581:$H2669,H2669)</f>
        <v>0</v>
      </c>
    </row>
    <row r="2670" spans="13:13" x14ac:dyDescent="0.2">
      <c r="M2670">
        <f>COUNTIF(H$2581:$H2670,H2670)</f>
        <v>0</v>
      </c>
    </row>
    <row r="2671" spans="13:13" x14ac:dyDescent="0.2">
      <c r="M2671">
        <f>COUNTIF(H$2581:$H2671,H2671)</f>
        <v>0</v>
      </c>
    </row>
    <row r="2672" spans="13:13" x14ac:dyDescent="0.2">
      <c r="M2672">
        <f>COUNTIF(H$2581:$H2672,H2672)</f>
        <v>0</v>
      </c>
    </row>
    <row r="2673" spans="13:13" x14ac:dyDescent="0.2">
      <c r="M2673">
        <f>COUNTIF(H$2581:$H2673,H2673)</f>
        <v>0</v>
      </c>
    </row>
    <row r="2674" spans="13:13" x14ac:dyDescent="0.2">
      <c r="M2674">
        <f>COUNTIF(H$2581:$H2674,H2674)</f>
        <v>0</v>
      </c>
    </row>
    <row r="2675" spans="13:13" x14ac:dyDescent="0.2">
      <c r="M2675">
        <f>COUNTIF(H$2581:$H2675,H2675)</f>
        <v>0</v>
      </c>
    </row>
    <row r="2676" spans="13:13" x14ac:dyDescent="0.2">
      <c r="M2676">
        <f>COUNTIF(H$2581:$H2676,H2676)</f>
        <v>0</v>
      </c>
    </row>
    <row r="2677" spans="13:13" x14ac:dyDescent="0.2">
      <c r="M2677">
        <f>COUNTIF(H$2581:$H2677,H2677)</f>
        <v>0</v>
      </c>
    </row>
    <row r="2678" spans="13:13" x14ac:dyDescent="0.2">
      <c r="M2678">
        <f>COUNTIF(H$2581:$H2678,H2678)</f>
        <v>0</v>
      </c>
    </row>
    <row r="2679" spans="13:13" x14ac:dyDescent="0.2">
      <c r="M2679">
        <f>COUNTIF(H$2581:$H2679,H2679)</f>
        <v>0</v>
      </c>
    </row>
    <row r="2680" spans="13:13" x14ac:dyDescent="0.2">
      <c r="M2680">
        <f>COUNTIF(H$2581:$H2680,H2680)</f>
        <v>0</v>
      </c>
    </row>
    <row r="2681" spans="13:13" x14ac:dyDescent="0.2">
      <c r="M2681">
        <f>COUNTIF(H$2581:$H2681,H2681)</f>
        <v>0</v>
      </c>
    </row>
    <row r="2682" spans="13:13" x14ac:dyDescent="0.2">
      <c r="M2682">
        <f>COUNTIF(H$2581:$H2682,H2682)</f>
        <v>0</v>
      </c>
    </row>
    <row r="2683" spans="13:13" x14ac:dyDescent="0.2">
      <c r="M2683">
        <f>COUNTIF(H$2581:$H2683,H2683)</f>
        <v>0</v>
      </c>
    </row>
    <row r="2684" spans="13:13" x14ac:dyDescent="0.2">
      <c r="M2684">
        <f>COUNTIF(H$2581:$H2684,H2684)</f>
        <v>0</v>
      </c>
    </row>
    <row r="2685" spans="13:13" x14ac:dyDescent="0.2">
      <c r="M2685">
        <f>COUNTIF(H$2581:$H2685,H2685)</f>
        <v>0</v>
      </c>
    </row>
    <row r="2686" spans="13:13" x14ac:dyDescent="0.2">
      <c r="M2686">
        <f>COUNTIF(H$2581:$H2686,H2686)</f>
        <v>0</v>
      </c>
    </row>
    <row r="2687" spans="13:13" x14ac:dyDescent="0.2">
      <c r="M2687">
        <f>COUNTIF(H$2581:$H2687,H2687)</f>
        <v>0</v>
      </c>
    </row>
    <row r="2688" spans="13:13" x14ac:dyDescent="0.2">
      <c r="M2688">
        <f>COUNTIF(H$2581:$H2688,H2688)</f>
        <v>0</v>
      </c>
    </row>
    <row r="2689" spans="13:13" x14ac:dyDescent="0.2">
      <c r="M2689">
        <f>COUNTIF(H$2581:$H2689,H2689)</f>
        <v>0</v>
      </c>
    </row>
    <row r="2690" spans="13:13" x14ac:dyDescent="0.2">
      <c r="M2690">
        <f>COUNTIF(H$2581:$H2690,H2690)</f>
        <v>0</v>
      </c>
    </row>
    <row r="2691" spans="13:13" x14ac:dyDescent="0.2">
      <c r="M2691">
        <f>COUNTIF(H$2581:$H2691,H2691)</f>
        <v>0</v>
      </c>
    </row>
    <row r="2692" spans="13:13" x14ac:dyDescent="0.2">
      <c r="M2692">
        <f>COUNTIF(H$2581:$H2692,H2692)</f>
        <v>0</v>
      </c>
    </row>
    <row r="2693" spans="13:13" x14ac:dyDescent="0.2">
      <c r="M2693">
        <f>COUNTIF(H$2581:$H2693,H2693)</f>
        <v>0</v>
      </c>
    </row>
    <row r="2694" spans="13:13" x14ac:dyDescent="0.2">
      <c r="M2694">
        <f>COUNTIF(H$2581:$H2694,H2694)</f>
        <v>0</v>
      </c>
    </row>
    <row r="2695" spans="13:13" x14ac:dyDescent="0.2">
      <c r="M2695">
        <f>COUNTIF(H$2581:$H2695,H2695)</f>
        <v>0</v>
      </c>
    </row>
    <row r="2696" spans="13:13" x14ac:dyDescent="0.2">
      <c r="M2696">
        <f>COUNTIF(H$2581:$H2696,H2696)</f>
        <v>0</v>
      </c>
    </row>
    <row r="2697" spans="13:13" x14ac:dyDescent="0.2">
      <c r="M2697">
        <f>COUNTIF(H$2581:$H2697,H2697)</f>
        <v>0</v>
      </c>
    </row>
    <row r="2698" spans="13:13" x14ac:dyDescent="0.2">
      <c r="M2698">
        <f>COUNTIF(H$2581:$H2698,H2698)</f>
        <v>0</v>
      </c>
    </row>
    <row r="2699" spans="13:13" x14ac:dyDescent="0.2">
      <c r="M2699">
        <f>COUNTIF(H$2581:$H2699,H2699)</f>
        <v>0</v>
      </c>
    </row>
  </sheetData>
  <autoFilter ref="H1:H2699" xr:uid="{6AE931AC-56B6-E94B-B901-05A1D95E51F3}">
    <sortState ref="H2:H2583">
      <sortCondition ref="H1:H2699"/>
    </sortState>
  </autoFilter>
  <sortState ref="H1:H2702">
    <sortCondition ref="H1"/>
  </sortState>
  <hyperlinks>
    <hyperlink ref="H450" r:id="rId1" xr:uid="{71445A3A-5D46-DD4C-9CA5-77B118BCF61A}"/>
  </hyperlinks>
  <pageMargins left="0.75" right="0.75" top="1" bottom="1" header="0.5" footer="0.5"/>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0D30E-689D-A641-83D2-E47C08080C3B}">
  <dimension ref="A1:P1515"/>
  <sheetViews>
    <sheetView topLeftCell="G690" workbookViewId="0">
      <selection activeCell="H3" sqref="H3"/>
    </sheetView>
  </sheetViews>
  <sheetFormatPr baseColWidth="10" defaultRowHeight="16" x14ac:dyDescent="0.2"/>
  <cols>
    <col min="1" max="1" width="5.1640625" bestFit="1" customWidth="1"/>
    <col min="2" max="2" width="109.5" hidden="1" customWidth="1"/>
    <col min="3" max="3" width="95.1640625" customWidth="1"/>
    <col min="4" max="4" width="19.1640625" bestFit="1" customWidth="1"/>
    <col min="5" max="6" width="36.5" hidden="1" customWidth="1"/>
    <col min="7" max="7" width="83.33203125" customWidth="1"/>
    <col min="8" max="8" width="34" bestFit="1" customWidth="1"/>
    <col min="9" max="9" width="10" bestFit="1" customWidth="1"/>
    <col min="10" max="10" width="10.33203125" bestFit="1" customWidth="1"/>
    <col min="11" max="11" width="11" bestFit="1" customWidth="1"/>
    <col min="12" max="12" width="11.1640625" bestFit="1" customWidth="1"/>
    <col min="13" max="13" width="16.5" customWidth="1"/>
  </cols>
  <sheetData>
    <row r="1" spans="1:13" x14ac:dyDescent="0.2">
      <c r="B1" t="s">
        <v>0</v>
      </c>
      <c r="C1" t="s">
        <v>1</v>
      </c>
      <c r="D1" t="s">
        <v>2</v>
      </c>
      <c r="E1" t="s">
        <v>3</v>
      </c>
      <c r="F1" t="s">
        <v>4</v>
      </c>
      <c r="G1" t="s">
        <v>5</v>
      </c>
      <c r="H1" t="s">
        <v>17</v>
      </c>
      <c r="I1" t="s">
        <v>7</v>
      </c>
      <c r="J1" t="s">
        <v>8</v>
      </c>
      <c r="K1" t="s">
        <v>9</v>
      </c>
      <c r="L1" t="s">
        <v>10</v>
      </c>
      <c r="M1" t="s">
        <v>8997</v>
      </c>
    </row>
    <row r="2" spans="1:13" x14ac:dyDescent="0.2">
      <c r="A2">
        <v>3</v>
      </c>
      <c r="B2" t="s">
        <v>449</v>
      </c>
      <c r="C2" t="s">
        <v>4231</v>
      </c>
      <c r="D2" t="s">
        <v>13</v>
      </c>
      <c r="E2" t="s">
        <v>4232</v>
      </c>
      <c r="F2" t="s">
        <v>452</v>
      </c>
      <c r="G2" t="s">
        <v>4233</v>
      </c>
      <c r="H2" t="s">
        <v>23</v>
      </c>
      <c r="I2" t="s">
        <v>24</v>
      </c>
      <c r="J2">
        <v>2</v>
      </c>
      <c r="K2">
        <v>4</v>
      </c>
      <c r="L2">
        <v>4</v>
      </c>
      <c r="M2">
        <f>COUNTIF(H2:$H$2581,H2)</f>
        <v>1</v>
      </c>
    </row>
    <row r="3" spans="1:13" x14ac:dyDescent="0.2">
      <c r="A3">
        <v>12</v>
      </c>
      <c r="B3" t="s">
        <v>1840</v>
      </c>
      <c r="C3" t="s">
        <v>4235</v>
      </c>
      <c r="D3" t="s">
        <v>54</v>
      </c>
      <c r="E3" t="s">
        <v>4236</v>
      </c>
      <c r="F3" t="s">
        <v>1843</v>
      </c>
      <c r="G3" t="s">
        <v>4237</v>
      </c>
      <c r="H3" t="s">
        <v>30</v>
      </c>
      <c r="I3" t="s">
        <v>24</v>
      </c>
      <c r="J3">
        <v>4</v>
      </c>
      <c r="K3">
        <v>13</v>
      </c>
      <c r="L3">
        <v>4</v>
      </c>
      <c r="M3">
        <f>COUNTIF(H3:$H$2581,H3)</f>
        <v>1</v>
      </c>
    </row>
    <row r="4" spans="1:13" x14ac:dyDescent="0.2">
      <c r="A4">
        <v>13</v>
      </c>
      <c r="B4" t="s">
        <v>1840</v>
      </c>
      <c r="C4" t="s">
        <v>4238</v>
      </c>
      <c r="D4" t="s">
        <v>13</v>
      </c>
      <c r="E4" t="s">
        <v>4239</v>
      </c>
      <c r="F4" t="s">
        <v>1843</v>
      </c>
      <c r="G4" t="s">
        <v>4240</v>
      </c>
      <c r="H4" t="s">
        <v>175</v>
      </c>
      <c r="I4" t="s">
        <v>24</v>
      </c>
      <c r="J4">
        <v>4</v>
      </c>
      <c r="K4">
        <v>14</v>
      </c>
      <c r="L4">
        <v>4</v>
      </c>
      <c r="M4">
        <f>COUNTIF(H4:$H$2581,H4)</f>
        <v>1</v>
      </c>
    </row>
    <row r="5" spans="1:13" x14ac:dyDescent="0.2">
      <c r="A5">
        <v>27</v>
      </c>
      <c r="B5" t="s">
        <v>2448</v>
      </c>
      <c r="C5" t="s">
        <v>4241</v>
      </c>
      <c r="D5" t="s">
        <v>33</v>
      </c>
      <c r="E5" t="s">
        <v>4242</v>
      </c>
      <c r="F5" t="s">
        <v>2451</v>
      </c>
      <c r="G5" t="s">
        <v>4243</v>
      </c>
      <c r="H5" t="s">
        <v>181</v>
      </c>
      <c r="I5" t="s">
        <v>24</v>
      </c>
      <c r="J5">
        <v>6</v>
      </c>
      <c r="K5">
        <v>28</v>
      </c>
      <c r="L5">
        <v>4</v>
      </c>
      <c r="M5">
        <f>COUNTIF(H5:$H$2581,H5)</f>
        <v>1</v>
      </c>
    </row>
    <row r="6" spans="1:13" x14ac:dyDescent="0.2">
      <c r="A6">
        <v>28</v>
      </c>
      <c r="B6" t="s">
        <v>2448</v>
      </c>
      <c r="C6" t="s">
        <v>4244</v>
      </c>
      <c r="D6" t="s">
        <v>13</v>
      </c>
      <c r="E6" t="s">
        <v>4245</v>
      </c>
      <c r="F6" t="s">
        <v>2451</v>
      </c>
      <c r="G6" t="s">
        <v>4246</v>
      </c>
      <c r="H6" t="s">
        <v>187</v>
      </c>
      <c r="I6" t="s">
        <v>24</v>
      </c>
      <c r="J6">
        <v>6</v>
      </c>
      <c r="K6">
        <v>29</v>
      </c>
      <c r="L6">
        <v>4</v>
      </c>
      <c r="M6">
        <f>COUNTIF(H6:$H$2581,H6)</f>
        <v>1</v>
      </c>
    </row>
    <row r="7" spans="1:13" x14ac:dyDescent="0.2">
      <c r="A7">
        <v>40</v>
      </c>
      <c r="B7" t="s">
        <v>2199</v>
      </c>
      <c r="C7" t="s">
        <v>4247</v>
      </c>
      <c r="D7" t="s">
        <v>54</v>
      </c>
      <c r="E7" t="s">
        <v>4248</v>
      </c>
      <c r="F7" t="s">
        <v>2202</v>
      </c>
      <c r="G7" t="s">
        <v>4249</v>
      </c>
      <c r="H7" t="s">
        <v>236</v>
      </c>
      <c r="I7" t="s">
        <v>24</v>
      </c>
      <c r="J7">
        <v>7</v>
      </c>
      <c r="K7">
        <v>41</v>
      </c>
      <c r="L7">
        <v>4</v>
      </c>
      <c r="M7">
        <f>COUNTIF(H7:$H$2581,H7)</f>
        <v>1</v>
      </c>
    </row>
    <row r="8" spans="1:13" x14ac:dyDescent="0.2">
      <c r="A8">
        <v>247</v>
      </c>
      <c r="B8" t="s">
        <v>1849</v>
      </c>
      <c r="C8" t="s">
        <v>4250</v>
      </c>
      <c r="D8" t="s">
        <v>54</v>
      </c>
      <c r="E8" s="1" t="s">
        <v>4251</v>
      </c>
      <c r="F8" t="s">
        <v>1852</v>
      </c>
      <c r="G8" t="s">
        <v>4252</v>
      </c>
      <c r="H8" t="s">
        <v>242</v>
      </c>
      <c r="I8" t="b">
        <v>0</v>
      </c>
      <c r="J8">
        <v>41</v>
      </c>
      <c r="K8">
        <v>248</v>
      </c>
      <c r="L8">
        <v>4</v>
      </c>
      <c r="M8">
        <f>COUNTIF(H8:$H$2581,H8)</f>
        <v>1</v>
      </c>
    </row>
    <row r="9" spans="1:13" x14ac:dyDescent="0.2">
      <c r="A9">
        <v>279</v>
      </c>
      <c r="B9" t="s">
        <v>2105</v>
      </c>
      <c r="C9" t="s">
        <v>4253</v>
      </c>
      <c r="D9" t="s">
        <v>54</v>
      </c>
      <c r="E9" t="s">
        <v>4254</v>
      </c>
      <c r="F9" t="s">
        <v>2108</v>
      </c>
      <c r="G9" t="s">
        <v>4255</v>
      </c>
      <c r="H9" t="s">
        <v>248</v>
      </c>
      <c r="I9" t="s">
        <v>24</v>
      </c>
      <c r="J9">
        <v>44</v>
      </c>
      <c r="K9">
        <v>280</v>
      </c>
      <c r="L9">
        <v>4</v>
      </c>
      <c r="M9">
        <f>COUNTIF(H9:$H$2581,H9)</f>
        <v>1</v>
      </c>
    </row>
    <row r="10" spans="1:13" x14ac:dyDescent="0.2">
      <c r="A10">
        <v>304</v>
      </c>
      <c r="B10" t="s">
        <v>784</v>
      </c>
      <c r="C10" t="s">
        <v>4256</v>
      </c>
      <c r="D10" t="s">
        <v>54</v>
      </c>
      <c r="E10" t="s">
        <v>4257</v>
      </c>
      <c r="F10" t="s">
        <v>787</v>
      </c>
      <c r="G10" t="s">
        <v>4258</v>
      </c>
      <c r="H10" t="s">
        <v>254</v>
      </c>
      <c r="I10" t="b">
        <v>0</v>
      </c>
      <c r="J10">
        <v>45</v>
      </c>
      <c r="K10">
        <v>305</v>
      </c>
      <c r="L10">
        <v>4</v>
      </c>
      <c r="M10">
        <f>COUNTIF(H10:$H$2581,H10)</f>
        <v>1</v>
      </c>
    </row>
    <row r="11" spans="1:13" x14ac:dyDescent="0.2">
      <c r="A11">
        <v>344</v>
      </c>
      <c r="B11" t="s">
        <v>455</v>
      </c>
      <c r="C11" t="s">
        <v>4259</v>
      </c>
      <c r="D11" t="s">
        <v>13</v>
      </c>
      <c r="E11" t="s">
        <v>4260</v>
      </c>
      <c r="F11" t="s">
        <v>458</v>
      </c>
      <c r="G11" t="s">
        <v>4261</v>
      </c>
      <c r="H11" t="s">
        <v>260</v>
      </c>
      <c r="I11" t="b">
        <v>0</v>
      </c>
      <c r="J11">
        <v>49</v>
      </c>
      <c r="K11">
        <v>345</v>
      </c>
      <c r="L11">
        <v>4</v>
      </c>
      <c r="M11">
        <f>COUNTIF(H11:$H$2581,H11)</f>
        <v>1</v>
      </c>
    </row>
    <row r="12" spans="1:13" x14ac:dyDescent="0.2">
      <c r="A12">
        <v>359</v>
      </c>
      <c r="B12" t="s">
        <v>975</v>
      </c>
      <c r="C12" t="s">
        <v>4262</v>
      </c>
      <c r="D12" t="s">
        <v>13</v>
      </c>
      <c r="E12" t="s">
        <v>4263</v>
      </c>
      <c r="F12" s="1" t="s">
        <v>978</v>
      </c>
      <c r="G12" t="s">
        <v>4264</v>
      </c>
      <c r="H12" t="s">
        <v>264</v>
      </c>
      <c r="I12" t="b">
        <v>1</v>
      </c>
      <c r="J12">
        <v>50</v>
      </c>
      <c r="K12">
        <v>360</v>
      </c>
      <c r="L12">
        <v>4</v>
      </c>
      <c r="M12">
        <f>COUNTIF(H12:$H$2581,H12)</f>
        <v>1</v>
      </c>
    </row>
    <row r="13" spans="1:13" x14ac:dyDescent="0.2">
      <c r="A13">
        <v>371</v>
      </c>
      <c r="B13" t="s">
        <v>2099</v>
      </c>
      <c r="C13" t="s">
        <v>4265</v>
      </c>
      <c r="D13" t="s">
        <v>54</v>
      </c>
      <c r="E13" t="s">
        <v>4266</v>
      </c>
      <c r="F13" t="s">
        <v>2102</v>
      </c>
      <c r="G13" t="s">
        <v>4267</v>
      </c>
      <c r="H13" t="s">
        <v>270</v>
      </c>
      <c r="I13" t="b">
        <v>0</v>
      </c>
      <c r="J13">
        <v>51</v>
      </c>
      <c r="K13">
        <v>372</v>
      </c>
      <c r="L13">
        <v>4</v>
      </c>
      <c r="M13">
        <f>COUNTIF(H13:$H$2581,H13)</f>
        <v>1</v>
      </c>
    </row>
    <row r="14" spans="1:13" x14ac:dyDescent="0.2">
      <c r="A14">
        <v>393</v>
      </c>
      <c r="B14" t="s">
        <v>1568</v>
      </c>
      <c r="C14" t="s">
        <v>4268</v>
      </c>
      <c r="D14" t="s">
        <v>13</v>
      </c>
      <c r="E14" t="s">
        <v>4269</v>
      </c>
      <c r="F14" t="s">
        <v>1571</v>
      </c>
      <c r="G14" t="s">
        <v>4270</v>
      </c>
      <c r="H14" t="s">
        <v>276</v>
      </c>
      <c r="I14" t="s">
        <v>24</v>
      </c>
      <c r="J14">
        <v>55</v>
      </c>
      <c r="K14">
        <v>394</v>
      </c>
      <c r="L14">
        <v>4</v>
      </c>
      <c r="M14">
        <f>COUNTIF(H14:$H$2581,H14)</f>
        <v>1</v>
      </c>
    </row>
    <row r="15" spans="1:13" x14ac:dyDescent="0.2">
      <c r="A15">
        <v>404</v>
      </c>
      <c r="B15" t="s">
        <v>1244</v>
      </c>
      <c r="C15" t="s">
        <v>4271</v>
      </c>
      <c r="D15" t="s">
        <v>54</v>
      </c>
      <c r="E15" t="s">
        <v>4272</v>
      </c>
      <c r="F15" t="s">
        <v>1247</v>
      </c>
      <c r="G15" t="s">
        <v>4273</v>
      </c>
      <c r="H15" t="s">
        <v>302</v>
      </c>
      <c r="I15" t="b">
        <v>0</v>
      </c>
      <c r="J15">
        <v>57</v>
      </c>
      <c r="K15">
        <v>405</v>
      </c>
      <c r="L15">
        <v>4</v>
      </c>
      <c r="M15">
        <f>COUNTIF(H15:$H$2581,H15)</f>
        <v>1</v>
      </c>
    </row>
    <row r="16" spans="1:13" x14ac:dyDescent="0.2">
      <c r="A16">
        <v>439</v>
      </c>
      <c r="B16" t="s">
        <v>778</v>
      </c>
      <c r="C16" t="s">
        <v>4274</v>
      </c>
      <c r="D16" t="s">
        <v>54</v>
      </c>
      <c r="E16" t="s">
        <v>4275</v>
      </c>
      <c r="F16" t="s">
        <v>781</v>
      </c>
      <c r="G16" t="s">
        <v>4276</v>
      </c>
      <c r="H16" t="s">
        <v>404</v>
      </c>
      <c r="I16" t="b">
        <v>0</v>
      </c>
      <c r="J16">
        <v>64</v>
      </c>
      <c r="K16">
        <v>440</v>
      </c>
      <c r="L16">
        <v>4</v>
      </c>
      <c r="M16">
        <f>COUNTIF(H16:$H$2581,H16)</f>
        <v>1</v>
      </c>
    </row>
    <row r="17" spans="1:13" x14ac:dyDescent="0.2">
      <c r="A17">
        <v>440</v>
      </c>
      <c r="B17" t="s">
        <v>778</v>
      </c>
      <c r="C17" t="s">
        <v>4277</v>
      </c>
      <c r="D17" t="s">
        <v>33</v>
      </c>
      <c r="E17" t="s">
        <v>4278</v>
      </c>
      <c r="F17" t="s">
        <v>781</v>
      </c>
      <c r="G17" t="s">
        <v>4279</v>
      </c>
      <c r="H17" t="s">
        <v>419</v>
      </c>
      <c r="I17" t="b">
        <v>0</v>
      </c>
      <c r="J17">
        <v>64</v>
      </c>
      <c r="K17">
        <v>441</v>
      </c>
      <c r="L17">
        <v>4</v>
      </c>
      <c r="M17">
        <f>COUNTIF(H17:$H$2581,H17)</f>
        <v>1</v>
      </c>
    </row>
    <row r="18" spans="1:13" x14ac:dyDescent="0.2">
      <c r="A18">
        <v>459</v>
      </c>
      <c r="B18" t="s">
        <v>1039</v>
      </c>
      <c r="C18" t="s">
        <v>4280</v>
      </c>
      <c r="D18" t="s">
        <v>54</v>
      </c>
      <c r="E18" t="s">
        <v>4281</v>
      </c>
      <c r="F18" t="s">
        <v>1042</v>
      </c>
      <c r="G18" t="s">
        <v>4282</v>
      </c>
      <c r="H18" t="s">
        <v>423</v>
      </c>
      <c r="I18" t="s">
        <v>24</v>
      </c>
      <c r="J18">
        <v>65</v>
      </c>
      <c r="K18">
        <v>460</v>
      </c>
      <c r="L18">
        <v>4</v>
      </c>
      <c r="M18">
        <f>COUNTIF(H18:$H$2581,H18)</f>
        <v>1</v>
      </c>
    </row>
    <row r="19" spans="1:13" x14ac:dyDescent="0.2">
      <c r="A19">
        <v>481</v>
      </c>
      <c r="B19" t="s">
        <v>2266</v>
      </c>
      <c r="C19" t="s">
        <v>4283</v>
      </c>
      <c r="D19" t="s">
        <v>13</v>
      </c>
      <c r="E19" t="s">
        <v>4284</v>
      </c>
      <c r="F19" t="s">
        <v>2269</v>
      </c>
      <c r="G19" t="s">
        <v>4285</v>
      </c>
      <c r="H19" t="s">
        <v>454</v>
      </c>
      <c r="I19" t="s">
        <v>24</v>
      </c>
      <c r="J19">
        <v>68</v>
      </c>
      <c r="K19">
        <v>482</v>
      </c>
      <c r="L19">
        <v>4</v>
      </c>
      <c r="M19">
        <f>COUNTIF(H19:$H$2581,H19)</f>
        <v>1</v>
      </c>
    </row>
    <row r="20" spans="1:13" x14ac:dyDescent="0.2">
      <c r="A20">
        <v>487</v>
      </c>
      <c r="B20" t="s">
        <v>182</v>
      </c>
      <c r="C20" t="s">
        <v>4286</v>
      </c>
      <c r="D20" t="s">
        <v>13</v>
      </c>
      <c r="E20" t="s">
        <v>4287</v>
      </c>
      <c r="F20" t="s">
        <v>185</v>
      </c>
      <c r="G20" t="s">
        <v>4288</v>
      </c>
      <c r="H20" t="s">
        <v>460</v>
      </c>
      <c r="I20" t="b">
        <v>1</v>
      </c>
      <c r="J20">
        <v>69</v>
      </c>
      <c r="K20">
        <v>488</v>
      </c>
      <c r="L20">
        <v>4</v>
      </c>
      <c r="M20">
        <f>COUNTIF(H20:$H$2581,H20)</f>
        <v>1</v>
      </c>
    </row>
    <row r="21" spans="1:13" x14ac:dyDescent="0.2">
      <c r="A21">
        <v>500</v>
      </c>
      <c r="B21" t="s">
        <v>1738</v>
      </c>
      <c r="C21" t="s">
        <v>4289</v>
      </c>
      <c r="D21" t="s">
        <v>13</v>
      </c>
      <c r="E21" s="1" t="s">
        <v>4290</v>
      </c>
      <c r="F21" t="s">
        <v>1741</v>
      </c>
      <c r="G21" t="s">
        <v>4291</v>
      </c>
      <c r="H21" t="s">
        <v>491</v>
      </c>
      <c r="I21" t="b">
        <v>0</v>
      </c>
      <c r="J21">
        <v>71</v>
      </c>
      <c r="K21">
        <v>501</v>
      </c>
      <c r="L21">
        <v>4</v>
      </c>
      <c r="M21">
        <f>COUNTIF(H21:$H$2581,H21)</f>
        <v>1</v>
      </c>
    </row>
    <row r="22" spans="1:13" x14ac:dyDescent="0.2">
      <c r="A22">
        <v>539</v>
      </c>
      <c r="B22" t="s">
        <v>188</v>
      </c>
      <c r="C22" t="s">
        <v>4292</v>
      </c>
      <c r="D22" t="s">
        <v>54</v>
      </c>
      <c r="E22" t="s">
        <v>4293</v>
      </c>
      <c r="F22" t="s">
        <v>191</v>
      </c>
      <c r="G22" t="s">
        <v>4294</v>
      </c>
      <c r="H22" t="s">
        <v>497</v>
      </c>
      <c r="I22" t="b">
        <v>0</v>
      </c>
      <c r="J22">
        <v>80</v>
      </c>
      <c r="K22">
        <v>540</v>
      </c>
      <c r="L22">
        <v>4</v>
      </c>
      <c r="M22">
        <f>COUNTIF(H22:$H$2581,H22)</f>
        <v>1</v>
      </c>
    </row>
    <row r="23" spans="1:13" x14ac:dyDescent="0.2">
      <c r="A23">
        <v>563</v>
      </c>
      <c r="B23" t="s">
        <v>2797</v>
      </c>
      <c r="C23" t="s">
        <v>4295</v>
      </c>
      <c r="D23" t="s">
        <v>13</v>
      </c>
      <c r="E23" t="s">
        <v>4296</v>
      </c>
      <c r="F23" t="s">
        <v>2800</v>
      </c>
      <c r="G23" t="s">
        <v>4297</v>
      </c>
      <c r="H23" t="s">
        <v>503</v>
      </c>
      <c r="I23" t="s">
        <v>24</v>
      </c>
      <c r="J23">
        <v>84</v>
      </c>
      <c r="K23">
        <v>564</v>
      </c>
      <c r="L23">
        <v>4</v>
      </c>
      <c r="M23">
        <f>COUNTIF(H23:$H$2581,H23)</f>
        <v>1</v>
      </c>
    </row>
    <row r="24" spans="1:13" x14ac:dyDescent="0.2">
      <c r="A24">
        <v>564</v>
      </c>
      <c r="B24" t="s">
        <v>2797</v>
      </c>
      <c r="C24" t="s">
        <v>4298</v>
      </c>
      <c r="D24" t="s">
        <v>54</v>
      </c>
      <c r="E24" t="s">
        <v>4299</v>
      </c>
      <c r="F24" t="s">
        <v>2800</v>
      </c>
      <c r="G24" t="s">
        <v>4300</v>
      </c>
      <c r="H24" t="s">
        <v>514</v>
      </c>
      <c r="I24" t="s">
        <v>24</v>
      </c>
      <c r="J24">
        <v>84</v>
      </c>
      <c r="K24">
        <v>565</v>
      </c>
      <c r="L24">
        <v>4</v>
      </c>
      <c r="M24">
        <f>COUNTIF(H24:$H$2581,H24)</f>
        <v>1</v>
      </c>
    </row>
    <row r="25" spans="1:13" x14ac:dyDescent="0.2">
      <c r="A25">
        <v>598</v>
      </c>
      <c r="B25" t="s">
        <v>1097</v>
      </c>
      <c r="C25" t="s">
        <v>4301</v>
      </c>
      <c r="D25" t="s">
        <v>13</v>
      </c>
      <c r="E25" t="s">
        <v>4302</v>
      </c>
      <c r="F25" t="s">
        <v>1100</v>
      </c>
      <c r="G25" t="s">
        <v>4303</v>
      </c>
      <c r="H25" t="s">
        <v>518</v>
      </c>
      <c r="I25" t="b">
        <v>0</v>
      </c>
      <c r="J25">
        <v>90</v>
      </c>
      <c r="K25">
        <v>599</v>
      </c>
      <c r="L25">
        <v>4</v>
      </c>
      <c r="M25">
        <f>COUNTIF(H25:$H$2581,H25)</f>
        <v>1</v>
      </c>
    </row>
    <row r="26" spans="1:13" x14ac:dyDescent="0.2">
      <c r="A26">
        <v>614</v>
      </c>
      <c r="B26" t="s">
        <v>1491</v>
      </c>
      <c r="C26" t="s">
        <v>4304</v>
      </c>
      <c r="D26" t="s">
        <v>33</v>
      </c>
      <c r="E26" t="s">
        <v>4305</v>
      </c>
      <c r="F26" t="s">
        <v>1494</v>
      </c>
      <c r="G26" t="s">
        <v>4306</v>
      </c>
      <c r="H26" t="s">
        <v>527</v>
      </c>
      <c r="I26" t="b">
        <v>0</v>
      </c>
      <c r="J26">
        <v>91</v>
      </c>
      <c r="K26">
        <v>615</v>
      </c>
      <c r="L26">
        <v>4</v>
      </c>
      <c r="M26">
        <f>COUNTIF(H26:$H$2581,H26)</f>
        <v>1</v>
      </c>
    </row>
    <row r="27" spans="1:13" x14ac:dyDescent="0.2">
      <c r="A27">
        <v>640</v>
      </c>
      <c r="B27" t="s">
        <v>237</v>
      </c>
      <c r="C27" t="s">
        <v>4307</v>
      </c>
      <c r="D27" t="s">
        <v>54</v>
      </c>
      <c r="E27" t="s">
        <v>4308</v>
      </c>
      <c r="F27" t="s">
        <v>240</v>
      </c>
      <c r="G27" t="s">
        <v>4309</v>
      </c>
      <c r="H27" t="s">
        <v>531</v>
      </c>
      <c r="I27" t="b">
        <v>1</v>
      </c>
      <c r="J27">
        <v>92</v>
      </c>
      <c r="K27">
        <v>641</v>
      </c>
      <c r="L27">
        <v>4</v>
      </c>
      <c r="M27">
        <f>COUNTIF(H27:$H$2581,H27)</f>
        <v>1</v>
      </c>
    </row>
    <row r="28" spans="1:13" x14ac:dyDescent="0.2">
      <c r="A28">
        <v>641</v>
      </c>
      <c r="B28" t="s">
        <v>237</v>
      </c>
      <c r="C28" t="s">
        <v>4310</v>
      </c>
      <c r="D28" t="s">
        <v>13</v>
      </c>
      <c r="E28" t="s">
        <v>4311</v>
      </c>
      <c r="F28" t="s">
        <v>240</v>
      </c>
      <c r="G28" t="s">
        <v>4312</v>
      </c>
      <c r="H28" t="s">
        <v>599</v>
      </c>
      <c r="I28" t="b">
        <v>1</v>
      </c>
      <c r="J28">
        <v>92</v>
      </c>
      <c r="K28">
        <v>642</v>
      </c>
      <c r="L28">
        <v>4</v>
      </c>
      <c r="M28">
        <f>COUNTIF(H28:$H$2581,H28)</f>
        <v>1</v>
      </c>
    </row>
    <row r="29" spans="1:13" x14ac:dyDescent="0.2">
      <c r="A29">
        <v>664</v>
      </c>
      <c r="B29" t="s">
        <v>2053</v>
      </c>
      <c r="C29" t="s">
        <v>4313</v>
      </c>
      <c r="D29" t="s">
        <v>54</v>
      </c>
      <c r="E29" t="s">
        <v>4314</v>
      </c>
      <c r="F29" s="1" t="s">
        <v>2056</v>
      </c>
      <c r="G29" t="s">
        <v>4315</v>
      </c>
      <c r="H29" t="s">
        <v>618</v>
      </c>
      <c r="I29" t="s">
        <v>24</v>
      </c>
      <c r="J29">
        <v>98</v>
      </c>
      <c r="K29">
        <v>665</v>
      </c>
      <c r="L29">
        <v>4</v>
      </c>
      <c r="M29">
        <f>COUNTIF(H29:$H$2581,H29)</f>
        <v>1</v>
      </c>
    </row>
    <row r="30" spans="1:13" x14ac:dyDescent="0.2">
      <c r="A30">
        <v>673</v>
      </c>
      <c r="B30" t="s">
        <v>822</v>
      </c>
      <c r="C30" t="s">
        <v>4316</v>
      </c>
      <c r="D30" t="s">
        <v>13</v>
      </c>
      <c r="E30" t="s">
        <v>4317</v>
      </c>
      <c r="F30" t="s">
        <v>825</v>
      </c>
      <c r="G30" t="s">
        <v>4318</v>
      </c>
      <c r="H30" t="s">
        <v>624</v>
      </c>
      <c r="I30" t="s">
        <v>24</v>
      </c>
      <c r="J30">
        <v>99</v>
      </c>
      <c r="K30">
        <v>674</v>
      </c>
      <c r="L30">
        <v>4</v>
      </c>
      <c r="M30">
        <f>COUNTIF(H30:$H$2581,H30)</f>
        <v>1</v>
      </c>
    </row>
    <row r="31" spans="1:13" x14ac:dyDescent="0.2">
      <c r="A31">
        <v>694</v>
      </c>
      <c r="B31" t="s">
        <v>1131</v>
      </c>
      <c r="C31" t="s">
        <v>4319</v>
      </c>
      <c r="D31" t="s">
        <v>54</v>
      </c>
      <c r="E31" t="s">
        <v>4320</v>
      </c>
      <c r="F31" s="1" t="s">
        <v>1134</v>
      </c>
      <c r="G31" t="s">
        <v>4321</v>
      </c>
      <c r="H31" t="s">
        <v>630</v>
      </c>
      <c r="I31" t="b">
        <v>0</v>
      </c>
      <c r="J31">
        <v>102</v>
      </c>
      <c r="K31">
        <v>695</v>
      </c>
      <c r="L31">
        <v>4</v>
      </c>
      <c r="M31">
        <f>COUNTIF(H31:$H$2581,H31)</f>
        <v>1</v>
      </c>
    </row>
    <row r="32" spans="1:13" x14ac:dyDescent="0.2">
      <c r="A32">
        <v>706</v>
      </c>
      <c r="B32" t="s">
        <v>730</v>
      </c>
      <c r="C32" t="s">
        <v>4322</v>
      </c>
      <c r="D32" t="s">
        <v>54</v>
      </c>
      <c r="E32" t="s">
        <v>4323</v>
      </c>
      <c r="F32" t="s">
        <v>733</v>
      </c>
      <c r="G32" t="s">
        <v>4324</v>
      </c>
      <c r="H32" t="s">
        <v>644</v>
      </c>
      <c r="I32" t="s">
        <v>24</v>
      </c>
      <c r="J32">
        <v>103</v>
      </c>
      <c r="K32">
        <v>707</v>
      </c>
      <c r="L32">
        <v>4</v>
      </c>
      <c r="M32">
        <f>COUNTIF(H32:$H$2581,H32)</f>
        <v>1</v>
      </c>
    </row>
    <row r="33" spans="1:13" x14ac:dyDescent="0.2">
      <c r="A33">
        <v>707</v>
      </c>
      <c r="B33" t="s">
        <v>730</v>
      </c>
      <c r="C33" t="s">
        <v>4325</v>
      </c>
      <c r="D33" t="s">
        <v>54</v>
      </c>
      <c r="E33" t="s">
        <v>4326</v>
      </c>
      <c r="F33" t="s">
        <v>733</v>
      </c>
      <c r="G33" t="s">
        <v>4327</v>
      </c>
      <c r="H33" t="s">
        <v>647</v>
      </c>
      <c r="I33" t="s">
        <v>24</v>
      </c>
      <c r="J33">
        <v>103</v>
      </c>
      <c r="K33">
        <v>708</v>
      </c>
      <c r="L33">
        <v>4</v>
      </c>
      <c r="M33">
        <f>COUNTIF(H33:$H$2581,H33)</f>
        <v>1</v>
      </c>
    </row>
    <row r="34" spans="1:13" x14ac:dyDescent="0.2">
      <c r="A34">
        <v>731</v>
      </c>
      <c r="B34" t="s">
        <v>1349</v>
      </c>
      <c r="C34" t="s">
        <v>4328</v>
      </c>
      <c r="D34" t="s">
        <v>13</v>
      </c>
      <c r="E34" t="s">
        <v>4329</v>
      </c>
      <c r="F34" t="s">
        <v>1352</v>
      </c>
      <c r="G34" t="s">
        <v>4330</v>
      </c>
      <c r="H34" t="s">
        <v>653</v>
      </c>
      <c r="I34" t="b">
        <v>1</v>
      </c>
      <c r="J34">
        <v>104</v>
      </c>
      <c r="K34">
        <v>732</v>
      </c>
      <c r="L34">
        <v>4</v>
      </c>
      <c r="M34">
        <f>COUNTIF(H34:$H$2581,H34)</f>
        <v>1</v>
      </c>
    </row>
    <row r="35" spans="1:13" x14ac:dyDescent="0.2">
      <c r="A35">
        <v>732</v>
      </c>
      <c r="B35" t="s">
        <v>1349</v>
      </c>
      <c r="C35" t="s">
        <v>4331</v>
      </c>
      <c r="D35" t="s">
        <v>13</v>
      </c>
      <c r="E35" t="s">
        <v>4332</v>
      </c>
      <c r="F35" t="s">
        <v>1352</v>
      </c>
      <c r="G35" t="s">
        <v>4333</v>
      </c>
      <c r="H35" t="s">
        <v>660</v>
      </c>
      <c r="I35" t="b">
        <v>1</v>
      </c>
      <c r="J35">
        <v>104</v>
      </c>
      <c r="K35">
        <v>733</v>
      </c>
      <c r="L35">
        <v>4</v>
      </c>
      <c r="M35">
        <f>COUNTIF(H35:$H$2581,H35)</f>
        <v>1</v>
      </c>
    </row>
    <row r="36" spans="1:13" x14ac:dyDescent="0.2">
      <c r="A36">
        <v>733</v>
      </c>
      <c r="B36" t="s">
        <v>1349</v>
      </c>
      <c r="C36" t="s">
        <v>4334</v>
      </c>
      <c r="D36" t="s">
        <v>13</v>
      </c>
      <c r="E36" t="s">
        <v>4335</v>
      </c>
      <c r="F36" t="s">
        <v>1352</v>
      </c>
      <c r="G36" t="s">
        <v>4336</v>
      </c>
      <c r="H36" t="s">
        <v>664</v>
      </c>
      <c r="I36" t="b">
        <v>1</v>
      </c>
      <c r="J36">
        <v>104</v>
      </c>
      <c r="K36">
        <v>734</v>
      </c>
      <c r="L36">
        <v>4</v>
      </c>
      <c r="M36">
        <f>COUNTIF(H36:$H$2581,H36)</f>
        <v>1</v>
      </c>
    </row>
    <row r="37" spans="1:13" x14ac:dyDescent="0.2">
      <c r="A37">
        <v>742</v>
      </c>
      <c r="B37" t="s">
        <v>1450</v>
      </c>
      <c r="C37" t="s">
        <v>4337</v>
      </c>
      <c r="D37" t="s">
        <v>33</v>
      </c>
      <c r="E37" t="s">
        <v>4338</v>
      </c>
      <c r="F37" s="1" t="s">
        <v>1453</v>
      </c>
      <c r="G37" t="s">
        <v>4339</v>
      </c>
      <c r="H37" t="s">
        <v>670</v>
      </c>
      <c r="I37" t="b">
        <v>0</v>
      </c>
      <c r="J37">
        <v>105</v>
      </c>
      <c r="K37">
        <v>743</v>
      </c>
      <c r="L37">
        <v>4</v>
      </c>
      <c r="M37">
        <f>COUNTIF(H37:$H$2581,H37)</f>
        <v>1</v>
      </c>
    </row>
    <row r="38" spans="1:13" x14ac:dyDescent="0.2">
      <c r="A38">
        <v>749</v>
      </c>
      <c r="B38" t="s">
        <v>1868</v>
      </c>
      <c r="C38" t="s">
        <v>4340</v>
      </c>
      <c r="D38" t="s">
        <v>13</v>
      </c>
      <c r="E38" t="s">
        <v>4341</v>
      </c>
      <c r="F38" t="s">
        <v>1871</v>
      </c>
      <c r="G38" t="s">
        <v>4342</v>
      </c>
      <c r="H38" t="s">
        <v>674</v>
      </c>
      <c r="I38" t="s">
        <v>24</v>
      </c>
      <c r="J38">
        <v>107</v>
      </c>
      <c r="K38">
        <v>750</v>
      </c>
      <c r="L38">
        <v>4</v>
      </c>
      <c r="M38">
        <f>COUNTIF(H38:$H$2581,H38)</f>
        <v>1</v>
      </c>
    </row>
    <row r="39" spans="1:13" x14ac:dyDescent="0.2">
      <c r="A39">
        <v>798</v>
      </c>
      <c r="B39" t="s">
        <v>116</v>
      </c>
      <c r="C39" t="s">
        <v>4343</v>
      </c>
      <c r="D39" t="s">
        <v>54</v>
      </c>
      <c r="E39" t="s">
        <v>4344</v>
      </c>
      <c r="F39" t="s">
        <v>119</v>
      </c>
      <c r="G39" t="s">
        <v>4345</v>
      </c>
      <c r="H39" t="s">
        <v>680</v>
      </c>
      <c r="I39" t="s">
        <v>24</v>
      </c>
      <c r="J39">
        <v>112</v>
      </c>
      <c r="K39">
        <v>799</v>
      </c>
      <c r="L39">
        <v>4</v>
      </c>
      <c r="M39">
        <f>COUNTIF(H39:$H$2581,H39)</f>
        <v>1</v>
      </c>
    </row>
    <row r="40" spans="1:13" x14ac:dyDescent="0.2">
      <c r="A40">
        <v>819</v>
      </c>
      <c r="B40" t="s">
        <v>594</v>
      </c>
      <c r="C40" t="s">
        <v>4346</v>
      </c>
      <c r="D40" t="s">
        <v>13</v>
      </c>
      <c r="E40" t="s">
        <v>4347</v>
      </c>
      <c r="F40" t="s">
        <v>597</v>
      </c>
      <c r="G40" t="s">
        <v>4348</v>
      </c>
      <c r="H40" t="s">
        <v>689</v>
      </c>
      <c r="I40" t="b">
        <v>1</v>
      </c>
      <c r="J40">
        <v>114</v>
      </c>
      <c r="K40">
        <v>820</v>
      </c>
      <c r="L40">
        <v>4</v>
      </c>
      <c r="M40">
        <f>COUNTIF(H40:$H$2581,H40)</f>
        <v>1</v>
      </c>
    </row>
    <row r="41" spans="1:13" x14ac:dyDescent="0.2">
      <c r="A41">
        <v>820</v>
      </c>
      <c r="B41" t="s">
        <v>594</v>
      </c>
      <c r="C41" t="s">
        <v>4349</v>
      </c>
      <c r="D41" t="s">
        <v>13</v>
      </c>
      <c r="E41" t="s">
        <v>4350</v>
      </c>
      <c r="F41" t="s">
        <v>597</v>
      </c>
      <c r="G41" t="s">
        <v>4351</v>
      </c>
      <c r="H41" t="s">
        <v>702</v>
      </c>
      <c r="I41" t="b">
        <v>1</v>
      </c>
      <c r="J41">
        <v>114</v>
      </c>
      <c r="K41">
        <v>821</v>
      </c>
      <c r="L41">
        <v>4</v>
      </c>
      <c r="M41">
        <f>COUNTIF(H41:$H$2581,H41)</f>
        <v>1</v>
      </c>
    </row>
    <row r="42" spans="1:13" x14ac:dyDescent="0.2">
      <c r="A42">
        <v>835</v>
      </c>
      <c r="B42" t="s">
        <v>176</v>
      </c>
      <c r="C42" t="s">
        <v>4352</v>
      </c>
      <c r="D42" t="s">
        <v>54</v>
      </c>
      <c r="E42" t="s">
        <v>4353</v>
      </c>
      <c r="F42" t="s">
        <v>179</v>
      </c>
      <c r="G42" t="s">
        <v>4354</v>
      </c>
      <c r="H42" t="s">
        <v>708</v>
      </c>
      <c r="I42" t="s">
        <v>24</v>
      </c>
      <c r="J42">
        <v>115</v>
      </c>
      <c r="K42">
        <v>836</v>
      </c>
      <c r="L42">
        <v>4</v>
      </c>
      <c r="M42">
        <f>COUNTIF(H42:$H$2581,H42)</f>
        <v>1</v>
      </c>
    </row>
    <row r="43" spans="1:13" x14ac:dyDescent="0.2">
      <c r="A43">
        <v>844</v>
      </c>
      <c r="B43" t="s">
        <v>3157</v>
      </c>
      <c r="C43" t="s">
        <v>4355</v>
      </c>
      <c r="D43" t="s">
        <v>54</v>
      </c>
      <c r="E43" t="s">
        <v>4356</v>
      </c>
      <c r="F43" t="s">
        <v>3160</v>
      </c>
      <c r="G43" t="s">
        <v>4357</v>
      </c>
      <c r="H43" t="s">
        <v>714</v>
      </c>
      <c r="I43" t="s">
        <v>24</v>
      </c>
      <c r="J43">
        <v>116</v>
      </c>
      <c r="K43">
        <v>845</v>
      </c>
      <c r="L43">
        <v>4</v>
      </c>
      <c r="M43">
        <f>COUNTIF(H43:$H$2581,H43)</f>
        <v>1</v>
      </c>
    </row>
    <row r="44" spans="1:13" x14ac:dyDescent="0.2">
      <c r="A44">
        <v>852</v>
      </c>
      <c r="B44" t="s">
        <v>193</v>
      </c>
      <c r="C44" t="s">
        <v>4358</v>
      </c>
      <c r="D44" t="s">
        <v>54</v>
      </c>
      <c r="E44" t="s">
        <v>4359</v>
      </c>
      <c r="F44" t="s">
        <v>196</v>
      </c>
      <c r="G44" t="s">
        <v>4360</v>
      </c>
      <c r="H44" t="s">
        <v>735</v>
      </c>
      <c r="I44" t="s">
        <v>24</v>
      </c>
      <c r="J44">
        <v>117</v>
      </c>
      <c r="K44">
        <v>853</v>
      </c>
      <c r="L44">
        <v>4</v>
      </c>
      <c r="M44">
        <f>COUNTIF(H44:$H$2581,H44)</f>
        <v>1</v>
      </c>
    </row>
    <row r="45" spans="1:13" x14ac:dyDescent="0.2">
      <c r="A45">
        <v>877</v>
      </c>
      <c r="B45" t="s">
        <v>1192</v>
      </c>
      <c r="C45" t="s">
        <v>4361</v>
      </c>
      <c r="D45" t="s">
        <v>13</v>
      </c>
      <c r="E45" t="s">
        <v>4362</v>
      </c>
      <c r="F45" t="s">
        <v>1195</v>
      </c>
      <c r="G45" t="s">
        <v>4363</v>
      </c>
      <c r="H45" t="s">
        <v>762</v>
      </c>
      <c r="I45" t="s">
        <v>24</v>
      </c>
      <c r="J45">
        <v>119</v>
      </c>
      <c r="K45">
        <v>878</v>
      </c>
      <c r="L45">
        <v>4</v>
      </c>
      <c r="M45">
        <f>COUNTIF(H45:$H$2581,H45)</f>
        <v>1</v>
      </c>
    </row>
    <row r="46" spans="1:13" x14ac:dyDescent="0.2">
      <c r="A46">
        <v>895</v>
      </c>
      <c r="B46" t="s">
        <v>198</v>
      </c>
      <c r="C46" t="s">
        <v>4364</v>
      </c>
      <c r="D46" t="s">
        <v>33</v>
      </c>
      <c r="E46" t="s">
        <v>4365</v>
      </c>
      <c r="F46" t="s">
        <v>201</v>
      </c>
      <c r="G46" t="s">
        <v>4366</v>
      </c>
      <c r="H46" t="s">
        <v>773</v>
      </c>
      <c r="I46" t="b">
        <v>0</v>
      </c>
      <c r="J46">
        <v>120</v>
      </c>
      <c r="K46">
        <v>896</v>
      </c>
      <c r="L46">
        <v>4</v>
      </c>
      <c r="M46">
        <f>COUNTIF(H46:$H$2581,H46)</f>
        <v>1</v>
      </c>
    </row>
    <row r="47" spans="1:13" x14ac:dyDescent="0.2">
      <c r="A47">
        <v>917</v>
      </c>
      <c r="B47" t="s">
        <v>271</v>
      </c>
      <c r="C47" t="s">
        <v>4367</v>
      </c>
      <c r="D47" t="s">
        <v>13</v>
      </c>
      <c r="E47" t="s">
        <v>4368</v>
      </c>
      <c r="F47" t="s">
        <v>274</v>
      </c>
      <c r="G47" t="s">
        <v>4369</v>
      </c>
      <c r="H47" t="s">
        <v>777</v>
      </c>
      <c r="I47" t="s">
        <v>24</v>
      </c>
      <c r="J47">
        <v>121</v>
      </c>
      <c r="K47">
        <v>918</v>
      </c>
      <c r="L47">
        <v>4</v>
      </c>
      <c r="M47">
        <f>COUNTIF(H47:$H$2581,H47)</f>
        <v>1</v>
      </c>
    </row>
    <row r="48" spans="1:13" x14ac:dyDescent="0.2">
      <c r="A48">
        <v>918</v>
      </c>
      <c r="B48" t="s">
        <v>271</v>
      </c>
      <c r="C48" t="s">
        <v>4370</v>
      </c>
      <c r="D48" t="s">
        <v>13</v>
      </c>
      <c r="E48" t="s">
        <v>4371</v>
      </c>
      <c r="F48" t="s">
        <v>274</v>
      </c>
      <c r="G48" t="s">
        <v>4372</v>
      </c>
      <c r="H48" t="s">
        <v>783</v>
      </c>
      <c r="I48" t="s">
        <v>24</v>
      </c>
      <c r="J48">
        <v>121</v>
      </c>
      <c r="K48">
        <v>919</v>
      </c>
      <c r="L48">
        <v>4</v>
      </c>
      <c r="M48">
        <f>COUNTIF(H48:$H$2581,H48)</f>
        <v>1</v>
      </c>
    </row>
    <row r="49" spans="1:13" x14ac:dyDescent="0.2">
      <c r="A49">
        <v>965</v>
      </c>
      <c r="B49" t="s">
        <v>203</v>
      </c>
      <c r="C49" t="s">
        <v>4373</v>
      </c>
      <c r="D49" t="s">
        <v>13</v>
      </c>
      <c r="E49" t="s">
        <v>4374</v>
      </c>
      <c r="F49" t="s">
        <v>206</v>
      </c>
      <c r="G49" t="s">
        <v>4375</v>
      </c>
      <c r="H49" t="s">
        <v>789</v>
      </c>
      <c r="I49" t="b">
        <v>1</v>
      </c>
      <c r="J49">
        <v>123</v>
      </c>
      <c r="K49">
        <v>966</v>
      </c>
      <c r="L49">
        <v>4</v>
      </c>
      <c r="M49">
        <f>COUNTIF(H49:$H$2581,H49)</f>
        <v>1</v>
      </c>
    </row>
    <row r="50" spans="1:13" x14ac:dyDescent="0.2">
      <c r="A50">
        <v>966</v>
      </c>
      <c r="B50" t="s">
        <v>203</v>
      </c>
      <c r="C50" t="s">
        <v>4373</v>
      </c>
      <c r="D50" t="s">
        <v>13</v>
      </c>
      <c r="E50" t="s">
        <v>4376</v>
      </c>
      <c r="F50" t="s">
        <v>206</v>
      </c>
      <c r="G50" t="s">
        <v>4377</v>
      </c>
      <c r="H50" t="s">
        <v>798</v>
      </c>
      <c r="I50" t="b">
        <v>1</v>
      </c>
      <c r="J50">
        <v>123</v>
      </c>
      <c r="K50">
        <v>967</v>
      </c>
      <c r="L50">
        <v>4</v>
      </c>
      <c r="M50">
        <f>COUNTIF(H50:$H$2581,H50)</f>
        <v>1</v>
      </c>
    </row>
    <row r="51" spans="1:13" x14ac:dyDescent="0.2">
      <c r="A51">
        <v>995</v>
      </c>
      <c r="B51" t="s">
        <v>1876</v>
      </c>
      <c r="C51" t="s">
        <v>4378</v>
      </c>
      <c r="D51" t="s">
        <v>54</v>
      </c>
      <c r="E51" t="s">
        <v>4379</v>
      </c>
      <c r="F51" t="s">
        <v>1879</v>
      </c>
      <c r="G51" t="s">
        <v>4380</v>
      </c>
      <c r="H51" t="s">
        <v>802</v>
      </c>
      <c r="I51" t="s">
        <v>24</v>
      </c>
      <c r="J51">
        <v>124</v>
      </c>
      <c r="K51">
        <v>996</v>
      </c>
      <c r="L51">
        <v>4</v>
      </c>
      <c r="M51">
        <f>COUNTIF(H51:$H$2581,H51)</f>
        <v>1</v>
      </c>
    </row>
    <row r="52" spans="1:13" x14ac:dyDescent="0.2">
      <c r="A52">
        <v>1001</v>
      </c>
      <c r="B52" t="s">
        <v>424</v>
      </c>
      <c r="C52" t="s">
        <v>4381</v>
      </c>
      <c r="D52" t="s">
        <v>13</v>
      </c>
      <c r="E52" t="s">
        <v>4382</v>
      </c>
      <c r="F52" t="s">
        <v>427</v>
      </c>
      <c r="G52" t="s">
        <v>4383</v>
      </c>
      <c r="H52" t="s">
        <v>806</v>
      </c>
      <c r="I52" t="s">
        <v>24</v>
      </c>
      <c r="J52">
        <v>125</v>
      </c>
      <c r="K52">
        <v>1002</v>
      </c>
      <c r="L52">
        <v>4</v>
      </c>
      <c r="M52">
        <f>COUNTIF(H52:$H$2581,H52)</f>
        <v>1</v>
      </c>
    </row>
    <row r="53" spans="1:13" x14ac:dyDescent="0.2">
      <c r="A53">
        <v>1010</v>
      </c>
      <c r="B53" t="s">
        <v>1268</v>
      </c>
      <c r="C53" t="s">
        <v>4384</v>
      </c>
      <c r="D53" t="s">
        <v>54</v>
      </c>
      <c r="E53" t="s">
        <v>4385</v>
      </c>
      <c r="F53" t="s">
        <v>1271</v>
      </c>
      <c r="G53" t="s">
        <v>4386</v>
      </c>
      <c r="H53" t="s">
        <v>817</v>
      </c>
      <c r="I53" t="s">
        <v>24</v>
      </c>
      <c r="J53">
        <v>126</v>
      </c>
      <c r="K53">
        <v>1011</v>
      </c>
      <c r="L53">
        <v>4</v>
      </c>
      <c r="M53">
        <f>COUNTIF(H53:$H$2581,H53)</f>
        <v>1</v>
      </c>
    </row>
    <row r="54" spans="1:13" x14ac:dyDescent="0.2">
      <c r="A54">
        <v>1030</v>
      </c>
      <c r="B54" t="s">
        <v>1215</v>
      </c>
      <c r="C54" t="s">
        <v>4387</v>
      </c>
      <c r="D54" t="s">
        <v>13</v>
      </c>
      <c r="E54" t="s">
        <v>4388</v>
      </c>
      <c r="F54" t="s">
        <v>1218</v>
      </c>
      <c r="G54" t="s">
        <v>4389</v>
      </c>
      <c r="H54" t="s">
        <v>821</v>
      </c>
      <c r="I54" t="b">
        <v>1</v>
      </c>
      <c r="J54">
        <v>129</v>
      </c>
      <c r="K54">
        <v>1031</v>
      </c>
      <c r="L54">
        <v>4</v>
      </c>
      <c r="M54">
        <f>COUNTIF(H54:$H$2581,H54)</f>
        <v>1</v>
      </c>
    </row>
    <row r="55" spans="1:13" x14ac:dyDescent="0.2">
      <c r="A55">
        <v>1042</v>
      </c>
      <c r="B55" t="s">
        <v>1456</v>
      </c>
      <c r="C55" t="s">
        <v>4390</v>
      </c>
      <c r="D55" t="s">
        <v>13</v>
      </c>
      <c r="E55" t="s">
        <v>4391</v>
      </c>
      <c r="F55" t="s">
        <v>1459</v>
      </c>
      <c r="G55" t="s">
        <v>4392</v>
      </c>
      <c r="H55" t="s">
        <v>827</v>
      </c>
      <c r="I55" t="s">
        <v>24</v>
      </c>
      <c r="J55">
        <v>130</v>
      </c>
      <c r="K55">
        <v>1043</v>
      </c>
      <c r="L55">
        <v>4</v>
      </c>
      <c r="M55">
        <f>COUNTIF(H55:$H$2581,H55)</f>
        <v>1</v>
      </c>
    </row>
    <row r="56" spans="1:13" x14ac:dyDescent="0.2">
      <c r="A56">
        <v>1058</v>
      </c>
      <c r="B56" t="s">
        <v>1884</v>
      </c>
      <c r="C56" t="s">
        <v>4393</v>
      </c>
      <c r="D56" t="s">
        <v>13</v>
      </c>
      <c r="E56" t="s">
        <v>4394</v>
      </c>
      <c r="F56" t="s">
        <v>1887</v>
      </c>
      <c r="G56" t="s">
        <v>4395</v>
      </c>
      <c r="H56" t="s">
        <v>831</v>
      </c>
      <c r="I56" t="s">
        <v>24</v>
      </c>
      <c r="J56">
        <v>131</v>
      </c>
      <c r="K56">
        <v>1059</v>
      </c>
      <c r="L56">
        <v>4</v>
      </c>
      <c r="M56">
        <f>COUNTIF(H56:$H$2581,H56)</f>
        <v>1</v>
      </c>
    </row>
    <row r="57" spans="1:13" x14ac:dyDescent="0.2">
      <c r="A57">
        <v>1076</v>
      </c>
      <c r="B57" t="s">
        <v>2230</v>
      </c>
      <c r="C57" t="s">
        <v>4396</v>
      </c>
      <c r="D57" t="s">
        <v>54</v>
      </c>
      <c r="E57" t="s">
        <v>4397</v>
      </c>
      <c r="F57" t="s">
        <v>2233</v>
      </c>
      <c r="G57" t="s">
        <v>4398</v>
      </c>
      <c r="H57" t="s">
        <v>838</v>
      </c>
      <c r="I57" t="s">
        <v>24</v>
      </c>
      <c r="J57">
        <v>132</v>
      </c>
      <c r="K57">
        <v>1077</v>
      </c>
      <c r="L57">
        <v>4</v>
      </c>
      <c r="M57">
        <f>COUNTIF(H57:$H$2581,H57)</f>
        <v>1</v>
      </c>
    </row>
    <row r="58" spans="1:13" x14ac:dyDescent="0.2">
      <c r="A58">
        <v>1092</v>
      </c>
      <c r="B58" t="s">
        <v>1075</v>
      </c>
      <c r="C58" t="s">
        <v>4399</v>
      </c>
      <c r="D58" t="s">
        <v>54</v>
      </c>
      <c r="E58" t="s">
        <v>4400</v>
      </c>
      <c r="F58" t="s">
        <v>1078</v>
      </c>
      <c r="G58" t="s">
        <v>4401</v>
      </c>
      <c r="H58" t="s">
        <v>842</v>
      </c>
      <c r="I58" t="s">
        <v>24</v>
      </c>
      <c r="J58">
        <v>133</v>
      </c>
      <c r="K58">
        <v>1093</v>
      </c>
      <c r="L58">
        <v>4</v>
      </c>
      <c r="M58">
        <f>COUNTIF(H58:$H$2581,H58)</f>
        <v>1</v>
      </c>
    </row>
    <row r="59" spans="1:13" x14ac:dyDescent="0.2">
      <c r="A59">
        <v>1106</v>
      </c>
      <c r="B59" t="s">
        <v>1103</v>
      </c>
      <c r="C59" t="s">
        <v>4402</v>
      </c>
      <c r="D59" t="s">
        <v>13</v>
      </c>
      <c r="E59" t="s">
        <v>4403</v>
      </c>
      <c r="F59" t="s">
        <v>1106</v>
      </c>
      <c r="G59" t="s">
        <v>4404</v>
      </c>
      <c r="H59" t="s">
        <v>849</v>
      </c>
      <c r="I59" t="s">
        <v>24</v>
      </c>
      <c r="J59">
        <v>134</v>
      </c>
      <c r="K59">
        <v>1107</v>
      </c>
      <c r="L59">
        <v>4</v>
      </c>
      <c r="M59">
        <f>COUNTIF(H59:$H$2581,H59)</f>
        <v>1</v>
      </c>
    </row>
    <row r="60" spans="1:13" x14ac:dyDescent="0.2">
      <c r="A60">
        <v>1107</v>
      </c>
      <c r="B60" t="s">
        <v>1103</v>
      </c>
      <c r="C60" t="s">
        <v>4405</v>
      </c>
      <c r="D60" t="s">
        <v>13</v>
      </c>
      <c r="E60" t="s">
        <v>4406</v>
      </c>
      <c r="F60" t="s">
        <v>1106</v>
      </c>
      <c r="G60" t="s">
        <v>4407</v>
      </c>
      <c r="H60" t="s">
        <v>853</v>
      </c>
      <c r="I60" t="s">
        <v>24</v>
      </c>
      <c r="J60">
        <v>134</v>
      </c>
      <c r="K60">
        <v>1108</v>
      </c>
      <c r="L60">
        <v>4</v>
      </c>
      <c r="M60">
        <f>COUNTIF(H60:$H$2581,H60)</f>
        <v>1</v>
      </c>
    </row>
    <row r="61" spans="1:13" x14ac:dyDescent="0.2">
      <c r="A61">
        <v>1131</v>
      </c>
      <c r="B61" t="s">
        <v>1186</v>
      </c>
      <c r="C61" t="s">
        <v>4408</v>
      </c>
      <c r="D61" t="s">
        <v>33</v>
      </c>
      <c r="E61" t="s">
        <v>4409</v>
      </c>
      <c r="F61" t="s">
        <v>1189</v>
      </c>
      <c r="G61" t="s">
        <v>4410</v>
      </c>
      <c r="H61" t="s">
        <v>857</v>
      </c>
      <c r="I61" t="b">
        <v>0</v>
      </c>
      <c r="J61">
        <v>137</v>
      </c>
      <c r="K61">
        <v>1132</v>
      </c>
      <c r="L61">
        <v>4</v>
      </c>
      <c r="M61">
        <f>COUNTIF(H61:$H$2581,H61)</f>
        <v>1</v>
      </c>
    </row>
    <row r="62" spans="1:13" x14ac:dyDescent="0.2">
      <c r="A62">
        <v>1145</v>
      </c>
      <c r="B62" t="s">
        <v>957</v>
      </c>
      <c r="C62" t="s">
        <v>4411</v>
      </c>
      <c r="D62" t="s">
        <v>13</v>
      </c>
      <c r="E62" t="s">
        <v>4412</v>
      </c>
      <c r="F62" t="s">
        <v>960</v>
      </c>
      <c r="G62" t="s">
        <v>4413</v>
      </c>
      <c r="H62" t="s">
        <v>863</v>
      </c>
      <c r="I62" t="s">
        <v>24</v>
      </c>
      <c r="J62">
        <v>140</v>
      </c>
      <c r="K62">
        <v>1146</v>
      </c>
      <c r="L62">
        <v>4</v>
      </c>
      <c r="M62">
        <f>COUNTIF(H62:$H$2581,H62)</f>
        <v>1</v>
      </c>
    </row>
    <row r="63" spans="1:13" x14ac:dyDescent="0.2">
      <c r="A63">
        <v>1146</v>
      </c>
      <c r="B63" t="s">
        <v>957</v>
      </c>
      <c r="C63" t="s">
        <v>4414</v>
      </c>
      <c r="D63" t="s">
        <v>13</v>
      </c>
      <c r="E63" t="s">
        <v>4415</v>
      </c>
      <c r="F63" t="s">
        <v>960</v>
      </c>
      <c r="G63" t="s">
        <v>4416</v>
      </c>
      <c r="H63" t="s">
        <v>880</v>
      </c>
      <c r="I63" t="s">
        <v>24</v>
      </c>
      <c r="J63">
        <v>140</v>
      </c>
      <c r="K63">
        <v>1147</v>
      </c>
      <c r="L63">
        <v>4</v>
      </c>
      <c r="M63">
        <f>COUNTIF(H63:$H$2581,H63)</f>
        <v>1</v>
      </c>
    </row>
    <row r="64" spans="1:13" x14ac:dyDescent="0.2">
      <c r="A64">
        <v>1160</v>
      </c>
      <c r="B64" t="s">
        <v>3573</v>
      </c>
      <c r="C64" t="s">
        <v>4417</v>
      </c>
      <c r="D64" t="s">
        <v>54</v>
      </c>
      <c r="E64" t="s">
        <v>4418</v>
      </c>
      <c r="F64" t="s">
        <v>3576</v>
      </c>
      <c r="G64" t="s">
        <v>4419</v>
      </c>
      <c r="H64" t="s">
        <v>913</v>
      </c>
      <c r="I64" t="s">
        <v>24</v>
      </c>
      <c r="J64">
        <v>142</v>
      </c>
      <c r="K64">
        <v>1161</v>
      </c>
      <c r="L64">
        <v>4</v>
      </c>
      <c r="M64">
        <f>COUNTIF(H64:$H$2581,H64)</f>
        <v>1</v>
      </c>
    </row>
    <row r="65" spans="1:13" x14ac:dyDescent="0.2">
      <c r="A65">
        <v>1169</v>
      </c>
      <c r="B65" t="s">
        <v>429</v>
      </c>
      <c r="C65" t="s">
        <v>4420</v>
      </c>
      <c r="D65" t="s">
        <v>54</v>
      </c>
      <c r="E65" t="s">
        <v>4421</v>
      </c>
      <c r="F65" t="s">
        <v>432</v>
      </c>
      <c r="G65" t="s">
        <v>4422</v>
      </c>
      <c r="H65" t="s">
        <v>917</v>
      </c>
      <c r="I65" t="b">
        <v>0</v>
      </c>
      <c r="J65">
        <v>143</v>
      </c>
      <c r="K65">
        <v>1170</v>
      </c>
      <c r="L65">
        <v>4</v>
      </c>
      <c r="M65">
        <f>COUNTIF(H65:$H$2581,H65)</f>
        <v>1</v>
      </c>
    </row>
    <row r="66" spans="1:13" x14ac:dyDescent="0.2">
      <c r="A66">
        <v>1185</v>
      </c>
      <c r="B66" t="s">
        <v>1054</v>
      </c>
      <c r="C66" t="s">
        <v>4423</v>
      </c>
      <c r="D66" t="s">
        <v>54</v>
      </c>
      <c r="E66" t="s">
        <v>4424</v>
      </c>
      <c r="F66" t="s">
        <v>1057</v>
      </c>
      <c r="G66" t="s">
        <v>4425</v>
      </c>
      <c r="H66" t="s">
        <v>923</v>
      </c>
      <c r="I66" t="s">
        <v>24</v>
      </c>
      <c r="J66">
        <v>145</v>
      </c>
      <c r="K66">
        <v>1186</v>
      </c>
      <c r="L66">
        <v>4</v>
      </c>
      <c r="M66">
        <f>COUNTIF(H66:$H$2581,H66)</f>
        <v>1</v>
      </c>
    </row>
    <row r="67" spans="1:13" x14ac:dyDescent="0.2">
      <c r="A67">
        <v>1186</v>
      </c>
      <c r="B67" t="s">
        <v>1054</v>
      </c>
      <c r="C67" t="s">
        <v>4426</v>
      </c>
      <c r="D67" t="s">
        <v>33</v>
      </c>
      <c r="E67" t="s">
        <v>4427</v>
      </c>
      <c r="F67" t="s">
        <v>1057</v>
      </c>
      <c r="G67" t="s">
        <v>4428</v>
      </c>
      <c r="H67" t="s">
        <v>927</v>
      </c>
      <c r="I67" t="s">
        <v>24</v>
      </c>
      <c r="J67">
        <v>145</v>
      </c>
      <c r="K67">
        <v>1187</v>
      </c>
      <c r="L67">
        <v>4</v>
      </c>
      <c r="M67">
        <f>COUNTIF(H67:$H$2581,H67)</f>
        <v>1</v>
      </c>
    </row>
    <row r="68" spans="1:13" x14ac:dyDescent="0.2">
      <c r="A68">
        <v>1255</v>
      </c>
      <c r="B68" t="s">
        <v>3822</v>
      </c>
      <c r="C68" t="s">
        <v>4429</v>
      </c>
      <c r="D68" t="s">
        <v>13</v>
      </c>
      <c r="E68" t="s">
        <v>4430</v>
      </c>
      <c r="F68" t="s">
        <v>3825</v>
      </c>
      <c r="G68" t="s">
        <v>4431</v>
      </c>
      <c r="H68" t="s">
        <v>933</v>
      </c>
      <c r="I68" t="s">
        <v>24</v>
      </c>
      <c r="J68">
        <v>155</v>
      </c>
      <c r="K68">
        <v>1256</v>
      </c>
      <c r="L68">
        <v>4</v>
      </c>
      <c r="M68">
        <f>COUNTIF(H68:$H$2581,H68)</f>
        <v>1</v>
      </c>
    </row>
    <row r="69" spans="1:13" x14ac:dyDescent="0.2">
      <c r="A69">
        <v>1268</v>
      </c>
      <c r="B69" t="s">
        <v>1085</v>
      </c>
      <c r="C69" t="s">
        <v>4432</v>
      </c>
      <c r="D69" t="s">
        <v>54</v>
      </c>
      <c r="E69" t="s">
        <v>4433</v>
      </c>
      <c r="F69" t="s">
        <v>1088</v>
      </c>
      <c r="G69" t="s">
        <v>4434</v>
      </c>
      <c r="H69" t="s">
        <v>937</v>
      </c>
      <c r="I69" t="s">
        <v>24</v>
      </c>
      <c r="J69">
        <v>156</v>
      </c>
      <c r="K69">
        <v>1269</v>
      </c>
      <c r="L69">
        <v>4</v>
      </c>
      <c r="M69">
        <f>COUNTIF(H69:$H$2581,H69)</f>
        <v>1</v>
      </c>
    </row>
    <row r="70" spans="1:13" x14ac:dyDescent="0.2">
      <c r="A70">
        <v>1285</v>
      </c>
      <c r="B70" t="s">
        <v>1221</v>
      </c>
      <c r="C70" t="s">
        <v>4435</v>
      </c>
      <c r="D70" t="s">
        <v>13</v>
      </c>
      <c r="E70" t="s">
        <v>4436</v>
      </c>
      <c r="F70" t="s">
        <v>1224</v>
      </c>
      <c r="G70" t="s">
        <v>4437</v>
      </c>
      <c r="H70" t="s">
        <v>949</v>
      </c>
      <c r="I70" t="b">
        <v>1</v>
      </c>
      <c r="J70">
        <v>158</v>
      </c>
      <c r="K70">
        <v>1286</v>
      </c>
      <c r="L70">
        <v>4</v>
      </c>
      <c r="M70">
        <f>COUNTIF(H70:$H$2581,H70)</f>
        <v>1</v>
      </c>
    </row>
    <row r="71" spans="1:13" x14ac:dyDescent="0.2">
      <c r="A71">
        <v>1292</v>
      </c>
      <c r="B71" t="s">
        <v>1679</v>
      </c>
      <c r="C71" t="s">
        <v>4438</v>
      </c>
      <c r="D71" t="s">
        <v>13</v>
      </c>
      <c r="E71" t="s">
        <v>4439</v>
      </c>
      <c r="F71" t="s">
        <v>1682</v>
      </c>
      <c r="G71" t="s">
        <v>4440</v>
      </c>
      <c r="H71" t="s">
        <v>953</v>
      </c>
      <c r="I71" t="b">
        <v>1</v>
      </c>
      <c r="J71">
        <v>159</v>
      </c>
      <c r="K71">
        <v>1293</v>
      </c>
      <c r="L71">
        <v>4</v>
      </c>
      <c r="M71">
        <f>COUNTIF(H71:$H$2581,H71)</f>
        <v>1</v>
      </c>
    </row>
    <row r="72" spans="1:13" x14ac:dyDescent="0.2">
      <c r="A72">
        <v>1305</v>
      </c>
      <c r="B72" t="s">
        <v>277</v>
      </c>
      <c r="C72" t="s">
        <v>4441</v>
      </c>
      <c r="D72" t="s">
        <v>54</v>
      </c>
      <c r="E72" t="s">
        <v>4442</v>
      </c>
      <c r="F72" t="s">
        <v>280</v>
      </c>
      <c r="G72" t="s">
        <v>4443</v>
      </c>
      <c r="H72" t="s">
        <v>962</v>
      </c>
      <c r="I72" t="s">
        <v>24</v>
      </c>
      <c r="J72">
        <v>160</v>
      </c>
      <c r="K72">
        <v>1306</v>
      </c>
      <c r="L72">
        <v>4</v>
      </c>
      <c r="M72">
        <f>COUNTIF(H72:$H$2581,H72)</f>
        <v>1</v>
      </c>
    </row>
    <row r="73" spans="1:13" x14ac:dyDescent="0.2">
      <c r="A73">
        <v>1313</v>
      </c>
      <c r="B73" t="s">
        <v>1915</v>
      </c>
      <c r="C73" t="s">
        <v>4444</v>
      </c>
      <c r="D73" t="s">
        <v>13</v>
      </c>
      <c r="E73" t="s">
        <v>4445</v>
      </c>
      <c r="F73" t="s">
        <v>1918</v>
      </c>
      <c r="G73" t="s">
        <v>4446</v>
      </c>
      <c r="H73" t="s">
        <v>968</v>
      </c>
      <c r="I73" t="s">
        <v>24</v>
      </c>
      <c r="J73">
        <v>161</v>
      </c>
      <c r="K73">
        <v>1314</v>
      </c>
      <c r="L73">
        <v>4</v>
      </c>
      <c r="M73">
        <f>COUNTIF(H73:$H$2581,H73)</f>
        <v>1</v>
      </c>
    </row>
    <row r="74" spans="1:13" x14ac:dyDescent="0.2">
      <c r="A74">
        <v>7</v>
      </c>
      <c r="B74" t="s">
        <v>449</v>
      </c>
      <c r="C74" t="s">
        <v>6022</v>
      </c>
      <c r="D74" t="s">
        <v>54</v>
      </c>
      <c r="E74" t="s">
        <v>6480</v>
      </c>
      <c r="F74" t="s">
        <v>452</v>
      </c>
      <c r="G74" t="s">
        <v>6481</v>
      </c>
      <c r="H74" t="s">
        <v>974</v>
      </c>
      <c r="I74" t="s">
        <v>24</v>
      </c>
      <c r="J74">
        <v>2</v>
      </c>
      <c r="K74">
        <v>8</v>
      </c>
      <c r="L74">
        <v>7</v>
      </c>
      <c r="M74">
        <f>COUNTIF(H74:$H$2581,H74)</f>
        <v>1</v>
      </c>
    </row>
    <row r="75" spans="1:13" x14ac:dyDescent="0.2">
      <c r="A75">
        <v>1330</v>
      </c>
      <c r="B75" t="s">
        <v>2235</v>
      </c>
      <c r="C75" t="s">
        <v>4447</v>
      </c>
      <c r="D75" t="s">
        <v>54</v>
      </c>
      <c r="E75" t="s">
        <v>4448</v>
      </c>
      <c r="F75" t="s">
        <v>2238</v>
      </c>
      <c r="G75" t="s">
        <v>4449</v>
      </c>
      <c r="H75" t="s">
        <v>980</v>
      </c>
      <c r="I75" t="b">
        <v>0</v>
      </c>
      <c r="J75">
        <v>163</v>
      </c>
      <c r="K75">
        <v>1331</v>
      </c>
      <c r="L75">
        <v>4</v>
      </c>
      <c r="M75">
        <f>COUNTIF(H75:$H$2581,H75)</f>
        <v>1</v>
      </c>
    </row>
    <row r="76" spans="1:13" x14ac:dyDescent="0.2">
      <c r="A76">
        <v>46</v>
      </c>
      <c r="B76" t="s">
        <v>2199</v>
      </c>
      <c r="C76" t="s">
        <v>6483</v>
      </c>
      <c r="D76" t="s">
        <v>54</v>
      </c>
      <c r="E76" t="s">
        <v>6484</v>
      </c>
      <c r="F76" t="s">
        <v>2202</v>
      </c>
      <c r="G76" t="s">
        <v>6485</v>
      </c>
      <c r="H76" t="s">
        <v>989</v>
      </c>
      <c r="I76" t="s">
        <v>24</v>
      </c>
      <c r="J76">
        <v>7</v>
      </c>
      <c r="K76">
        <v>47</v>
      </c>
      <c r="L76">
        <v>7</v>
      </c>
      <c r="M76">
        <f>COUNTIF(H76:$H$2581,H76)</f>
        <v>1</v>
      </c>
    </row>
    <row r="77" spans="1:13" x14ac:dyDescent="0.2">
      <c r="A77">
        <v>1331</v>
      </c>
      <c r="B77" t="s">
        <v>2235</v>
      </c>
      <c r="C77" t="s">
        <v>4450</v>
      </c>
      <c r="D77" t="s">
        <v>13</v>
      </c>
      <c r="E77" t="s">
        <v>4451</v>
      </c>
      <c r="F77" t="s">
        <v>2238</v>
      </c>
      <c r="G77" t="s">
        <v>4452</v>
      </c>
      <c r="H77" t="s">
        <v>995</v>
      </c>
      <c r="I77" t="b">
        <v>0</v>
      </c>
      <c r="J77">
        <v>163</v>
      </c>
      <c r="K77">
        <v>1332</v>
      </c>
      <c r="L77">
        <v>4</v>
      </c>
      <c r="M77">
        <f>COUNTIF(H77:$H$2581,H77)</f>
        <v>1</v>
      </c>
    </row>
    <row r="78" spans="1:13" x14ac:dyDescent="0.2">
      <c r="A78">
        <v>249</v>
      </c>
      <c r="B78" t="s">
        <v>1849</v>
      </c>
      <c r="C78" t="s">
        <v>6486</v>
      </c>
      <c r="D78" t="s">
        <v>33</v>
      </c>
      <c r="E78" t="s">
        <v>6487</v>
      </c>
      <c r="F78" t="s">
        <v>1852</v>
      </c>
      <c r="G78" t="s">
        <v>6488</v>
      </c>
      <c r="H78" t="s">
        <v>1014</v>
      </c>
      <c r="I78" t="b">
        <v>0</v>
      </c>
      <c r="J78">
        <v>41</v>
      </c>
      <c r="K78">
        <v>250</v>
      </c>
      <c r="L78">
        <v>7</v>
      </c>
      <c r="M78">
        <f>COUNTIF(H78:$H$2581,H78)</f>
        <v>1</v>
      </c>
    </row>
    <row r="79" spans="1:13" x14ac:dyDescent="0.2">
      <c r="A79">
        <v>1332</v>
      </c>
      <c r="B79" t="s">
        <v>2235</v>
      </c>
      <c r="C79" t="s">
        <v>4453</v>
      </c>
      <c r="D79" t="s">
        <v>33</v>
      </c>
      <c r="E79" t="s">
        <v>4454</v>
      </c>
      <c r="F79" t="s">
        <v>2238</v>
      </c>
      <c r="G79" t="s">
        <v>4455</v>
      </c>
      <c r="H79" t="s">
        <v>1018</v>
      </c>
      <c r="I79" t="b">
        <v>0</v>
      </c>
      <c r="J79">
        <v>163</v>
      </c>
      <c r="K79">
        <v>1333</v>
      </c>
      <c r="L79">
        <v>4</v>
      </c>
      <c r="M79">
        <f>COUNTIF(H79:$H$2581,H79)</f>
        <v>1</v>
      </c>
    </row>
    <row r="80" spans="1:13" x14ac:dyDescent="0.2">
      <c r="A80">
        <v>250</v>
      </c>
      <c r="B80" t="s">
        <v>1849</v>
      </c>
      <c r="C80" t="s">
        <v>6489</v>
      </c>
      <c r="D80" t="s">
        <v>13</v>
      </c>
      <c r="E80" t="s">
        <v>6490</v>
      </c>
      <c r="F80" t="s">
        <v>1852</v>
      </c>
      <c r="G80" t="s">
        <v>6491</v>
      </c>
      <c r="H80" t="s">
        <v>1034</v>
      </c>
      <c r="I80" t="b">
        <v>0</v>
      </c>
      <c r="J80">
        <v>41</v>
      </c>
      <c r="K80">
        <v>251</v>
      </c>
      <c r="L80">
        <v>7</v>
      </c>
      <c r="M80">
        <f>COUNTIF(H80:$H$2581,H80)</f>
        <v>1</v>
      </c>
    </row>
    <row r="81" spans="1:13" x14ac:dyDescent="0.2">
      <c r="A81">
        <v>1399</v>
      </c>
      <c r="B81" t="s">
        <v>170</v>
      </c>
      <c r="C81" t="s">
        <v>4456</v>
      </c>
      <c r="D81" t="s">
        <v>13</v>
      </c>
      <c r="E81" t="s">
        <v>4457</v>
      </c>
      <c r="F81" t="s">
        <v>173</v>
      </c>
      <c r="G81" t="s">
        <v>4458</v>
      </c>
      <c r="H81" t="s">
        <v>1038</v>
      </c>
      <c r="I81" t="b">
        <v>1</v>
      </c>
      <c r="J81">
        <v>168</v>
      </c>
      <c r="K81">
        <v>1400</v>
      </c>
      <c r="L81">
        <v>4</v>
      </c>
      <c r="M81">
        <f>COUNTIF(H81:$H$2581,H81)</f>
        <v>1</v>
      </c>
    </row>
    <row r="82" spans="1:13" x14ac:dyDescent="0.2">
      <c r="A82">
        <v>264</v>
      </c>
      <c r="B82" t="s">
        <v>1503</v>
      </c>
      <c r="C82" t="s">
        <v>6492</v>
      </c>
      <c r="D82" t="s">
        <v>33</v>
      </c>
      <c r="E82" t="s">
        <v>6493</v>
      </c>
      <c r="F82" t="s">
        <v>1506</v>
      </c>
      <c r="G82" t="s">
        <v>6494</v>
      </c>
      <c r="H82" t="s">
        <v>1044</v>
      </c>
      <c r="I82" t="b">
        <v>0</v>
      </c>
      <c r="J82">
        <v>42</v>
      </c>
      <c r="K82">
        <v>265</v>
      </c>
      <c r="L82">
        <v>7</v>
      </c>
      <c r="M82">
        <f>COUNTIF(H82:$H$2581,H82)</f>
        <v>1</v>
      </c>
    </row>
    <row r="83" spans="1:13" x14ac:dyDescent="0.2">
      <c r="A83">
        <v>1411</v>
      </c>
      <c r="B83" t="s">
        <v>1397</v>
      </c>
      <c r="C83" t="s">
        <v>4459</v>
      </c>
      <c r="D83" t="s">
        <v>13</v>
      </c>
      <c r="E83" t="s">
        <v>4460</v>
      </c>
      <c r="F83" t="s">
        <v>1400</v>
      </c>
      <c r="G83" t="s">
        <v>4461</v>
      </c>
      <c r="H83" t="s">
        <v>1080</v>
      </c>
      <c r="I83" t="b">
        <v>1</v>
      </c>
      <c r="J83">
        <v>169</v>
      </c>
      <c r="K83">
        <v>1412</v>
      </c>
      <c r="L83">
        <v>4</v>
      </c>
      <c r="M83">
        <f>COUNTIF(H83:$H$2581,H83)</f>
        <v>1</v>
      </c>
    </row>
    <row r="84" spans="1:13" x14ac:dyDescent="0.2">
      <c r="A84">
        <v>347</v>
      </c>
      <c r="B84" t="s">
        <v>455</v>
      </c>
      <c r="C84" t="s">
        <v>6495</v>
      </c>
      <c r="D84" t="s">
        <v>13</v>
      </c>
      <c r="E84" t="s">
        <v>6496</v>
      </c>
      <c r="F84" t="s">
        <v>458</v>
      </c>
      <c r="G84" t="s">
        <v>6497</v>
      </c>
      <c r="H84" t="s">
        <v>1084</v>
      </c>
      <c r="I84" t="b">
        <v>0</v>
      </c>
      <c r="J84">
        <v>49</v>
      </c>
      <c r="K84">
        <v>348</v>
      </c>
      <c r="L84">
        <v>7</v>
      </c>
      <c r="M84">
        <f>COUNTIF(H84:$H$2581,H84)</f>
        <v>1</v>
      </c>
    </row>
    <row r="85" spans="1:13" x14ac:dyDescent="0.2">
      <c r="A85">
        <v>1424</v>
      </c>
      <c r="B85" t="s">
        <v>4462</v>
      </c>
      <c r="C85" t="s">
        <v>4463</v>
      </c>
      <c r="D85" t="s">
        <v>13</v>
      </c>
      <c r="E85" t="s">
        <v>4464</v>
      </c>
      <c r="F85" t="s">
        <v>4465</v>
      </c>
      <c r="G85" t="s">
        <v>4466</v>
      </c>
      <c r="H85" t="s">
        <v>1090</v>
      </c>
      <c r="I85" t="s">
        <v>24</v>
      </c>
      <c r="J85">
        <v>171</v>
      </c>
      <c r="K85">
        <v>1425</v>
      </c>
      <c r="L85">
        <v>4</v>
      </c>
      <c r="M85">
        <f>COUNTIF(H85:$H$2581,H85)</f>
        <v>1</v>
      </c>
    </row>
    <row r="86" spans="1:13" x14ac:dyDescent="0.2">
      <c r="A86">
        <v>363</v>
      </c>
      <c r="B86" t="s">
        <v>975</v>
      </c>
      <c r="C86" t="s">
        <v>6498</v>
      </c>
      <c r="D86" t="s">
        <v>13</v>
      </c>
      <c r="E86" t="s">
        <v>6499</v>
      </c>
      <c r="F86" s="1" t="s">
        <v>978</v>
      </c>
      <c r="G86" t="s">
        <v>6500</v>
      </c>
      <c r="H86" t="s">
        <v>1096</v>
      </c>
      <c r="I86" t="b">
        <v>1</v>
      </c>
      <c r="J86">
        <v>50</v>
      </c>
      <c r="K86">
        <v>364</v>
      </c>
      <c r="L86">
        <v>7</v>
      </c>
      <c r="M86">
        <f>COUNTIF(H86:$H$2581,H86)</f>
        <v>1</v>
      </c>
    </row>
    <row r="87" spans="1:13" x14ac:dyDescent="0.2">
      <c r="A87">
        <v>1429</v>
      </c>
      <c r="B87" t="s">
        <v>3029</v>
      </c>
      <c r="C87" t="s">
        <v>4467</v>
      </c>
      <c r="D87" t="s">
        <v>13</v>
      </c>
      <c r="E87" t="s">
        <v>4468</v>
      </c>
      <c r="F87" t="s">
        <v>3032</v>
      </c>
      <c r="G87" t="s">
        <v>4469</v>
      </c>
      <c r="H87" t="s">
        <v>1102</v>
      </c>
      <c r="I87" t="s">
        <v>24</v>
      </c>
      <c r="J87">
        <v>172</v>
      </c>
      <c r="K87">
        <v>1430</v>
      </c>
      <c r="L87">
        <v>4</v>
      </c>
      <c r="M87">
        <f>COUNTIF(H87:$H$2581,H87)</f>
        <v>1</v>
      </c>
    </row>
    <row r="88" spans="1:13" x14ac:dyDescent="0.2">
      <c r="A88">
        <v>374</v>
      </c>
      <c r="B88" t="s">
        <v>2099</v>
      </c>
      <c r="C88" t="s">
        <v>6501</v>
      </c>
      <c r="D88" t="s">
        <v>54</v>
      </c>
      <c r="E88" t="s">
        <v>6502</v>
      </c>
      <c r="F88" t="s">
        <v>2102</v>
      </c>
      <c r="G88" t="s">
        <v>6503</v>
      </c>
      <c r="H88" t="s">
        <v>1111</v>
      </c>
      <c r="I88" t="b">
        <v>0</v>
      </c>
      <c r="J88">
        <v>51</v>
      </c>
      <c r="K88">
        <v>375</v>
      </c>
      <c r="L88">
        <v>7</v>
      </c>
      <c r="M88">
        <f>COUNTIF(H88:$H$2581,H88)</f>
        <v>1</v>
      </c>
    </row>
    <row r="89" spans="1:13" x14ac:dyDescent="0.2">
      <c r="A89">
        <v>1446</v>
      </c>
      <c r="B89" t="s">
        <v>2882</v>
      </c>
      <c r="C89" t="s">
        <v>4470</v>
      </c>
      <c r="D89" t="s">
        <v>13</v>
      </c>
      <c r="E89" t="s">
        <v>4471</v>
      </c>
      <c r="F89" t="s">
        <v>2885</v>
      </c>
      <c r="G89" t="s">
        <v>4472</v>
      </c>
      <c r="H89" t="s">
        <v>1125</v>
      </c>
      <c r="I89" t="b">
        <v>1</v>
      </c>
      <c r="J89">
        <v>175</v>
      </c>
      <c r="K89">
        <v>1447</v>
      </c>
      <c r="L89">
        <v>4</v>
      </c>
      <c r="M89">
        <f>COUNTIF(H89:$H$2581,H89)</f>
        <v>1</v>
      </c>
    </row>
    <row r="90" spans="1:13" x14ac:dyDescent="0.2">
      <c r="A90">
        <v>416</v>
      </c>
      <c r="B90" t="s">
        <v>1857</v>
      </c>
      <c r="C90" t="s">
        <v>6504</v>
      </c>
      <c r="D90" t="s">
        <v>13</v>
      </c>
      <c r="E90" t="s">
        <v>6505</v>
      </c>
      <c r="F90" t="s">
        <v>1860</v>
      </c>
      <c r="G90" t="s">
        <v>6506</v>
      </c>
      <c r="H90" t="s">
        <v>1139</v>
      </c>
      <c r="I90" t="s">
        <v>24</v>
      </c>
      <c r="J90">
        <v>60</v>
      </c>
      <c r="K90">
        <v>417</v>
      </c>
      <c r="L90">
        <v>7</v>
      </c>
      <c r="M90">
        <f>COUNTIF(H90:$H$2581,H90)</f>
        <v>1</v>
      </c>
    </row>
    <row r="91" spans="1:13" x14ac:dyDescent="0.2">
      <c r="A91">
        <v>1466</v>
      </c>
      <c r="B91" t="s">
        <v>736</v>
      </c>
      <c r="C91" t="s">
        <v>4473</v>
      </c>
      <c r="D91" t="s">
        <v>13</v>
      </c>
      <c r="E91" t="s">
        <v>4474</v>
      </c>
      <c r="F91" t="s">
        <v>739</v>
      </c>
      <c r="G91" t="s">
        <v>4475</v>
      </c>
      <c r="H91" t="s">
        <v>1143</v>
      </c>
      <c r="I91" t="s">
        <v>24</v>
      </c>
      <c r="J91">
        <v>178</v>
      </c>
      <c r="K91">
        <v>1467</v>
      </c>
      <c r="L91">
        <v>4</v>
      </c>
      <c r="M91">
        <f>COUNTIF(H91:$H$2581,H91)</f>
        <v>1</v>
      </c>
    </row>
    <row r="92" spans="1:13" x14ac:dyDescent="0.2">
      <c r="A92">
        <v>425</v>
      </c>
      <c r="B92" t="s">
        <v>1634</v>
      </c>
      <c r="C92" t="s">
        <v>6507</v>
      </c>
      <c r="D92" t="s">
        <v>13</v>
      </c>
      <c r="E92" t="s">
        <v>6508</v>
      </c>
      <c r="F92" t="s">
        <v>1637</v>
      </c>
      <c r="G92" t="s">
        <v>6509</v>
      </c>
      <c r="H92" t="s">
        <v>1152</v>
      </c>
      <c r="I92" t="s">
        <v>24</v>
      </c>
      <c r="J92">
        <v>62</v>
      </c>
      <c r="K92">
        <v>426</v>
      </c>
      <c r="L92">
        <v>7</v>
      </c>
      <c r="M92">
        <f>COUNTIF(H92:$H$2581,H92)</f>
        <v>1</v>
      </c>
    </row>
    <row r="93" spans="1:13" x14ac:dyDescent="0.2">
      <c r="A93">
        <v>1473</v>
      </c>
      <c r="B93" t="s">
        <v>3587</v>
      </c>
      <c r="C93" t="s">
        <v>4476</v>
      </c>
      <c r="D93" t="s">
        <v>13</v>
      </c>
      <c r="E93" t="s">
        <v>4477</v>
      </c>
      <c r="F93" t="s">
        <v>3590</v>
      </c>
      <c r="G93" t="s">
        <v>4478</v>
      </c>
      <c r="H93" t="s">
        <v>1156</v>
      </c>
      <c r="I93" t="s">
        <v>24</v>
      </c>
      <c r="J93">
        <v>179</v>
      </c>
      <c r="K93">
        <v>1474</v>
      </c>
      <c r="L93">
        <v>4</v>
      </c>
      <c r="M93">
        <f>COUNTIF(H93:$H$2581,H93)</f>
        <v>1</v>
      </c>
    </row>
    <row r="94" spans="1:13" x14ac:dyDescent="0.2">
      <c r="A94">
        <v>449</v>
      </c>
      <c r="B94" t="s">
        <v>778</v>
      </c>
      <c r="C94" t="s">
        <v>6510</v>
      </c>
      <c r="D94" t="s">
        <v>13</v>
      </c>
      <c r="E94" t="s">
        <v>6511</v>
      </c>
      <c r="F94" t="s">
        <v>781</v>
      </c>
      <c r="G94" t="s">
        <v>6512</v>
      </c>
      <c r="H94" t="s">
        <v>1165</v>
      </c>
      <c r="I94" t="b">
        <v>0</v>
      </c>
      <c r="J94">
        <v>64</v>
      </c>
      <c r="K94">
        <v>450</v>
      </c>
      <c r="L94">
        <v>7</v>
      </c>
      <c r="M94">
        <f>COUNTIF(H94:$H$2581,H94)</f>
        <v>1</v>
      </c>
    </row>
    <row r="95" spans="1:13" x14ac:dyDescent="0.2">
      <c r="A95">
        <v>53</v>
      </c>
      <c r="B95" t="s">
        <v>1357</v>
      </c>
      <c r="C95" t="s">
        <v>3481</v>
      </c>
      <c r="D95" t="s">
        <v>13</v>
      </c>
      <c r="E95" t="s">
        <v>3482</v>
      </c>
      <c r="F95" t="s">
        <v>1360</v>
      </c>
      <c r="G95" t="s">
        <v>3483</v>
      </c>
      <c r="H95" t="s">
        <v>1169</v>
      </c>
      <c r="I95" t="b">
        <v>0</v>
      </c>
      <c r="J95">
        <v>8</v>
      </c>
      <c r="K95">
        <v>54</v>
      </c>
      <c r="L95">
        <v>39</v>
      </c>
      <c r="M95">
        <f>COUNTIF(H95:$H$2581,H95)</f>
        <v>1</v>
      </c>
    </row>
    <row r="96" spans="1:13" x14ac:dyDescent="0.2">
      <c r="A96">
        <v>1479</v>
      </c>
      <c r="B96" t="s">
        <v>1773</v>
      </c>
      <c r="C96" t="s">
        <v>4479</v>
      </c>
      <c r="D96" t="s">
        <v>54</v>
      </c>
      <c r="E96" t="s">
        <v>4480</v>
      </c>
      <c r="F96" t="s">
        <v>1776</v>
      </c>
      <c r="G96" t="s">
        <v>4481</v>
      </c>
      <c r="H96" t="s">
        <v>1175</v>
      </c>
      <c r="I96" t="b">
        <v>0</v>
      </c>
      <c r="J96">
        <v>180</v>
      </c>
      <c r="K96">
        <v>1480</v>
      </c>
      <c r="L96">
        <v>4</v>
      </c>
      <c r="M96">
        <f>COUNTIF(H96:$H$2581,H96)</f>
        <v>1</v>
      </c>
    </row>
    <row r="97" spans="1:13" x14ac:dyDescent="0.2">
      <c r="A97">
        <v>474</v>
      </c>
      <c r="B97" t="s">
        <v>928</v>
      </c>
      <c r="C97" t="s">
        <v>6513</v>
      </c>
      <c r="D97" t="s">
        <v>13</v>
      </c>
      <c r="E97" t="s">
        <v>6514</v>
      </c>
      <c r="F97" t="s">
        <v>931</v>
      </c>
      <c r="G97" t="s">
        <v>6515</v>
      </c>
      <c r="H97" t="s">
        <v>1179</v>
      </c>
      <c r="I97" t="b">
        <v>0</v>
      </c>
      <c r="J97">
        <v>67</v>
      </c>
      <c r="K97">
        <v>475</v>
      </c>
      <c r="L97">
        <v>7</v>
      </c>
      <c r="M97">
        <f>COUNTIF(H97:$H$2581,H97)</f>
        <v>1</v>
      </c>
    </row>
    <row r="98" spans="1:13" x14ac:dyDescent="0.2">
      <c r="A98">
        <v>75</v>
      </c>
      <c r="B98" t="s">
        <v>1424</v>
      </c>
      <c r="C98" t="s">
        <v>3485</v>
      </c>
      <c r="D98" t="s">
        <v>54</v>
      </c>
      <c r="E98" t="s">
        <v>3486</v>
      </c>
      <c r="F98" t="s">
        <v>1427</v>
      </c>
      <c r="G98" t="s">
        <v>3487</v>
      </c>
      <c r="H98" t="s">
        <v>1185</v>
      </c>
      <c r="I98" t="b">
        <v>1</v>
      </c>
      <c r="J98">
        <v>12</v>
      </c>
      <c r="K98">
        <v>76</v>
      </c>
      <c r="L98">
        <v>39</v>
      </c>
      <c r="M98">
        <f>COUNTIF(H98:$H$2581,H98)</f>
        <v>1</v>
      </c>
    </row>
    <row r="99" spans="1:13" x14ac:dyDescent="0.2">
      <c r="A99">
        <v>1535</v>
      </c>
      <c r="B99" t="s">
        <v>466</v>
      </c>
      <c r="C99" t="s">
        <v>4482</v>
      </c>
      <c r="D99" t="s">
        <v>54</v>
      </c>
      <c r="E99" t="s">
        <v>4483</v>
      </c>
      <c r="F99" t="s">
        <v>469</v>
      </c>
      <c r="G99" t="s">
        <v>4484</v>
      </c>
      <c r="H99" t="s">
        <v>1191</v>
      </c>
      <c r="I99" t="s">
        <v>24</v>
      </c>
      <c r="J99">
        <v>187</v>
      </c>
      <c r="K99">
        <v>1536</v>
      </c>
      <c r="L99">
        <v>4</v>
      </c>
      <c r="M99">
        <f>COUNTIF(H99:$H$2581,H99)</f>
        <v>1</v>
      </c>
    </row>
    <row r="100" spans="1:13" x14ac:dyDescent="0.2">
      <c r="A100">
        <v>490</v>
      </c>
      <c r="B100" t="s">
        <v>182</v>
      </c>
      <c r="C100" t="s">
        <v>6516</v>
      </c>
      <c r="D100" t="s">
        <v>13</v>
      </c>
      <c r="E100" t="s">
        <v>6517</v>
      </c>
      <c r="F100" t="s">
        <v>185</v>
      </c>
      <c r="G100" t="s">
        <v>6518</v>
      </c>
      <c r="H100" t="s">
        <v>1197</v>
      </c>
      <c r="I100" t="b">
        <v>1</v>
      </c>
      <c r="J100">
        <v>69</v>
      </c>
      <c r="K100">
        <v>491</v>
      </c>
      <c r="L100">
        <v>7</v>
      </c>
      <c r="M100">
        <f>COUNTIF(H100:$H$2581,H100)</f>
        <v>1</v>
      </c>
    </row>
    <row r="101" spans="1:13" x14ac:dyDescent="0.2">
      <c r="A101">
        <v>92</v>
      </c>
      <c r="B101" t="s">
        <v>311</v>
      </c>
      <c r="C101" t="s">
        <v>3488</v>
      </c>
      <c r="D101" t="s">
        <v>54</v>
      </c>
      <c r="E101" t="s">
        <v>3489</v>
      </c>
      <c r="F101" s="1" t="s">
        <v>314</v>
      </c>
      <c r="G101" t="s">
        <v>3490</v>
      </c>
      <c r="H101" t="s">
        <v>1214</v>
      </c>
      <c r="I101" t="s">
        <v>24</v>
      </c>
      <c r="J101">
        <v>14</v>
      </c>
      <c r="K101">
        <v>93</v>
      </c>
      <c r="L101">
        <v>39</v>
      </c>
      <c r="M101">
        <f>COUNTIF(H101:$H$2581,H101)</f>
        <v>1</v>
      </c>
    </row>
    <row r="102" spans="1:13" x14ac:dyDescent="0.2">
      <c r="A102">
        <v>1547</v>
      </c>
      <c r="B102" t="s">
        <v>282</v>
      </c>
      <c r="C102" t="s">
        <v>4485</v>
      </c>
      <c r="D102" t="s">
        <v>13</v>
      </c>
      <c r="E102" t="s">
        <v>4486</v>
      </c>
      <c r="F102" t="s">
        <v>285</v>
      </c>
      <c r="G102" t="s">
        <v>4487</v>
      </c>
      <c r="H102" t="s">
        <v>1220</v>
      </c>
      <c r="I102" t="b">
        <v>0</v>
      </c>
      <c r="J102">
        <v>188</v>
      </c>
      <c r="K102">
        <v>1548</v>
      </c>
      <c r="L102">
        <v>4</v>
      </c>
      <c r="M102">
        <f>COUNTIF(H102:$H$2581,H102)</f>
        <v>1</v>
      </c>
    </row>
    <row r="103" spans="1:13" x14ac:dyDescent="0.2">
      <c r="A103">
        <v>31</v>
      </c>
      <c r="B103" t="s">
        <v>2448</v>
      </c>
      <c r="C103" t="s">
        <v>5678</v>
      </c>
      <c r="D103" t="s">
        <v>54</v>
      </c>
      <c r="E103" t="s">
        <v>5679</v>
      </c>
      <c r="F103" t="s">
        <v>2451</v>
      </c>
      <c r="G103" t="s">
        <v>5680</v>
      </c>
      <c r="H103" t="s">
        <v>1229</v>
      </c>
      <c r="I103" t="s">
        <v>24</v>
      </c>
      <c r="J103">
        <v>6</v>
      </c>
      <c r="K103">
        <v>32</v>
      </c>
      <c r="L103">
        <v>25</v>
      </c>
      <c r="M103">
        <f>COUNTIF(H103:$H$2581,H103)</f>
        <v>1</v>
      </c>
    </row>
    <row r="104" spans="1:13" x14ac:dyDescent="0.2">
      <c r="A104">
        <v>527</v>
      </c>
      <c r="B104" t="s">
        <v>881</v>
      </c>
      <c r="C104" t="s">
        <v>6519</v>
      </c>
      <c r="D104" t="s">
        <v>13</v>
      </c>
      <c r="E104" t="s">
        <v>6520</v>
      </c>
      <c r="F104" t="s">
        <v>884</v>
      </c>
      <c r="G104" t="s">
        <v>6521</v>
      </c>
      <c r="H104" t="s">
        <v>1233</v>
      </c>
      <c r="I104" t="s">
        <v>24</v>
      </c>
      <c r="J104">
        <v>77</v>
      </c>
      <c r="K104">
        <v>528</v>
      </c>
      <c r="L104">
        <v>7</v>
      </c>
      <c r="M104">
        <f>COUNTIF(H104:$H$2581,H104)</f>
        <v>1</v>
      </c>
    </row>
    <row r="105" spans="1:13" x14ac:dyDescent="0.2">
      <c r="A105">
        <v>111</v>
      </c>
      <c r="B105" t="s">
        <v>42</v>
      </c>
      <c r="C105" t="s">
        <v>3491</v>
      </c>
      <c r="D105" t="s">
        <v>13</v>
      </c>
      <c r="E105" t="s">
        <v>3492</v>
      </c>
      <c r="F105" t="s">
        <v>45</v>
      </c>
      <c r="G105" t="s">
        <v>3493</v>
      </c>
      <c r="H105" t="s">
        <v>1243</v>
      </c>
      <c r="I105" t="b">
        <v>1</v>
      </c>
      <c r="J105">
        <v>19</v>
      </c>
      <c r="K105">
        <v>112</v>
      </c>
      <c r="L105">
        <v>39</v>
      </c>
      <c r="M105">
        <f>COUNTIF(H105:$H$2581,H105)</f>
        <v>1</v>
      </c>
    </row>
    <row r="106" spans="1:13" x14ac:dyDescent="0.2">
      <c r="A106">
        <v>1552</v>
      </c>
      <c r="B106" t="s">
        <v>4488</v>
      </c>
      <c r="C106" t="s">
        <v>4489</v>
      </c>
      <c r="D106" t="s">
        <v>54</v>
      </c>
      <c r="E106" t="s">
        <v>4490</v>
      </c>
      <c r="F106" t="s">
        <v>4491</v>
      </c>
      <c r="G106" t="s">
        <v>4492</v>
      </c>
      <c r="H106" t="s">
        <v>1343</v>
      </c>
      <c r="I106" t="b">
        <v>0</v>
      </c>
      <c r="J106">
        <v>189</v>
      </c>
      <c r="K106">
        <v>1553</v>
      </c>
      <c r="L106">
        <v>4</v>
      </c>
      <c r="M106">
        <f>COUNTIF(H106:$H$2581,H106)</f>
        <v>1</v>
      </c>
    </row>
    <row r="107" spans="1:13" x14ac:dyDescent="0.2">
      <c r="A107">
        <v>45</v>
      </c>
      <c r="B107" t="s">
        <v>2199</v>
      </c>
      <c r="C107" t="s">
        <v>5682</v>
      </c>
      <c r="D107" t="s">
        <v>13</v>
      </c>
      <c r="E107" t="s">
        <v>5683</v>
      </c>
      <c r="F107" t="s">
        <v>2202</v>
      </c>
      <c r="G107" t="s">
        <v>5684</v>
      </c>
      <c r="H107" t="s">
        <v>1347</v>
      </c>
      <c r="I107" t="s">
        <v>24</v>
      </c>
      <c r="J107">
        <v>7</v>
      </c>
      <c r="K107">
        <v>46</v>
      </c>
      <c r="L107">
        <v>25</v>
      </c>
      <c r="M107">
        <f>COUNTIF(H107:$H$2581,H107)</f>
        <v>1</v>
      </c>
    </row>
    <row r="108" spans="1:13" x14ac:dyDescent="0.2">
      <c r="A108">
        <v>588</v>
      </c>
      <c r="B108" t="s">
        <v>6388</v>
      </c>
      <c r="C108" t="s">
        <v>6522</v>
      </c>
      <c r="D108" t="s">
        <v>33</v>
      </c>
      <c r="E108" t="s">
        <v>6523</v>
      </c>
      <c r="F108" t="s">
        <v>6391</v>
      </c>
      <c r="G108" t="s">
        <v>6524</v>
      </c>
      <c r="H108" t="s">
        <v>1362</v>
      </c>
      <c r="I108" t="b">
        <v>0</v>
      </c>
      <c r="J108">
        <v>88</v>
      </c>
      <c r="K108">
        <v>589</v>
      </c>
      <c r="L108">
        <v>7</v>
      </c>
      <c r="M108">
        <f>COUNTIF(H108:$H$2581,H108)</f>
        <v>1</v>
      </c>
    </row>
    <row r="109" spans="1:13" x14ac:dyDescent="0.2">
      <c r="A109">
        <v>156</v>
      </c>
      <c r="B109" t="s">
        <v>68</v>
      </c>
      <c r="C109" t="s">
        <v>3494</v>
      </c>
      <c r="D109" t="s">
        <v>54</v>
      </c>
      <c r="E109" t="s">
        <v>3495</v>
      </c>
      <c r="F109" t="s">
        <v>71</v>
      </c>
      <c r="G109" t="s">
        <v>3496</v>
      </c>
      <c r="H109" t="s">
        <v>1402</v>
      </c>
      <c r="I109" t="b">
        <v>1</v>
      </c>
      <c r="J109">
        <v>28</v>
      </c>
      <c r="K109">
        <v>157</v>
      </c>
      <c r="L109">
        <v>39</v>
      </c>
      <c r="M109">
        <f>COUNTIF(H109:$H$2581,H109)</f>
        <v>1</v>
      </c>
    </row>
    <row r="110" spans="1:13" x14ac:dyDescent="0.2">
      <c r="A110">
        <v>1575</v>
      </c>
      <c r="B110" t="s">
        <v>744</v>
      </c>
      <c r="C110" t="s">
        <v>4493</v>
      </c>
      <c r="D110" t="s">
        <v>13</v>
      </c>
      <c r="E110" t="s">
        <v>4494</v>
      </c>
      <c r="F110" t="s">
        <v>747</v>
      </c>
      <c r="G110" t="s">
        <v>4495</v>
      </c>
      <c r="H110" t="s">
        <v>1419</v>
      </c>
      <c r="I110" t="b">
        <v>0</v>
      </c>
      <c r="J110">
        <v>193</v>
      </c>
      <c r="K110">
        <v>1576</v>
      </c>
      <c r="L110">
        <v>4</v>
      </c>
      <c r="M110">
        <f>COUNTIF(H110:$H$2581,H110)</f>
        <v>1</v>
      </c>
    </row>
    <row r="111" spans="1:13" x14ac:dyDescent="0.2">
      <c r="A111">
        <v>185</v>
      </c>
      <c r="B111" t="s">
        <v>557</v>
      </c>
      <c r="C111" t="s">
        <v>5685</v>
      </c>
      <c r="D111" t="s">
        <v>13</v>
      </c>
      <c r="E111" t="s">
        <v>5686</v>
      </c>
      <c r="F111" t="s">
        <v>560</v>
      </c>
      <c r="G111" t="s">
        <v>5687</v>
      </c>
      <c r="H111" t="s">
        <v>1423</v>
      </c>
      <c r="I111" t="s">
        <v>24</v>
      </c>
      <c r="J111">
        <v>34</v>
      </c>
      <c r="K111">
        <v>186</v>
      </c>
      <c r="L111">
        <v>25</v>
      </c>
      <c r="M111">
        <f>COUNTIF(H111:$H$2581,H111)</f>
        <v>1</v>
      </c>
    </row>
    <row r="112" spans="1:13" x14ac:dyDescent="0.2">
      <c r="A112">
        <v>606</v>
      </c>
      <c r="B112" t="s">
        <v>1097</v>
      </c>
      <c r="C112" t="s">
        <v>6525</v>
      </c>
      <c r="D112" t="s">
        <v>13</v>
      </c>
      <c r="E112" t="s">
        <v>6526</v>
      </c>
      <c r="F112" t="s">
        <v>1100</v>
      </c>
      <c r="G112" t="s">
        <v>6527</v>
      </c>
      <c r="H112" t="s">
        <v>1429</v>
      </c>
      <c r="I112" t="b">
        <v>0</v>
      </c>
      <c r="J112">
        <v>90</v>
      </c>
      <c r="K112">
        <v>607</v>
      </c>
      <c r="L112">
        <v>7</v>
      </c>
      <c r="M112">
        <f>COUNTIF(H112:$H$2581,H112)</f>
        <v>1</v>
      </c>
    </row>
    <row r="113" spans="1:13" x14ac:dyDescent="0.2">
      <c r="A113">
        <v>160</v>
      </c>
      <c r="B113" t="s">
        <v>2035</v>
      </c>
      <c r="C113" t="s">
        <v>3497</v>
      </c>
      <c r="D113" t="s">
        <v>54</v>
      </c>
      <c r="E113" t="s">
        <v>3498</v>
      </c>
      <c r="F113" t="s">
        <v>2038</v>
      </c>
      <c r="G113" t="s">
        <v>3499</v>
      </c>
      <c r="H113" t="s">
        <v>1433</v>
      </c>
      <c r="I113" t="s">
        <v>24</v>
      </c>
      <c r="J113">
        <v>29</v>
      </c>
      <c r="K113">
        <v>161</v>
      </c>
      <c r="L113">
        <v>39</v>
      </c>
      <c r="M113">
        <f>COUNTIF(H113:$H$2581,H113)</f>
        <v>1</v>
      </c>
    </row>
    <row r="114" spans="1:13" x14ac:dyDescent="0.2">
      <c r="A114">
        <v>1625</v>
      </c>
      <c r="B114" t="s">
        <v>720</v>
      </c>
      <c r="C114" t="s">
        <v>4496</v>
      </c>
      <c r="D114" t="s">
        <v>54</v>
      </c>
      <c r="E114" t="s">
        <v>4497</v>
      </c>
      <c r="F114" t="s">
        <v>723</v>
      </c>
      <c r="G114" t="s">
        <v>4498</v>
      </c>
      <c r="H114" t="s">
        <v>1437</v>
      </c>
      <c r="I114" t="b">
        <v>1</v>
      </c>
      <c r="J114">
        <v>197</v>
      </c>
      <c r="K114">
        <v>1626</v>
      </c>
      <c r="L114">
        <v>4</v>
      </c>
      <c r="M114">
        <f>COUNTIF(H114:$H$2581,H114)</f>
        <v>1</v>
      </c>
    </row>
    <row r="115" spans="1:13" x14ac:dyDescent="0.2">
      <c r="A115">
        <v>232</v>
      </c>
      <c r="B115" t="s">
        <v>1120</v>
      </c>
      <c r="C115" t="s">
        <v>5688</v>
      </c>
      <c r="D115" t="s">
        <v>54</v>
      </c>
      <c r="E115" t="s">
        <v>5689</v>
      </c>
      <c r="F115" s="1" t="s">
        <v>1123</v>
      </c>
      <c r="G115" t="s">
        <v>5690</v>
      </c>
      <c r="H115" t="s">
        <v>1441</v>
      </c>
      <c r="I115" t="b">
        <v>0</v>
      </c>
      <c r="J115">
        <v>40</v>
      </c>
      <c r="K115">
        <v>233</v>
      </c>
      <c r="L115">
        <v>25</v>
      </c>
      <c r="M115">
        <f>COUNTIF(H115:$H$2581,H115)</f>
        <v>1</v>
      </c>
    </row>
    <row r="116" spans="1:13" x14ac:dyDescent="0.2">
      <c r="A116">
        <v>661</v>
      </c>
      <c r="B116" t="s">
        <v>2346</v>
      </c>
      <c r="C116" t="s">
        <v>6528</v>
      </c>
      <c r="D116" t="s">
        <v>13</v>
      </c>
      <c r="E116" t="s">
        <v>6529</v>
      </c>
      <c r="F116" t="s">
        <v>2349</v>
      </c>
      <c r="G116" t="s">
        <v>6530</v>
      </c>
      <c r="H116" t="s">
        <v>1445</v>
      </c>
      <c r="I116" t="s">
        <v>24</v>
      </c>
      <c r="J116">
        <v>97</v>
      </c>
      <c r="K116">
        <v>662</v>
      </c>
      <c r="L116">
        <v>7</v>
      </c>
      <c r="M116">
        <f>COUNTIF(H116:$H$2581,H116)</f>
        <v>1</v>
      </c>
    </row>
    <row r="117" spans="1:13" x14ac:dyDescent="0.2">
      <c r="A117">
        <v>11</v>
      </c>
      <c r="B117" t="s">
        <v>1840</v>
      </c>
      <c r="C117" t="s">
        <v>1841</v>
      </c>
      <c r="D117" t="s">
        <v>13</v>
      </c>
      <c r="E117" t="s">
        <v>1842</v>
      </c>
      <c r="F117" t="s">
        <v>1843</v>
      </c>
      <c r="G117" t="s">
        <v>1844</v>
      </c>
      <c r="H117" t="s">
        <v>1449</v>
      </c>
      <c r="I117" t="s">
        <v>24</v>
      </c>
      <c r="J117">
        <v>4</v>
      </c>
      <c r="K117">
        <v>12</v>
      </c>
      <c r="L117">
        <v>10</v>
      </c>
      <c r="M117">
        <f>COUNTIF(H117:$H$2581,H117)</f>
        <v>1</v>
      </c>
    </row>
    <row r="118" spans="1:13" x14ac:dyDescent="0.2">
      <c r="A118">
        <v>164</v>
      </c>
      <c r="B118" t="s">
        <v>335</v>
      </c>
      <c r="C118" t="s">
        <v>3500</v>
      </c>
      <c r="D118" t="s">
        <v>54</v>
      </c>
      <c r="E118" t="s">
        <v>3501</v>
      </c>
      <c r="F118" t="s">
        <v>338</v>
      </c>
      <c r="G118" t="s">
        <v>3502</v>
      </c>
      <c r="H118" t="s">
        <v>1455</v>
      </c>
      <c r="I118" t="s">
        <v>24</v>
      </c>
      <c r="J118">
        <v>30</v>
      </c>
      <c r="K118">
        <v>165</v>
      </c>
      <c r="L118">
        <v>39</v>
      </c>
      <c r="M118">
        <f>COUNTIF(H118:$H$2581,H118)</f>
        <v>1</v>
      </c>
    </row>
    <row r="119" spans="1:13" x14ac:dyDescent="0.2">
      <c r="A119">
        <v>1626</v>
      </c>
      <c r="B119" t="s">
        <v>720</v>
      </c>
      <c r="C119" t="s">
        <v>4499</v>
      </c>
      <c r="D119" t="s">
        <v>33</v>
      </c>
      <c r="E119" t="s">
        <v>4500</v>
      </c>
      <c r="F119" t="s">
        <v>723</v>
      </c>
      <c r="G119" t="s">
        <v>4501</v>
      </c>
      <c r="H119" t="s">
        <v>1477</v>
      </c>
      <c r="I119" t="b">
        <v>1</v>
      </c>
      <c r="J119">
        <v>197</v>
      </c>
      <c r="K119">
        <v>1627</v>
      </c>
      <c r="L119">
        <v>4</v>
      </c>
      <c r="M119">
        <f>COUNTIF(H119:$H$2581,H119)</f>
        <v>1</v>
      </c>
    </row>
    <row r="120" spans="1:13" x14ac:dyDescent="0.2">
      <c r="A120">
        <v>262</v>
      </c>
      <c r="B120" t="s">
        <v>1503</v>
      </c>
      <c r="C120" t="s">
        <v>5691</v>
      </c>
      <c r="D120" t="s">
        <v>33</v>
      </c>
      <c r="E120" t="s">
        <v>5692</v>
      </c>
      <c r="F120" t="s">
        <v>1506</v>
      </c>
      <c r="G120" t="s">
        <v>5693</v>
      </c>
      <c r="H120" t="s">
        <v>1481</v>
      </c>
      <c r="I120" t="b">
        <v>0</v>
      </c>
      <c r="J120">
        <v>42</v>
      </c>
      <c r="K120">
        <v>263</v>
      </c>
      <c r="L120">
        <v>25</v>
      </c>
      <c r="M120">
        <f>COUNTIF(H120:$H$2581,H120)</f>
        <v>1</v>
      </c>
    </row>
    <row r="121" spans="1:13" x14ac:dyDescent="0.2">
      <c r="A121">
        <v>284</v>
      </c>
      <c r="B121" t="s">
        <v>2105</v>
      </c>
      <c r="C121" t="s">
        <v>5850</v>
      </c>
      <c r="D121" t="s">
        <v>13</v>
      </c>
      <c r="E121" t="s">
        <v>5851</v>
      </c>
      <c r="F121" t="s">
        <v>2108</v>
      </c>
      <c r="G121" t="s">
        <v>5852</v>
      </c>
      <c r="H121" t="s">
        <v>1490</v>
      </c>
      <c r="I121" t="s">
        <v>24</v>
      </c>
      <c r="J121">
        <v>44</v>
      </c>
      <c r="K121">
        <v>285</v>
      </c>
      <c r="L121">
        <v>124</v>
      </c>
      <c r="M121">
        <f>COUNTIF(H121:$H$2581,H121)</f>
        <v>1</v>
      </c>
    </row>
    <row r="122" spans="1:13" x14ac:dyDescent="0.2">
      <c r="A122">
        <v>759</v>
      </c>
      <c r="B122" t="s">
        <v>1868</v>
      </c>
      <c r="C122" t="s">
        <v>6531</v>
      </c>
      <c r="D122" t="s">
        <v>13</v>
      </c>
      <c r="E122" t="s">
        <v>6532</v>
      </c>
      <c r="F122" t="s">
        <v>1871</v>
      </c>
      <c r="G122" t="s">
        <v>6533</v>
      </c>
      <c r="H122" t="s">
        <v>1496</v>
      </c>
      <c r="I122" t="s">
        <v>24</v>
      </c>
      <c r="J122">
        <v>107</v>
      </c>
      <c r="K122">
        <v>760</v>
      </c>
      <c r="L122">
        <v>7</v>
      </c>
      <c r="M122">
        <f>COUNTIF(H122:$H$2581,H122)</f>
        <v>1</v>
      </c>
    </row>
    <row r="123" spans="1:13" x14ac:dyDescent="0.2">
      <c r="A123">
        <v>219</v>
      </c>
      <c r="B123" t="s">
        <v>1120</v>
      </c>
      <c r="C123" t="s">
        <v>1846</v>
      </c>
      <c r="D123" t="s">
        <v>13</v>
      </c>
      <c r="E123" t="s">
        <v>1847</v>
      </c>
      <c r="F123" s="1" t="s">
        <v>1123</v>
      </c>
      <c r="G123" t="s">
        <v>1848</v>
      </c>
      <c r="H123" t="s">
        <v>1502</v>
      </c>
      <c r="I123" t="b">
        <v>0</v>
      </c>
      <c r="J123">
        <v>40</v>
      </c>
      <c r="K123">
        <v>220</v>
      </c>
      <c r="L123">
        <v>10</v>
      </c>
      <c r="M123">
        <f>COUNTIF(H123:$H$2581,H123)</f>
        <v>1</v>
      </c>
    </row>
    <row r="124" spans="1:13" x14ac:dyDescent="0.2">
      <c r="A124">
        <v>181</v>
      </c>
      <c r="B124" t="s">
        <v>557</v>
      </c>
      <c r="C124" t="s">
        <v>3503</v>
      </c>
      <c r="D124" t="s">
        <v>13</v>
      </c>
      <c r="E124" t="s">
        <v>3504</v>
      </c>
      <c r="F124" t="s">
        <v>560</v>
      </c>
      <c r="G124" t="s">
        <v>3505</v>
      </c>
      <c r="H124" t="s">
        <v>1508</v>
      </c>
      <c r="I124" t="s">
        <v>24</v>
      </c>
      <c r="J124">
        <v>34</v>
      </c>
      <c r="K124">
        <v>182</v>
      </c>
      <c r="L124">
        <v>39</v>
      </c>
      <c r="M124">
        <f>COUNTIF(H124:$H$2581,H124)</f>
        <v>1</v>
      </c>
    </row>
    <row r="125" spans="1:13" x14ac:dyDescent="0.2">
      <c r="A125">
        <v>1661</v>
      </c>
      <c r="B125" t="s">
        <v>287</v>
      </c>
      <c r="C125" t="s">
        <v>4502</v>
      </c>
      <c r="D125" t="s">
        <v>13</v>
      </c>
      <c r="E125" t="s">
        <v>4503</v>
      </c>
      <c r="F125" t="s">
        <v>290</v>
      </c>
      <c r="G125" t="s">
        <v>4504</v>
      </c>
      <c r="H125" t="s">
        <v>1522</v>
      </c>
      <c r="I125" t="b">
        <v>0</v>
      </c>
      <c r="J125">
        <v>200</v>
      </c>
      <c r="K125">
        <v>1662</v>
      </c>
      <c r="L125">
        <v>4</v>
      </c>
      <c r="M125">
        <f>COUNTIF(H125:$H$2581,H125)</f>
        <v>1</v>
      </c>
    </row>
    <row r="126" spans="1:13" x14ac:dyDescent="0.2">
      <c r="A126">
        <v>272</v>
      </c>
      <c r="B126" t="s">
        <v>1126</v>
      </c>
      <c r="C126" t="s">
        <v>5694</v>
      </c>
      <c r="D126" t="s">
        <v>33</v>
      </c>
      <c r="E126" t="s">
        <v>5695</v>
      </c>
      <c r="F126" t="s">
        <v>1129</v>
      </c>
      <c r="G126" t="s">
        <v>5696</v>
      </c>
      <c r="H126" t="s">
        <v>1528</v>
      </c>
      <c r="I126" t="b">
        <v>0</v>
      </c>
      <c r="J126">
        <v>43</v>
      </c>
      <c r="K126">
        <v>273</v>
      </c>
      <c r="L126">
        <v>25</v>
      </c>
      <c r="M126">
        <f>COUNTIF(H126:$H$2581,H126)</f>
        <v>1</v>
      </c>
    </row>
    <row r="127" spans="1:13" x14ac:dyDescent="0.2">
      <c r="A127">
        <v>373</v>
      </c>
      <c r="B127" t="s">
        <v>2099</v>
      </c>
      <c r="C127" t="s">
        <v>5854</v>
      </c>
      <c r="D127" t="s">
        <v>54</v>
      </c>
      <c r="E127" t="s">
        <v>5855</v>
      </c>
      <c r="F127" t="s">
        <v>2102</v>
      </c>
      <c r="G127" t="s">
        <v>5856</v>
      </c>
      <c r="H127" t="s">
        <v>1532</v>
      </c>
      <c r="I127" t="b">
        <v>0</v>
      </c>
      <c r="J127">
        <v>51</v>
      </c>
      <c r="K127">
        <v>374</v>
      </c>
      <c r="L127">
        <v>124</v>
      </c>
      <c r="M127">
        <f>COUNTIF(H127:$H$2581,H127)</f>
        <v>1</v>
      </c>
    </row>
    <row r="128" spans="1:13" x14ac:dyDescent="0.2">
      <c r="A128">
        <v>997</v>
      </c>
      <c r="B128" t="s">
        <v>1876</v>
      </c>
      <c r="C128" t="s">
        <v>6534</v>
      </c>
      <c r="D128" t="s">
        <v>13</v>
      </c>
      <c r="E128" t="s">
        <v>6535</v>
      </c>
      <c r="F128" t="s">
        <v>1879</v>
      </c>
      <c r="G128" t="s">
        <v>6536</v>
      </c>
      <c r="H128" t="s">
        <v>1536</v>
      </c>
      <c r="I128" t="s">
        <v>24</v>
      </c>
      <c r="J128">
        <v>124</v>
      </c>
      <c r="K128">
        <v>998</v>
      </c>
      <c r="L128">
        <v>7</v>
      </c>
      <c r="M128">
        <f>COUNTIF(H128:$H$2581,H128)</f>
        <v>1</v>
      </c>
    </row>
    <row r="129" spans="1:13" x14ac:dyDescent="0.2">
      <c r="A129">
        <v>33</v>
      </c>
      <c r="B129" t="s">
        <v>2448</v>
      </c>
      <c r="C129" t="s">
        <v>7726</v>
      </c>
      <c r="D129" t="s">
        <v>13</v>
      </c>
      <c r="E129" t="s">
        <v>7727</v>
      </c>
      <c r="F129" t="s">
        <v>2451</v>
      </c>
      <c r="G129" t="s">
        <v>7728</v>
      </c>
      <c r="H129" t="s">
        <v>1542</v>
      </c>
      <c r="I129" t="s">
        <v>24</v>
      </c>
      <c r="J129">
        <v>6</v>
      </c>
      <c r="K129">
        <v>34</v>
      </c>
      <c r="L129">
        <v>27</v>
      </c>
      <c r="M129">
        <f>COUNTIF(H129:$H$2581,H129)</f>
        <v>1</v>
      </c>
    </row>
    <row r="130" spans="1:13" x14ac:dyDescent="0.2">
      <c r="A130">
        <v>245</v>
      </c>
      <c r="B130" t="s">
        <v>1849</v>
      </c>
      <c r="C130" t="s">
        <v>1850</v>
      </c>
      <c r="D130" t="s">
        <v>13</v>
      </c>
      <c r="E130" t="s">
        <v>1851</v>
      </c>
      <c r="F130" t="s">
        <v>1852</v>
      </c>
      <c r="G130" t="s">
        <v>1853</v>
      </c>
      <c r="H130" t="s">
        <v>1546</v>
      </c>
      <c r="I130" t="b">
        <v>0</v>
      </c>
      <c r="J130">
        <v>41</v>
      </c>
      <c r="K130">
        <v>246</v>
      </c>
      <c r="L130">
        <v>10</v>
      </c>
      <c r="M130">
        <f>COUNTIF(H130:$H$2581,H130)</f>
        <v>1</v>
      </c>
    </row>
    <row r="131" spans="1:13" x14ac:dyDescent="0.2">
      <c r="A131">
        <v>199</v>
      </c>
      <c r="B131" t="s">
        <v>346</v>
      </c>
      <c r="C131" t="s">
        <v>3506</v>
      </c>
      <c r="D131" t="s">
        <v>54</v>
      </c>
      <c r="E131" t="s">
        <v>3507</v>
      </c>
      <c r="F131" t="s">
        <v>349</v>
      </c>
      <c r="G131" t="s">
        <v>3508</v>
      </c>
      <c r="H131" t="s">
        <v>1567</v>
      </c>
      <c r="I131" t="b">
        <v>0</v>
      </c>
      <c r="J131">
        <v>36</v>
      </c>
      <c r="K131">
        <v>200</v>
      </c>
      <c r="L131">
        <v>39</v>
      </c>
      <c r="M131">
        <f>COUNTIF(H131:$H$2581,H131)</f>
        <v>1</v>
      </c>
    </row>
    <row r="132" spans="1:13" x14ac:dyDescent="0.2">
      <c r="A132">
        <v>1691</v>
      </c>
      <c r="B132" t="s">
        <v>129</v>
      </c>
      <c r="C132" t="s">
        <v>4505</v>
      </c>
      <c r="D132" t="s">
        <v>54</v>
      </c>
      <c r="E132" t="s">
        <v>4506</v>
      </c>
      <c r="F132" t="s">
        <v>132</v>
      </c>
      <c r="G132" t="s">
        <v>4507</v>
      </c>
      <c r="H132" t="s">
        <v>1573</v>
      </c>
      <c r="I132" t="b">
        <v>1</v>
      </c>
      <c r="J132">
        <v>204</v>
      </c>
      <c r="K132">
        <v>1692</v>
      </c>
      <c r="L132">
        <v>4</v>
      </c>
      <c r="M132">
        <f>COUNTIF(H132:$H$2581,H132)</f>
        <v>1</v>
      </c>
    </row>
    <row r="133" spans="1:13" x14ac:dyDescent="0.2">
      <c r="A133">
        <v>283</v>
      </c>
      <c r="B133" t="s">
        <v>2105</v>
      </c>
      <c r="C133" t="s">
        <v>5697</v>
      </c>
      <c r="D133" t="s">
        <v>54</v>
      </c>
      <c r="E133" t="s">
        <v>5698</v>
      </c>
      <c r="F133" t="s">
        <v>2108</v>
      </c>
      <c r="G133" t="s">
        <v>5699</v>
      </c>
      <c r="H133" t="s">
        <v>1577</v>
      </c>
      <c r="I133" t="s">
        <v>24</v>
      </c>
      <c r="J133">
        <v>44</v>
      </c>
      <c r="K133">
        <v>284</v>
      </c>
      <c r="L133">
        <v>25</v>
      </c>
      <c r="M133">
        <f>COUNTIF(H133:$H$2581,H133)</f>
        <v>1</v>
      </c>
    </row>
    <row r="134" spans="1:13" x14ac:dyDescent="0.2">
      <c r="A134">
        <v>396</v>
      </c>
      <c r="B134" t="s">
        <v>1568</v>
      </c>
      <c r="C134" t="s">
        <v>5857</v>
      </c>
      <c r="D134" t="s">
        <v>13</v>
      </c>
      <c r="E134" t="s">
        <v>5858</v>
      </c>
      <c r="F134" t="s">
        <v>1571</v>
      </c>
      <c r="G134" t="s">
        <v>5859</v>
      </c>
      <c r="H134" t="s">
        <v>1581</v>
      </c>
      <c r="I134" t="s">
        <v>24</v>
      </c>
      <c r="J134">
        <v>55</v>
      </c>
      <c r="K134">
        <v>397</v>
      </c>
      <c r="L134">
        <v>124</v>
      </c>
      <c r="M134">
        <f>COUNTIF(H134:$H$2581,H134)</f>
        <v>1</v>
      </c>
    </row>
    <row r="135" spans="1:13" x14ac:dyDescent="0.2">
      <c r="A135">
        <v>998</v>
      </c>
      <c r="B135" t="s">
        <v>1876</v>
      </c>
      <c r="C135" t="s">
        <v>6537</v>
      </c>
      <c r="D135" t="s">
        <v>13</v>
      </c>
      <c r="E135" t="s">
        <v>6538</v>
      </c>
      <c r="F135" t="s">
        <v>1879</v>
      </c>
      <c r="G135" t="s">
        <v>6539</v>
      </c>
      <c r="H135" t="s">
        <v>1585</v>
      </c>
      <c r="I135" t="s">
        <v>24</v>
      </c>
      <c r="J135">
        <v>124</v>
      </c>
      <c r="K135">
        <v>999</v>
      </c>
      <c r="L135">
        <v>7</v>
      </c>
      <c r="M135">
        <f>COUNTIF(H135:$H$2581,H135)</f>
        <v>1</v>
      </c>
    </row>
    <row r="136" spans="1:13" x14ac:dyDescent="0.2">
      <c r="A136">
        <v>47</v>
      </c>
      <c r="B136" t="s">
        <v>2199</v>
      </c>
      <c r="C136" t="s">
        <v>7730</v>
      </c>
      <c r="D136" t="s">
        <v>54</v>
      </c>
      <c r="E136" t="s">
        <v>7731</v>
      </c>
      <c r="F136" t="s">
        <v>2202</v>
      </c>
      <c r="G136" t="s">
        <v>7732</v>
      </c>
      <c r="H136" t="s">
        <v>1600</v>
      </c>
      <c r="I136" t="s">
        <v>24</v>
      </c>
      <c r="J136">
        <v>7</v>
      </c>
      <c r="K136">
        <v>48</v>
      </c>
      <c r="L136">
        <v>27</v>
      </c>
      <c r="M136">
        <f>COUNTIF(H136:$H$2581,H136)</f>
        <v>1</v>
      </c>
    </row>
    <row r="137" spans="1:13" x14ac:dyDescent="0.2">
      <c r="A137">
        <v>387</v>
      </c>
      <c r="B137" t="s">
        <v>1568</v>
      </c>
      <c r="C137" t="s">
        <v>1854</v>
      </c>
      <c r="D137" t="s">
        <v>13</v>
      </c>
      <c r="E137" t="s">
        <v>1855</v>
      </c>
      <c r="F137" t="s">
        <v>1571</v>
      </c>
      <c r="G137" t="s">
        <v>1856</v>
      </c>
      <c r="H137" t="s">
        <v>1604</v>
      </c>
      <c r="I137" t="s">
        <v>24</v>
      </c>
      <c r="J137">
        <v>55</v>
      </c>
      <c r="K137">
        <v>388</v>
      </c>
      <c r="L137">
        <v>10</v>
      </c>
      <c r="M137">
        <f>COUNTIF(H137:$H$2581,H137)</f>
        <v>1</v>
      </c>
    </row>
    <row r="138" spans="1:13" x14ac:dyDescent="0.2">
      <c r="A138">
        <v>208</v>
      </c>
      <c r="B138" t="s">
        <v>88</v>
      </c>
      <c r="C138" t="s">
        <v>3509</v>
      </c>
      <c r="D138" t="s">
        <v>54</v>
      </c>
      <c r="E138" t="s">
        <v>3510</v>
      </c>
      <c r="F138" t="s">
        <v>91</v>
      </c>
      <c r="G138" t="s">
        <v>3511</v>
      </c>
      <c r="H138" t="s">
        <v>1608</v>
      </c>
      <c r="I138" t="s">
        <v>24</v>
      </c>
      <c r="J138">
        <v>37</v>
      </c>
      <c r="K138">
        <v>209</v>
      </c>
      <c r="L138">
        <v>39</v>
      </c>
      <c r="M138">
        <f>COUNTIF(H138:$H$2581,H138)</f>
        <v>1</v>
      </c>
    </row>
    <row r="139" spans="1:13" x14ac:dyDescent="0.2">
      <c r="A139">
        <v>1716</v>
      </c>
      <c r="B139" t="s">
        <v>725</v>
      </c>
      <c r="C139" t="s">
        <v>4508</v>
      </c>
      <c r="D139" t="s">
        <v>54</v>
      </c>
      <c r="E139" t="s">
        <v>4509</v>
      </c>
      <c r="F139" t="s">
        <v>728</v>
      </c>
      <c r="G139" t="s">
        <v>4510</v>
      </c>
      <c r="H139" t="s">
        <v>1639</v>
      </c>
      <c r="I139" t="b">
        <v>1</v>
      </c>
      <c r="J139">
        <v>205</v>
      </c>
      <c r="K139">
        <v>1717</v>
      </c>
      <c r="L139">
        <v>4</v>
      </c>
      <c r="M139">
        <f>COUNTIF(H139:$H$2581,H139)</f>
        <v>1</v>
      </c>
    </row>
    <row r="140" spans="1:13" x14ac:dyDescent="0.2">
      <c r="A140">
        <v>379</v>
      </c>
      <c r="B140" t="s">
        <v>1659</v>
      </c>
      <c r="C140" t="s">
        <v>5700</v>
      </c>
      <c r="D140" t="s">
        <v>33</v>
      </c>
      <c r="E140" t="s">
        <v>5701</v>
      </c>
      <c r="F140" t="s">
        <v>1662</v>
      </c>
      <c r="G140" t="s">
        <v>5702</v>
      </c>
      <c r="H140" t="s">
        <v>1643</v>
      </c>
      <c r="I140" t="b">
        <v>0</v>
      </c>
      <c r="J140">
        <v>52</v>
      </c>
      <c r="K140">
        <v>380</v>
      </c>
      <c r="L140">
        <v>25</v>
      </c>
      <c r="M140">
        <f>COUNTIF(H140:$H$2581,H140)</f>
        <v>1</v>
      </c>
    </row>
    <row r="141" spans="1:13" x14ac:dyDescent="0.2">
      <c r="A141">
        <v>401</v>
      </c>
      <c r="B141" t="s">
        <v>990</v>
      </c>
      <c r="C141" t="s">
        <v>5860</v>
      </c>
      <c r="D141" t="s">
        <v>54</v>
      </c>
      <c r="E141" t="s">
        <v>5861</v>
      </c>
      <c r="F141" t="s">
        <v>993</v>
      </c>
      <c r="G141" t="s">
        <v>5862</v>
      </c>
      <c r="H141" t="s">
        <v>1650</v>
      </c>
      <c r="I141" t="b">
        <v>0</v>
      </c>
      <c r="J141">
        <v>56</v>
      </c>
      <c r="K141">
        <v>402</v>
      </c>
      <c r="L141">
        <v>124</v>
      </c>
      <c r="M141">
        <f>COUNTIF(H141:$H$2581,H141)</f>
        <v>1</v>
      </c>
    </row>
    <row r="142" spans="1:13" x14ac:dyDescent="0.2">
      <c r="A142">
        <v>1004</v>
      </c>
      <c r="B142" t="s">
        <v>424</v>
      </c>
      <c r="C142" t="s">
        <v>6540</v>
      </c>
      <c r="D142" t="s">
        <v>13</v>
      </c>
      <c r="E142" t="s">
        <v>6541</v>
      </c>
      <c r="F142" t="s">
        <v>427</v>
      </c>
      <c r="G142" t="s">
        <v>6542</v>
      </c>
      <c r="H142" t="s">
        <v>1654</v>
      </c>
      <c r="I142" t="s">
        <v>24</v>
      </c>
      <c r="J142">
        <v>125</v>
      </c>
      <c r="K142">
        <v>1005</v>
      </c>
      <c r="L142">
        <v>7</v>
      </c>
      <c r="M142">
        <f>COUNTIF(H142:$H$2581,H142)</f>
        <v>1</v>
      </c>
    </row>
    <row r="143" spans="1:13" x14ac:dyDescent="0.2">
      <c r="A143">
        <v>72</v>
      </c>
      <c r="B143" t="s">
        <v>25</v>
      </c>
      <c r="C143" t="s">
        <v>7733</v>
      </c>
      <c r="D143" t="s">
        <v>54</v>
      </c>
      <c r="E143" t="s">
        <v>7734</v>
      </c>
      <c r="F143" t="s">
        <v>28</v>
      </c>
      <c r="G143" t="s">
        <v>7735</v>
      </c>
      <c r="H143" t="s">
        <v>1658</v>
      </c>
      <c r="I143" t="b">
        <v>1</v>
      </c>
      <c r="J143">
        <v>11</v>
      </c>
      <c r="K143">
        <v>73</v>
      </c>
      <c r="L143">
        <v>27</v>
      </c>
      <c r="M143">
        <f>COUNTIF(H143:$H$2581,H143)</f>
        <v>1</v>
      </c>
    </row>
    <row r="144" spans="1:13" x14ac:dyDescent="0.2">
      <c r="A144">
        <v>414</v>
      </c>
      <c r="B144" t="s">
        <v>1857</v>
      </c>
      <c r="C144" t="s">
        <v>1858</v>
      </c>
      <c r="D144" t="s">
        <v>13</v>
      </c>
      <c r="E144" t="s">
        <v>1859</v>
      </c>
      <c r="F144" t="s">
        <v>1860</v>
      </c>
      <c r="G144" t="s">
        <v>1861</v>
      </c>
      <c r="H144" t="s">
        <v>1664</v>
      </c>
      <c r="I144" t="s">
        <v>24</v>
      </c>
      <c r="J144">
        <v>60</v>
      </c>
      <c r="K144">
        <v>415</v>
      </c>
      <c r="L144">
        <v>10</v>
      </c>
      <c r="M144">
        <f>COUNTIF(H144:$H$2581,H144)</f>
        <v>1</v>
      </c>
    </row>
    <row r="145" spans="1:13" x14ac:dyDescent="0.2">
      <c r="A145">
        <v>223</v>
      </c>
      <c r="B145" t="s">
        <v>1120</v>
      </c>
      <c r="C145" t="s">
        <v>3512</v>
      </c>
      <c r="D145" t="s">
        <v>54</v>
      </c>
      <c r="E145" t="s">
        <v>3513</v>
      </c>
      <c r="F145" s="1" t="s">
        <v>1123</v>
      </c>
      <c r="G145" t="s">
        <v>3514</v>
      </c>
      <c r="H145" t="s">
        <v>1670</v>
      </c>
      <c r="I145" t="b">
        <v>0</v>
      </c>
      <c r="J145">
        <v>40</v>
      </c>
      <c r="K145">
        <v>224</v>
      </c>
      <c r="L145">
        <v>39</v>
      </c>
      <c r="M145">
        <f>COUNTIF(H145:$H$2581,H145)</f>
        <v>1</v>
      </c>
    </row>
    <row r="146" spans="1:13" x14ac:dyDescent="0.2">
      <c r="A146">
        <v>1717</v>
      </c>
      <c r="B146" t="s">
        <v>725</v>
      </c>
      <c r="C146" t="s">
        <v>4511</v>
      </c>
      <c r="D146" t="s">
        <v>13</v>
      </c>
      <c r="E146" t="s">
        <v>4512</v>
      </c>
      <c r="F146" t="s">
        <v>728</v>
      </c>
      <c r="G146" t="s">
        <v>4513</v>
      </c>
      <c r="H146" t="s">
        <v>1674</v>
      </c>
      <c r="I146" t="b">
        <v>1</v>
      </c>
      <c r="J146">
        <v>205</v>
      </c>
      <c r="K146">
        <v>1718</v>
      </c>
      <c r="L146">
        <v>4</v>
      </c>
      <c r="M146">
        <f>COUNTIF(H146:$H$2581,H146)</f>
        <v>1</v>
      </c>
    </row>
    <row r="147" spans="1:13" x14ac:dyDescent="0.2">
      <c r="A147">
        <v>444</v>
      </c>
      <c r="B147" t="s">
        <v>778</v>
      </c>
      <c r="C147" t="s">
        <v>5703</v>
      </c>
      <c r="D147" t="s">
        <v>33</v>
      </c>
      <c r="E147" t="s">
        <v>5704</v>
      </c>
      <c r="F147" t="s">
        <v>781</v>
      </c>
      <c r="G147" t="s">
        <v>5705</v>
      </c>
      <c r="H147" t="s">
        <v>1678</v>
      </c>
      <c r="I147" t="b">
        <v>0</v>
      </c>
      <c r="J147">
        <v>64</v>
      </c>
      <c r="K147">
        <v>445</v>
      </c>
      <c r="L147">
        <v>25</v>
      </c>
      <c r="M147">
        <f>COUNTIF(H147:$H$2581,H147)</f>
        <v>1</v>
      </c>
    </row>
    <row r="148" spans="1:13" x14ac:dyDescent="0.2">
      <c r="A148">
        <v>410</v>
      </c>
      <c r="B148" t="s">
        <v>996</v>
      </c>
      <c r="C148" t="s">
        <v>5863</v>
      </c>
      <c r="D148" t="s">
        <v>33</v>
      </c>
      <c r="E148" t="s">
        <v>5864</v>
      </c>
      <c r="F148" t="s">
        <v>999</v>
      </c>
      <c r="G148" t="s">
        <v>5865</v>
      </c>
      <c r="H148" t="s">
        <v>1684</v>
      </c>
      <c r="I148" t="b">
        <v>0</v>
      </c>
      <c r="J148">
        <v>58</v>
      </c>
      <c r="K148">
        <v>411</v>
      </c>
      <c r="L148">
        <v>124</v>
      </c>
      <c r="M148">
        <f>COUNTIF(H148:$H$2581,H148)</f>
        <v>1</v>
      </c>
    </row>
    <row r="149" spans="1:13" x14ac:dyDescent="0.2">
      <c r="A149">
        <v>1013</v>
      </c>
      <c r="B149" t="s">
        <v>1268</v>
      </c>
      <c r="C149" t="s">
        <v>6543</v>
      </c>
      <c r="D149" t="s">
        <v>54</v>
      </c>
      <c r="E149" t="s">
        <v>6544</v>
      </c>
      <c r="F149" t="s">
        <v>1271</v>
      </c>
      <c r="G149" t="s">
        <v>6545</v>
      </c>
      <c r="H149" t="s">
        <v>1688</v>
      </c>
      <c r="I149" t="s">
        <v>24</v>
      </c>
      <c r="J149">
        <v>126</v>
      </c>
      <c r="K149">
        <v>1014</v>
      </c>
      <c r="L149">
        <v>7</v>
      </c>
      <c r="M149">
        <f>COUNTIF(H149:$H$2581,H149)</f>
        <v>1</v>
      </c>
    </row>
    <row r="150" spans="1:13" x14ac:dyDescent="0.2">
      <c r="A150">
        <v>190</v>
      </c>
      <c r="B150" t="s">
        <v>557</v>
      </c>
      <c r="C150" t="s">
        <v>7736</v>
      </c>
      <c r="D150" t="s">
        <v>13</v>
      </c>
      <c r="E150" t="s">
        <v>7737</v>
      </c>
      <c r="F150" t="s">
        <v>560</v>
      </c>
      <c r="G150" t="s">
        <v>7738</v>
      </c>
      <c r="H150" t="s">
        <v>1692</v>
      </c>
      <c r="I150" t="s">
        <v>24</v>
      </c>
      <c r="J150">
        <v>34</v>
      </c>
      <c r="K150">
        <v>191</v>
      </c>
      <c r="L150">
        <v>27</v>
      </c>
      <c r="M150">
        <f>COUNTIF(H150:$H$2581,H150)</f>
        <v>1</v>
      </c>
    </row>
    <row r="151" spans="1:13" x14ac:dyDescent="0.2">
      <c r="A151">
        <v>466</v>
      </c>
      <c r="B151" t="s">
        <v>928</v>
      </c>
      <c r="C151" t="s">
        <v>1862</v>
      </c>
      <c r="D151" t="s">
        <v>13</v>
      </c>
      <c r="E151" t="s">
        <v>1863</v>
      </c>
      <c r="F151" t="s">
        <v>931</v>
      </c>
      <c r="G151" t="s">
        <v>1864</v>
      </c>
      <c r="H151" t="s">
        <v>1696</v>
      </c>
      <c r="I151" t="b">
        <v>0</v>
      </c>
      <c r="J151">
        <v>67</v>
      </c>
      <c r="K151">
        <v>467</v>
      </c>
      <c r="L151">
        <v>10</v>
      </c>
      <c r="M151">
        <f>COUNTIF(H151:$H$2581,H151)</f>
        <v>1</v>
      </c>
    </row>
    <row r="152" spans="1:13" x14ac:dyDescent="0.2">
      <c r="A152">
        <v>268</v>
      </c>
      <c r="B152" t="s">
        <v>1126</v>
      </c>
      <c r="C152" t="s">
        <v>3515</v>
      </c>
      <c r="D152" t="s">
        <v>33</v>
      </c>
      <c r="E152" t="s">
        <v>3516</v>
      </c>
      <c r="F152" t="s">
        <v>1129</v>
      </c>
      <c r="G152" t="s">
        <v>3517</v>
      </c>
      <c r="H152" t="s">
        <v>1700</v>
      </c>
      <c r="I152" t="b">
        <v>0</v>
      </c>
      <c r="J152">
        <v>43</v>
      </c>
      <c r="K152">
        <v>269</v>
      </c>
      <c r="L152">
        <v>39</v>
      </c>
      <c r="M152">
        <f>COUNTIF(H152:$H$2581,H152)</f>
        <v>1</v>
      </c>
    </row>
    <row r="153" spans="1:13" x14ac:dyDescent="0.2">
      <c r="A153">
        <v>1796</v>
      </c>
      <c r="B153" t="s">
        <v>1287</v>
      </c>
      <c r="C153" t="s">
        <v>4514</v>
      </c>
      <c r="D153" t="s">
        <v>13</v>
      </c>
      <c r="E153" t="s">
        <v>4515</v>
      </c>
      <c r="F153" t="s">
        <v>1290</v>
      </c>
      <c r="G153" t="s">
        <v>4516</v>
      </c>
      <c r="H153" t="s">
        <v>1704</v>
      </c>
      <c r="I153" t="s">
        <v>24</v>
      </c>
      <c r="J153">
        <v>210</v>
      </c>
      <c r="K153">
        <v>1797</v>
      </c>
      <c r="L153">
        <v>4</v>
      </c>
      <c r="M153">
        <f>COUNTIF(H153:$H$2581,H153)</f>
        <v>1</v>
      </c>
    </row>
    <row r="154" spans="1:13" x14ac:dyDescent="0.2">
      <c r="A154">
        <v>29</v>
      </c>
      <c r="B154" t="s">
        <v>2448</v>
      </c>
      <c r="C154" t="s">
        <v>5300</v>
      </c>
      <c r="D154" t="s">
        <v>13</v>
      </c>
      <c r="E154" t="s">
        <v>5301</v>
      </c>
      <c r="F154" t="s">
        <v>2451</v>
      </c>
      <c r="G154" t="s">
        <v>5302</v>
      </c>
      <c r="H154" t="s">
        <v>1708</v>
      </c>
      <c r="I154" t="s">
        <v>24</v>
      </c>
      <c r="J154">
        <v>6</v>
      </c>
      <c r="K154">
        <v>30</v>
      </c>
      <c r="L154">
        <v>24</v>
      </c>
      <c r="M154">
        <f>COUNTIF(H154:$H$2581,H154)</f>
        <v>1</v>
      </c>
    </row>
    <row r="155" spans="1:13" x14ac:dyDescent="0.2">
      <c r="A155">
        <v>460</v>
      </c>
      <c r="B155" t="s">
        <v>1039</v>
      </c>
      <c r="C155" t="s">
        <v>5706</v>
      </c>
      <c r="D155" t="s">
        <v>54</v>
      </c>
      <c r="E155" t="s">
        <v>5707</v>
      </c>
      <c r="F155" t="s">
        <v>1042</v>
      </c>
      <c r="G155" t="s">
        <v>5708</v>
      </c>
      <c r="H155" t="s">
        <v>1712</v>
      </c>
      <c r="I155" t="s">
        <v>24</v>
      </c>
      <c r="J155">
        <v>65</v>
      </c>
      <c r="K155">
        <v>461</v>
      </c>
      <c r="L155">
        <v>25</v>
      </c>
      <c r="M155">
        <f>COUNTIF(H155:$H$2581,H155)</f>
        <v>1</v>
      </c>
    </row>
    <row r="156" spans="1:13" x14ac:dyDescent="0.2">
      <c r="A156">
        <v>445</v>
      </c>
      <c r="B156" t="s">
        <v>778</v>
      </c>
      <c r="C156" t="s">
        <v>5866</v>
      </c>
      <c r="D156" t="s">
        <v>54</v>
      </c>
      <c r="E156" t="s">
        <v>5867</v>
      </c>
      <c r="F156" t="s">
        <v>781</v>
      </c>
      <c r="G156" t="s">
        <v>5868</v>
      </c>
      <c r="H156" t="s">
        <v>1716</v>
      </c>
      <c r="I156" t="b">
        <v>0</v>
      </c>
      <c r="J156">
        <v>64</v>
      </c>
      <c r="K156">
        <v>446</v>
      </c>
      <c r="L156">
        <v>124</v>
      </c>
      <c r="M156">
        <f>COUNTIF(H156:$H$2581,H156)</f>
        <v>1</v>
      </c>
    </row>
    <row r="157" spans="1:13" x14ac:dyDescent="0.2">
      <c r="A157">
        <v>1034</v>
      </c>
      <c r="B157" t="s">
        <v>1215</v>
      </c>
      <c r="C157" t="s">
        <v>6546</v>
      </c>
      <c r="D157" t="s">
        <v>13</v>
      </c>
      <c r="E157" t="s">
        <v>6547</v>
      </c>
      <c r="F157" t="s">
        <v>1218</v>
      </c>
      <c r="G157" t="s">
        <v>6548</v>
      </c>
      <c r="H157" t="s">
        <v>1720</v>
      </c>
      <c r="I157" t="b">
        <v>1</v>
      </c>
      <c r="J157">
        <v>129</v>
      </c>
      <c r="K157">
        <v>1035</v>
      </c>
      <c r="L157">
        <v>7</v>
      </c>
      <c r="M157">
        <f>COUNTIF(H157:$H$2581,H157)</f>
        <v>1</v>
      </c>
    </row>
    <row r="158" spans="1:13" x14ac:dyDescent="0.2">
      <c r="A158">
        <v>240</v>
      </c>
      <c r="B158" t="s">
        <v>1120</v>
      </c>
      <c r="C158" t="s">
        <v>7739</v>
      </c>
      <c r="D158" t="s">
        <v>54</v>
      </c>
      <c r="E158" t="s">
        <v>7740</v>
      </c>
      <c r="F158" s="1" t="s">
        <v>1123</v>
      </c>
      <c r="G158" t="s">
        <v>7741</v>
      </c>
      <c r="H158" t="s">
        <v>1730</v>
      </c>
      <c r="I158" t="b">
        <v>0</v>
      </c>
      <c r="J158">
        <v>40</v>
      </c>
      <c r="K158">
        <v>241</v>
      </c>
      <c r="L158">
        <v>27</v>
      </c>
      <c r="M158">
        <f>COUNTIF(H158:$H$2581,H158)</f>
        <v>1</v>
      </c>
    </row>
    <row r="159" spans="1:13" x14ac:dyDescent="0.2">
      <c r="A159">
        <v>524</v>
      </c>
      <c r="B159" t="s">
        <v>881</v>
      </c>
      <c r="C159" t="s">
        <v>1865</v>
      </c>
      <c r="D159" t="s">
        <v>13</v>
      </c>
      <c r="E159" t="s">
        <v>1866</v>
      </c>
      <c r="F159" t="s">
        <v>884</v>
      </c>
      <c r="G159" t="s">
        <v>1867</v>
      </c>
      <c r="H159" t="s">
        <v>1734</v>
      </c>
      <c r="I159" t="s">
        <v>24</v>
      </c>
      <c r="J159">
        <v>77</v>
      </c>
      <c r="K159">
        <v>525</v>
      </c>
      <c r="L159">
        <v>10</v>
      </c>
      <c r="M159">
        <f>COUNTIF(H159:$H$2581,H159)</f>
        <v>1</v>
      </c>
    </row>
    <row r="160" spans="1:13" x14ac:dyDescent="0.2">
      <c r="A160">
        <v>324</v>
      </c>
      <c r="B160" t="s">
        <v>98</v>
      </c>
      <c r="C160" t="s">
        <v>3518</v>
      </c>
      <c r="D160" t="s">
        <v>33</v>
      </c>
      <c r="E160" t="s">
        <v>3519</v>
      </c>
      <c r="F160" t="s">
        <v>101</v>
      </c>
      <c r="G160" t="s">
        <v>3520</v>
      </c>
      <c r="H160" t="s">
        <v>1827</v>
      </c>
      <c r="I160" t="s">
        <v>24</v>
      </c>
      <c r="J160">
        <v>46</v>
      </c>
      <c r="K160">
        <v>325</v>
      </c>
      <c r="L160">
        <v>39</v>
      </c>
      <c r="M160">
        <f>COUNTIF(H160:$H$2581,H160)</f>
        <v>1</v>
      </c>
    </row>
    <row r="161" spans="1:13" x14ac:dyDescent="0.2">
      <c r="A161">
        <v>1797</v>
      </c>
      <c r="B161" t="s">
        <v>1287</v>
      </c>
      <c r="C161" t="s">
        <v>4517</v>
      </c>
      <c r="D161" t="s">
        <v>33</v>
      </c>
      <c r="E161" t="s">
        <v>4518</v>
      </c>
      <c r="F161" t="s">
        <v>1290</v>
      </c>
      <c r="G161" t="s">
        <v>4519</v>
      </c>
      <c r="H161" t="s">
        <v>1831</v>
      </c>
      <c r="I161" t="s">
        <v>24</v>
      </c>
      <c r="J161">
        <v>210</v>
      </c>
      <c r="K161">
        <v>1798</v>
      </c>
      <c r="L161">
        <v>4</v>
      </c>
      <c r="M161">
        <f>COUNTIF(H161:$H$2581,H161)</f>
        <v>1</v>
      </c>
    </row>
    <row r="162" spans="1:13" x14ac:dyDescent="0.2">
      <c r="A162">
        <v>229</v>
      </c>
      <c r="B162" t="s">
        <v>1120</v>
      </c>
      <c r="C162" t="s">
        <v>5304</v>
      </c>
      <c r="D162" t="s">
        <v>54</v>
      </c>
      <c r="E162" t="s">
        <v>5305</v>
      </c>
      <c r="F162" s="1" t="s">
        <v>1123</v>
      </c>
      <c r="G162" t="s">
        <v>5306</v>
      </c>
      <c r="H162" t="s">
        <v>1835</v>
      </c>
      <c r="I162" t="b">
        <v>0</v>
      </c>
      <c r="J162">
        <v>40</v>
      </c>
      <c r="K162">
        <v>230</v>
      </c>
      <c r="L162">
        <v>24</v>
      </c>
      <c r="M162">
        <f>COUNTIF(H162:$H$2581,H162)</f>
        <v>1</v>
      </c>
    </row>
    <row r="163" spans="1:13" x14ac:dyDescent="0.2">
      <c r="A163">
        <v>489</v>
      </c>
      <c r="B163" t="s">
        <v>182</v>
      </c>
      <c r="C163" t="s">
        <v>5709</v>
      </c>
      <c r="D163" t="s">
        <v>13</v>
      </c>
      <c r="E163" t="s">
        <v>5710</v>
      </c>
      <c r="F163" t="s">
        <v>185</v>
      </c>
      <c r="G163" t="s">
        <v>5711</v>
      </c>
      <c r="H163" t="s">
        <v>1839</v>
      </c>
      <c r="I163" t="b">
        <v>1</v>
      </c>
      <c r="J163">
        <v>69</v>
      </c>
      <c r="K163">
        <v>490</v>
      </c>
      <c r="L163">
        <v>25</v>
      </c>
      <c r="M163">
        <f>COUNTIF(H163:$H$2581,H163)</f>
        <v>1</v>
      </c>
    </row>
    <row r="164" spans="1:13" x14ac:dyDescent="0.2">
      <c r="A164">
        <v>482</v>
      </c>
      <c r="B164" t="s">
        <v>2266</v>
      </c>
      <c r="C164" t="s">
        <v>5869</v>
      </c>
      <c r="D164" t="s">
        <v>13</v>
      </c>
      <c r="E164" t="s">
        <v>5870</v>
      </c>
      <c r="F164" t="s">
        <v>2269</v>
      </c>
      <c r="G164" t="s">
        <v>5871</v>
      </c>
      <c r="H164" t="s">
        <v>1845</v>
      </c>
      <c r="I164" t="s">
        <v>24</v>
      </c>
      <c r="J164">
        <v>68</v>
      </c>
      <c r="K164">
        <v>483</v>
      </c>
      <c r="L164">
        <v>124</v>
      </c>
      <c r="M164">
        <f>COUNTIF(H164:$H$2581,H164)</f>
        <v>1</v>
      </c>
    </row>
    <row r="165" spans="1:13" x14ac:dyDescent="0.2">
      <c r="A165">
        <v>1046</v>
      </c>
      <c r="B165" t="s">
        <v>1456</v>
      </c>
      <c r="C165" t="s">
        <v>6549</v>
      </c>
      <c r="D165" t="s">
        <v>13</v>
      </c>
      <c r="E165" t="s">
        <v>6550</v>
      </c>
      <c r="F165" t="s">
        <v>1459</v>
      </c>
      <c r="G165" t="s">
        <v>6551</v>
      </c>
      <c r="H165" t="s">
        <v>2012</v>
      </c>
      <c r="I165" t="s">
        <v>24</v>
      </c>
      <c r="J165">
        <v>130</v>
      </c>
      <c r="K165">
        <v>1047</v>
      </c>
      <c r="L165">
        <v>7</v>
      </c>
      <c r="M165">
        <f>COUNTIF(H165:$H$2581,H165)</f>
        <v>1</v>
      </c>
    </row>
    <row r="166" spans="1:13" x14ac:dyDescent="0.2">
      <c r="A166">
        <v>265</v>
      </c>
      <c r="B166" t="s">
        <v>1503</v>
      </c>
      <c r="C166" t="s">
        <v>7742</v>
      </c>
      <c r="D166" t="s">
        <v>33</v>
      </c>
      <c r="E166" t="s">
        <v>7743</v>
      </c>
      <c r="F166" t="s">
        <v>1506</v>
      </c>
      <c r="G166" t="s">
        <v>7744</v>
      </c>
      <c r="H166" t="s">
        <v>2028</v>
      </c>
      <c r="I166" t="b">
        <v>0</v>
      </c>
      <c r="J166">
        <v>42</v>
      </c>
      <c r="K166">
        <v>266</v>
      </c>
      <c r="L166">
        <v>27</v>
      </c>
      <c r="M166">
        <f>COUNTIF(H166:$H$2581,H166)</f>
        <v>1</v>
      </c>
    </row>
    <row r="167" spans="1:13" x14ac:dyDescent="0.2">
      <c r="A167">
        <v>748</v>
      </c>
      <c r="B167" t="s">
        <v>1868</v>
      </c>
      <c r="C167" t="s">
        <v>1869</v>
      </c>
      <c r="D167" t="s">
        <v>13</v>
      </c>
      <c r="E167" t="s">
        <v>1870</v>
      </c>
      <c r="F167" t="s">
        <v>1871</v>
      </c>
      <c r="G167" t="s">
        <v>1872</v>
      </c>
      <c r="H167" t="s">
        <v>2034</v>
      </c>
      <c r="I167" t="s">
        <v>24</v>
      </c>
      <c r="J167">
        <v>107</v>
      </c>
      <c r="K167">
        <v>749</v>
      </c>
      <c r="L167">
        <v>10</v>
      </c>
      <c r="M167">
        <f>COUNTIF(H167:$H$2581,H167)</f>
        <v>1</v>
      </c>
    </row>
    <row r="168" spans="1:13" x14ac:dyDescent="0.2">
      <c r="A168">
        <v>333</v>
      </c>
      <c r="B168" t="s">
        <v>2721</v>
      </c>
      <c r="C168" t="s">
        <v>3521</v>
      </c>
      <c r="D168" t="s">
        <v>13</v>
      </c>
      <c r="E168" t="s">
        <v>3522</v>
      </c>
      <c r="F168" t="s">
        <v>2724</v>
      </c>
      <c r="G168" t="s">
        <v>3523</v>
      </c>
      <c r="H168" t="s">
        <v>2040</v>
      </c>
      <c r="I168" t="b">
        <v>1</v>
      </c>
      <c r="J168">
        <v>48</v>
      </c>
      <c r="K168">
        <v>334</v>
      </c>
      <c r="L168">
        <v>39</v>
      </c>
      <c r="M168">
        <f>COUNTIF(H168:$H$2581,H168)</f>
        <v>1</v>
      </c>
    </row>
    <row r="169" spans="1:13" x14ac:dyDescent="0.2">
      <c r="A169">
        <v>1829</v>
      </c>
      <c r="B169" t="s">
        <v>1589</v>
      </c>
      <c r="C169" t="s">
        <v>4520</v>
      </c>
      <c r="D169" t="s">
        <v>13</v>
      </c>
      <c r="E169" t="s">
        <v>4521</v>
      </c>
      <c r="F169" t="s">
        <v>1592</v>
      </c>
      <c r="G169" t="s">
        <v>4522</v>
      </c>
      <c r="H169" t="s">
        <v>2044</v>
      </c>
      <c r="I169" t="s">
        <v>24</v>
      </c>
      <c r="J169">
        <v>213</v>
      </c>
      <c r="K169">
        <v>1830</v>
      </c>
      <c r="L169">
        <v>4</v>
      </c>
      <c r="M169">
        <f>COUNTIF(H169:$H$2581,H169)</f>
        <v>1</v>
      </c>
    </row>
    <row r="170" spans="1:13" x14ac:dyDescent="0.2">
      <c r="A170">
        <v>259</v>
      </c>
      <c r="B170" t="s">
        <v>1503</v>
      </c>
      <c r="C170" t="s">
        <v>5307</v>
      </c>
      <c r="D170" t="s">
        <v>33</v>
      </c>
      <c r="E170" t="s">
        <v>5308</v>
      </c>
      <c r="F170" t="s">
        <v>1506</v>
      </c>
      <c r="G170" t="s">
        <v>5309</v>
      </c>
      <c r="H170" t="s">
        <v>2048</v>
      </c>
      <c r="I170" t="b">
        <v>0</v>
      </c>
      <c r="J170">
        <v>42</v>
      </c>
      <c r="K170">
        <v>260</v>
      </c>
      <c r="L170">
        <v>24</v>
      </c>
      <c r="M170">
        <f>COUNTIF(H170:$H$2581,H170)</f>
        <v>1</v>
      </c>
    </row>
    <row r="171" spans="1:13" x14ac:dyDescent="0.2">
      <c r="A171">
        <v>621</v>
      </c>
      <c r="B171" t="s">
        <v>1491</v>
      </c>
      <c r="C171" t="s">
        <v>5712</v>
      </c>
      <c r="D171" t="s">
        <v>54</v>
      </c>
      <c r="E171" t="s">
        <v>5713</v>
      </c>
      <c r="F171" t="s">
        <v>1494</v>
      </c>
      <c r="G171" t="s">
        <v>5714</v>
      </c>
      <c r="H171" t="s">
        <v>2052</v>
      </c>
      <c r="I171" t="b">
        <v>0</v>
      </c>
      <c r="J171">
        <v>91</v>
      </c>
      <c r="K171">
        <v>622</v>
      </c>
      <c r="L171">
        <v>25</v>
      </c>
      <c r="M171">
        <f>COUNTIF(H171:$H$2581,H171)</f>
        <v>1</v>
      </c>
    </row>
    <row r="172" spans="1:13" x14ac:dyDescent="0.2">
      <c r="A172">
        <v>541</v>
      </c>
      <c r="B172" t="s">
        <v>188</v>
      </c>
      <c r="C172" t="s">
        <v>5872</v>
      </c>
      <c r="D172" t="s">
        <v>33</v>
      </c>
      <c r="E172" t="s">
        <v>5873</v>
      </c>
      <c r="F172" t="s">
        <v>191</v>
      </c>
      <c r="G172" t="s">
        <v>5874</v>
      </c>
      <c r="H172" t="s">
        <v>2058</v>
      </c>
      <c r="I172" t="b">
        <v>0</v>
      </c>
      <c r="J172">
        <v>80</v>
      </c>
      <c r="K172">
        <v>542</v>
      </c>
      <c r="L172">
        <v>124</v>
      </c>
      <c r="M172">
        <f>COUNTIF(H172:$H$2581,H172)</f>
        <v>1</v>
      </c>
    </row>
    <row r="173" spans="1:13" x14ac:dyDescent="0.2">
      <c r="A173">
        <v>1064</v>
      </c>
      <c r="B173" t="s">
        <v>1884</v>
      </c>
      <c r="C173" t="s">
        <v>6552</v>
      </c>
      <c r="D173" t="s">
        <v>13</v>
      </c>
      <c r="E173" t="s">
        <v>6553</v>
      </c>
      <c r="F173" t="s">
        <v>1887</v>
      </c>
      <c r="G173" t="s">
        <v>6554</v>
      </c>
      <c r="H173" t="s">
        <v>2065</v>
      </c>
      <c r="I173" t="s">
        <v>24</v>
      </c>
      <c r="J173">
        <v>131</v>
      </c>
      <c r="K173">
        <v>1065</v>
      </c>
      <c r="L173">
        <v>7</v>
      </c>
      <c r="M173">
        <f>COUNTIF(H173:$H$2581,H173)</f>
        <v>1</v>
      </c>
    </row>
    <row r="174" spans="1:13" x14ac:dyDescent="0.2">
      <c r="A174">
        <v>274</v>
      </c>
      <c r="B174" t="s">
        <v>1126</v>
      </c>
      <c r="C174" t="s">
        <v>7745</v>
      </c>
      <c r="D174" t="s">
        <v>33</v>
      </c>
      <c r="E174" t="s">
        <v>7746</v>
      </c>
      <c r="F174" t="s">
        <v>1129</v>
      </c>
      <c r="G174" t="s">
        <v>7747</v>
      </c>
      <c r="H174" t="s">
        <v>2069</v>
      </c>
      <c r="I174" t="b">
        <v>0</v>
      </c>
      <c r="J174">
        <v>43</v>
      </c>
      <c r="K174">
        <v>275</v>
      </c>
      <c r="L174">
        <v>27</v>
      </c>
      <c r="M174">
        <f>COUNTIF(H174:$H$2581,H174)</f>
        <v>1</v>
      </c>
    </row>
    <row r="175" spans="1:13" x14ac:dyDescent="0.2">
      <c r="A175">
        <v>792</v>
      </c>
      <c r="B175" t="s">
        <v>116</v>
      </c>
      <c r="C175" t="s">
        <v>1873</v>
      </c>
      <c r="D175" t="s">
        <v>13</v>
      </c>
      <c r="E175" s="1" t="s">
        <v>1874</v>
      </c>
      <c r="F175" t="s">
        <v>119</v>
      </c>
      <c r="G175" t="s">
        <v>1875</v>
      </c>
      <c r="H175" t="s">
        <v>2073</v>
      </c>
      <c r="I175" t="s">
        <v>24</v>
      </c>
      <c r="J175">
        <v>112</v>
      </c>
      <c r="K175">
        <v>793</v>
      </c>
      <c r="L175">
        <v>10</v>
      </c>
      <c r="M175">
        <f>COUNTIF(H175:$H$2581,H175)</f>
        <v>1</v>
      </c>
    </row>
    <row r="176" spans="1:13" x14ac:dyDescent="0.2">
      <c r="A176">
        <v>378</v>
      </c>
      <c r="B176" t="s">
        <v>1659</v>
      </c>
      <c r="C176" t="s">
        <v>3524</v>
      </c>
      <c r="D176" t="s">
        <v>33</v>
      </c>
      <c r="E176" t="s">
        <v>3525</v>
      </c>
      <c r="F176" t="s">
        <v>1662</v>
      </c>
      <c r="G176" t="s">
        <v>3526</v>
      </c>
      <c r="H176" t="s">
        <v>2077</v>
      </c>
      <c r="I176" t="b">
        <v>0</v>
      </c>
      <c r="J176">
        <v>52</v>
      </c>
      <c r="K176">
        <v>379</v>
      </c>
      <c r="L176">
        <v>39</v>
      </c>
      <c r="M176">
        <f>COUNTIF(H176:$H$2581,H176)</f>
        <v>1</v>
      </c>
    </row>
    <row r="177" spans="1:13" x14ac:dyDescent="0.2">
      <c r="A177">
        <v>1838</v>
      </c>
      <c r="B177" t="s">
        <v>1198</v>
      </c>
      <c r="C177" t="s">
        <v>4523</v>
      </c>
      <c r="D177" t="s">
        <v>54</v>
      </c>
      <c r="E177" t="s">
        <v>4524</v>
      </c>
      <c r="F177" t="s">
        <v>1201</v>
      </c>
      <c r="G177" t="s">
        <v>4525</v>
      </c>
      <c r="H177" t="s">
        <v>2081</v>
      </c>
      <c r="I177" t="s">
        <v>24</v>
      </c>
      <c r="J177">
        <v>214</v>
      </c>
      <c r="K177">
        <v>1839</v>
      </c>
      <c r="L177">
        <v>4</v>
      </c>
      <c r="M177">
        <f>COUNTIF(H177:$H$2581,H177)</f>
        <v>1</v>
      </c>
    </row>
    <row r="178" spans="1:13" x14ac:dyDescent="0.2">
      <c r="A178">
        <v>361</v>
      </c>
      <c r="B178" t="s">
        <v>975</v>
      </c>
      <c r="C178" t="s">
        <v>5310</v>
      </c>
      <c r="D178" t="s">
        <v>13</v>
      </c>
      <c r="E178" t="s">
        <v>5311</v>
      </c>
      <c r="F178" s="1" t="s">
        <v>978</v>
      </c>
      <c r="G178" t="s">
        <v>5312</v>
      </c>
      <c r="H178" t="s">
        <v>2085</v>
      </c>
      <c r="I178" t="b">
        <v>1</v>
      </c>
      <c r="J178">
        <v>50</v>
      </c>
      <c r="K178">
        <v>362</v>
      </c>
      <c r="L178">
        <v>24</v>
      </c>
      <c r="M178">
        <f>COUNTIF(H178:$H$2581,H178)</f>
        <v>1</v>
      </c>
    </row>
    <row r="179" spans="1:13" x14ac:dyDescent="0.2">
      <c r="A179">
        <v>743</v>
      </c>
      <c r="B179" t="s">
        <v>1450</v>
      </c>
      <c r="C179" t="s">
        <v>5715</v>
      </c>
      <c r="D179" t="s">
        <v>33</v>
      </c>
      <c r="E179" t="s">
        <v>5716</v>
      </c>
      <c r="F179" s="1" t="s">
        <v>1453</v>
      </c>
      <c r="G179" t="s">
        <v>5717</v>
      </c>
      <c r="H179" t="s">
        <v>2092</v>
      </c>
      <c r="I179" t="b">
        <v>0</v>
      </c>
      <c r="J179">
        <v>105</v>
      </c>
      <c r="K179">
        <v>744</v>
      </c>
      <c r="L179">
        <v>25</v>
      </c>
      <c r="M179">
        <f>COUNTIF(H179:$H$2581,H179)</f>
        <v>1</v>
      </c>
    </row>
    <row r="180" spans="1:13" x14ac:dyDescent="0.2">
      <c r="A180">
        <v>566</v>
      </c>
      <c r="B180" t="s">
        <v>2797</v>
      </c>
      <c r="C180" t="s">
        <v>5875</v>
      </c>
      <c r="D180" t="s">
        <v>54</v>
      </c>
      <c r="E180" t="s">
        <v>5876</v>
      </c>
      <c r="F180" t="s">
        <v>2800</v>
      </c>
      <c r="G180" t="s">
        <v>5877</v>
      </c>
      <c r="H180" t="s">
        <v>2098</v>
      </c>
      <c r="I180" t="s">
        <v>24</v>
      </c>
      <c r="J180">
        <v>84</v>
      </c>
      <c r="K180">
        <v>567</v>
      </c>
      <c r="L180">
        <v>124</v>
      </c>
      <c r="M180">
        <f>COUNTIF(H180:$H$2581,H180)</f>
        <v>1</v>
      </c>
    </row>
    <row r="181" spans="1:13" x14ac:dyDescent="0.2">
      <c r="A181">
        <v>1080</v>
      </c>
      <c r="B181" t="s">
        <v>2230</v>
      </c>
      <c r="C181" t="s">
        <v>6555</v>
      </c>
      <c r="D181" t="s">
        <v>54</v>
      </c>
      <c r="E181" t="s">
        <v>6556</v>
      </c>
      <c r="F181" t="s">
        <v>2233</v>
      </c>
      <c r="G181" t="s">
        <v>6557</v>
      </c>
      <c r="H181" t="s">
        <v>2104</v>
      </c>
      <c r="I181" t="s">
        <v>24</v>
      </c>
      <c r="J181">
        <v>132</v>
      </c>
      <c r="K181">
        <v>1081</v>
      </c>
      <c r="L181">
        <v>7</v>
      </c>
      <c r="M181">
        <f>COUNTIF(H181:$H$2581,H181)</f>
        <v>1</v>
      </c>
    </row>
    <row r="182" spans="1:13" x14ac:dyDescent="0.2">
      <c r="A182">
        <v>421</v>
      </c>
      <c r="B182" t="s">
        <v>3258</v>
      </c>
      <c r="C182" t="s">
        <v>7748</v>
      </c>
      <c r="D182" t="s">
        <v>13</v>
      </c>
      <c r="E182" t="s">
        <v>7749</v>
      </c>
      <c r="F182" t="s">
        <v>3261</v>
      </c>
      <c r="G182" t="s">
        <v>7750</v>
      </c>
      <c r="H182" t="s">
        <v>2110</v>
      </c>
      <c r="I182" t="b">
        <v>0</v>
      </c>
      <c r="J182">
        <v>61</v>
      </c>
      <c r="K182">
        <v>422</v>
      </c>
      <c r="L182">
        <v>27</v>
      </c>
      <c r="M182">
        <f>COUNTIF(H182:$H$2581,H182)</f>
        <v>1</v>
      </c>
    </row>
    <row r="183" spans="1:13" x14ac:dyDescent="0.2">
      <c r="A183">
        <v>992</v>
      </c>
      <c r="B183" t="s">
        <v>1876</v>
      </c>
      <c r="C183" t="s">
        <v>1877</v>
      </c>
      <c r="D183" t="s">
        <v>13</v>
      </c>
      <c r="E183" t="s">
        <v>1878</v>
      </c>
      <c r="F183" t="s">
        <v>1879</v>
      </c>
      <c r="G183" t="s">
        <v>1880</v>
      </c>
      <c r="H183" t="s">
        <v>2114</v>
      </c>
      <c r="I183" t="s">
        <v>24</v>
      </c>
      <c r="J183">
        <v>124</v>
      </c>
      <c r="K183">
        <v>993</v>
      </c>
      <c r="L183">
        <v>10</v>
      </c>
      <c r="M183">
        <f>COUNTIF(H183:$H$2581,H183)</f>
        <v>1</v>
      </c>
    </row>
    <row r="184" spans="1:13" x14ac:dyDescent="0.2">
      <c r="A184">
        <v>431</v>
      </c>
      <c r="B184" t="s">
        <v>399</v>
      </c>
      <c r="C184" t="s">
        <v>3527</v>
      </c>
      <c r="D184" t="s">
        <v>33</v>
      </c>
      <c r="E184" t="s">
        <v>3528</v>
      </c>
      <c r="F184" t="s">
        <v>402</v>
      </c>
      <c r="G184" t="s">
        <v>3529</v>
      </c>
      <c r="H184" t="s">
        <v>2120</v>
      </c>
      <c r="I184" t="b">
        <v>0</v>
      </c>
      <c r="J184">
        <v>63</v>
      </c>
      <c r="K184">
        <v>432</v>
      </c>
      <c r="L184">
        <v>39</v>
      </c>
      <c r="M184">
        <f>COUNTIF(H184:$H$2581,H184)</f>
        <v>1</v>
      </c>
    </row>
    <row r="185" spans="1:13" x14ac:dyDescent="0.2">
      <c r="A185">
        <v>25</v>
      </c>
      <c r="B185" t="s">
        <v>2448</v>
      </c>
      <c r="C185" t="s">
        <v>3670</v>
      </c>
      <c r="D185" t="s">
        <v>54</v>
      </c>
      <c r="E185" t="s">
        <v>3671</v>
      </c>
      <c r="F185" t="s">
        <v>2451</v>
      </c>
      <c r="G185" t="s">
        <v>3672</v>
      </c>
      <c r="H185" t="s">
        <v>2142</v>
      </c>
      <c r="I185" t="s">
        <v>24</v>
      </c>
      <c r="J185">
        <v>6</v>
      </c>
      <c r="K185">
        <v>26</v>
      </c>
      <c r="L185">
        <v>22</v>
      </c>
      <c r="M185">
        <f>COUNTIF(H185:$H$2581,H185)</f>
        <v>1</v>
      </c>
    </row>
    <row r="186" spans="1:13" x14ac:dyDescent="0.2">
      <c r="A186">
        <v>1852</v>
      </c>
      <c r="B186" t="s">
        <v>631</v>
      </c>
      <c r="C186" t="s">
        <v>4526</v>
      </c>
      <c r="D186" t="s">
        <v>13</v>
      </c>
      <c r="E186" t="s">
        <v>4527</v>
      </c>
      <c r="F186" t="s">
        <v>634</v>
      </c>
      <c r="G186" t="s">
        <v>4528</v>
      </c>
      <c r="H186" t="s">
        <v>2146</v>
      </c>
      <c r="I186" t="s">
        <v>24</v>
      </c>
      <c r="J186">
        <v>215</v>
      </c>
      <c r="K186">
        <v>1853</v>
      </c>
      <c r="L186">
        <v>4</v>
      </c>
      <c r="M186">
        <f>COUNTIF(H186:$H$2581,H186)</f>
        <v>1</v>
      </c>
    </row>
    <row r="187" spans="1:13" x14ac:dyDescent="0.2">
      <c r="A187">
        <v>372</v>
      </c>
      <c r="B187" t="s">
        <v>2099</v>
      </c>
      <c r="C187" t="s">
        <v>5313</v>
      </c>
      <c r="D187" t="s">
        <v>54</v>
      </c>
      <c r="E187" t="s">
        <v>5314</v>
      </c>
      <c r="F187" t="s">
        <v>2102</v>
      </c>
      <c r="G187" t="s">
        <v>5315</v>
      </c>
      <c r="H187" t="s">
        <v>2150</v>
      </c>
      <c r="I187" t="b">
        <v>0</v>
      </c>
      <c r="J187">
        <v>51</v>
      </c>
      <c r="K187">
        <v>373</v>
      </c>
      <c r="L187">
        <v>24</v>
      </c>
      <c r="M187">
        <f>COUNTIF(H187:$H$2581,H187)</f>
        <v>1</v>
      </c>
    </row>
    <row r="188" spans="1:13" x14ac:dyDescent="0.2">
      <c r="A188">
        <v>756</v>
      </c>
      <c r="B188" t="s">
        <v>1868</v>
      </c>
      <c r="C188" t="s">
        <v>5718</v>
      </c>
      <c r="D188" t="s">
        <v>13</v>
      </c>
      <c r="E188" t="s">
        <v>5719</v>
      </c>
      <c r="F188" t="s">
        <v>1871</v>
      </c>
      <c r="G188" t="s">
        <v>5720</v>
      </c>
      <c r="H188" t="s">
        <v>2154</v>
      </c>
      <c r="I188" t="s">
        <v>24</v>
      </c>
      <c r="J188">
        <v>107</v>
      </c>
      <c r="K188">
        <v>757</v>
      </c>
      <c r="L188">
        <v>25</v>
      </c>
      <c r="M188">
        <f>COUNTIF(H188:$H$2581,H188)</f>
        <v>1</v>
      </c>
    </row>
    <row r="189" spans="1:13" x14ac:dyDescent="0.2">
      <c r="A189">
        <v>604</v>
      </c>
      <c r="B189" t="s">
        <v>1097</v>
      </c>
      <c r="C189" t="s">
        <v>5878</v>
      </c>
      <c r="D189" t="s">
        <v>13</v>
      </c>
      <c r="E189" t="s">
        <v>5879</v>
      </c>
      <c r="F189" t="s">
        <v>1100</v>
      </c>
      <c r="G189" t="s">
        <v>5880</v>
      </c>
      <c r="H189" t="s">
        <v>2158</v>
      </c>
      <c r="I189" t="b">
        <v>0</v>
      </c>
      <c r="J189">
        <v>90</v>
      </c>
      <c r="K189">
        <v>605</v>
      </c>
      <c r="L189">
        <v>124</v>
      </c>
      <c r="M189">
        <f>COUNTIF(H189:$H$2581,H189)</f>
        <v>1</v>
      </c>
    </row>
    <row r="190" spans="1:13" x14ac:dyDescent="0.2">
      <c r="A190">
        <v>1095</v>
      </c>
      <c r="B190" t="s">
        <v>1075</v>
      </c>
      <c r="C190" t="s">
        <v>6558</v>
      </c>
      <c r="D190" t="s">
        <v>13</v>
      </c>
      <c r="E190" t="s">
        <v>6559</v>
      </c>
      <c r="F190" t="s">
        <v>1078</v>
      </c>
      <c r="G190" t="s">
        <v>6560</v>
      </c>
      <c r="H190" t="s">
        <v>2162</v>
      </c>
      <c r="I190" t="s">
        <v>24</v>
      </c>
      <c r="J190">
        <v>133</v>
      </c>
      <c r="K190">
        <v>1096</v>
      </c>
      <c r="L190">
        <v>7</v>
      </c>
      <c r="M190">
        <f>COUNTIF(H190:$H$2581,H190)</f>
        <v>1</v>
      </c>
    </row>
    <row r="191" spans="1:13" x14ac:dyDescent="0.2">
      <c r="A191">
        <v>491</v>
      </c>
      <c r="B191" t="s">
        <v>182</v>
      </c>
      <c r="C191" t="s">
        <v>7751</v>
      </c>
      <c r="D191" t="s">
        <v>13</v>
      </c>
      <c r="E191" t="s">
        <v>7752</v>
      </c>
      <c r="F191" t="s">
        <v>185</v>
      </c>
      <c r="G191" t="s">
        <v>7753</v>
      </c>
      <c r="H191" t="s">
        <v>2166</v>
      </c>
      <c r="I191" t="b">
        <v>1</v>
      </c>
      <c r="J191">
        <v>69</v>
      </c>
      <c r="K191">
        <v>492</v>
      </c>
      <c r="L191">
        <v>27</v>
      </c>
      <c r="M191">
        <f>COUNTIF(H191:$H$2581,H191)</f>
        <v>1</v>
      </c>
    </row>
    <row r="192" spans="1:13" x14ac:dyDescent="0.2">
      <c r="A192">
        <v>1038</v>
      </c>
      <c r="B192" t="s">
        <v>1456</v>
      </c>
      <c r="C192" t="s">
        <v>1881</v>
      </c>
      <c r="D192" t="s">
        <v>13</v>
      </c>
      <c r="E192" t="s">
        <v>1882</v>
      </c>
      <c r="F192" t="s">
        <v>1459</v>
      </c>
      <c r="G192" t="s">
        <v>1883</v>
      </c>
      <c r="H192" t="s">
        <v>2170</v>
      </c>
      <c r="I192" t="s">
        <v>24</v>
      </c>
      <c r="J192">
        <v>130</v>
      </c>
      <c r="K192">
        <v>1039</v>
      </c>
      <c r="L192">
        <v>10</v>
      </c>
      <c r="M192">
        <f>COUNTIF(H192:$H$2581,H192)</f>
        <v>1</v>
      </c>
    </row>
    <row r="193" spans="1:13" x14ac:dyDescent="0.2">
      <c r="A193">
        <v>560</v>
      </c>
      <c r="B193" t="s">
        <v>2797</v>
      </c>
      <c r="C193" t="s">
        <v>3530</v>
      </c>
      <c r="D193" t="s">
        <v>13</v>
      </c>
      <c r="E193" t="s">
        <v>3531</v>
      </c>
      <c r="F193" t="s">
        <v>2800</v>
      </c>
      <c r="G193" t="s">
        <v>3532</v>
      </c>
      <c r="H193" t="s">
        <v>2174</v>
      </c>
      <c r="I193" t="s">
        <v>24</v>
      </c>
      <c r="J193">
        <v>84</v>
      </c>
      <c r="K193">
        <v>561</v>
      </c>
      <c r="L193">
        <v>39</v>
      </c>
      <c r="M193">
        <f>COUNTIF(H193:$H$2581,H193)</f>
        <v>1</v>
      </c>
    </row>
    <row r="194" spans="1:13" x14ac:dyDescent="0.2">
      <c r="A194">
        <v>224</v>
      </c>
      <c r="B194" t="s">
        <v>1120</v>
      </c>
      <c r="C194" t="s">
        <v>3674</v>
      </c>
      <c r="D194" t="s">
        <v>13</v>
      </c>
      <c r="E194" t="s">
        <v>3675</v>
      </c>
      <c r="F194" s="1" t="s">
        <v>1123</v>
      </c>
      <c r="G194" t="s">
        <v>3676</v>
      </c>
      <c r="H194" t="s">
        <v>2204</v>
      </c>
      <c r="I194" t="b">
        <v>0</v>
      </c>
      <c r="J194">
        <v>40</v>
      </c>
      <c r="K194">
        <v>225</v>
      </c>
      <c r="L194">
        <v>22</v>
      </c>
      <c r="M194">
        <f>COUNTIF(H194:$H$2581,H194)</f>
        <v>1</v>
      </c>
    </row>
    <row r="195" spans="1:13" x14ac:dyDescent="0.2">
      <c r="A195">
        <v>1858</v>
      </c>
      <c r="B195" t="s">
        <v>1295</v>
      </c>
      <c r="C195" t="s">
        <v>4526</v>
      </c>
      <c r="D195" t="s">
        <v>54</v>
      </c>
      <c r="E195" t="s">
        <v>4529</v>
      </c>
      <c r="F195" t="s">
        <v>1297</v>
      </c>
      <c r="G195" t="s">
        <v>4528</v>
      </c>
      <c r="H195" t="s">
        <v>2214</v>
      </c>
      <c r="I195" t="s">
        <v>24</v>
      </c>
      <c r="J195">
        <v>216</v>
      </c>
      <c r="K195">
        <v>1859</v>
      </c>
      <c r="L195">
        <v>4</v>
      </c>
      <c r="M195">
        <f>COUNTIF(H195:$H$2581,H195)</f>
        <v>1</v>
      </c>
    </row>
    <row r="196" spans="1:13" x14ac:dyDescent="0.2">
      <c r="A196">
        <v>442</v>
      </c>
      <c r="B196" t="s">
        <v>778</v>
      </c>
      <c r="C196" t="s">
        <v>5316</v>
      </c>
      <c r="D196" t="s">
        <v>54</v>
      </c>
      <c r="E196" t="s">
        <v>5317</v>
      </c>
      <c r="F196" t="s">
        <v>781</v>
      </c>
      <c r="G196" t="s">
        <v>5318</v>
      </c>
      <c r="H196" t="s">
        <v>2223</v>
      </c>
      <c r="I196" t="b">
        <v>0</v>
      </c>
      <c r="J196">
        <v>64</v>
      </c>
      <c r="K196">
        <v>443</v>
      </c>
      <c r="L196">
        <v>24</v>
      </c>
      <c r="M196">
        <f>COUNTIF(H196:$H$2581,H196)</f>
        <v>1</v>
      </c>
    </row>
    <row r="197" spans="1:13" x14ac:dyDescent="0.2">
      <c r="A197">
        <v>799</v>
      </c>
      <c r="B197" t="s">
        <v>116</v>
      </c>
      <c r="C197" t="s">
        <v>5721</v>
      </c>
      <c r="D197" t="s">
        <v>54</v>
      </c>
      <c r="E197" t="s">
        <v>5722</v>
      </c>
      <c r="F197" t="s">
        <v>119</v>
      </c>
      <c r="G197" t="s">
        <v>5723</v>
      </c>
      <c r="H197" t="s">
        <v>2227</v>
      </c>
      <c r="I197" t="s">
        <v>24</v>
      </c>
      <c r="J197">
        <v>112</v>
      </c>
      <c r="K197">
        <v>800</v>
      </c>
      <c r="L197">
        <v>25</v>
      </c>
      <c r="M197">
        <f>COUNTIF(H197:$H$2581,H197)</f>
        <v>1</v>
      </c>
    </row>
    <row r="198" spans="1:13" x14ac:dyDescent="0.2">
      <c r="A198">
        <v>605</v>
      </c>
      <c r="B198" t="s">
        <v>1097</v>
      </c>
      <c r="C198" t="s">
        <v>5881</v>
      </c>
      <c r="D198" t="s">
        <v>13</v>
      </c>
      <c r="E198" t="s">
        <v>5882</v>
      </c>
      <c r="F198" t="s">
        <v>1100</v>
      </c>
      <c r="G198" t="s">
        <v>5883</v>
      </c>
      <c r="H198" t="s">
        <v>2261</v>
      </c>
      <c r="I198" t="b">
        <v>0</v>
      </c>
      <c r="J198">
        <v>90</v>
      </c>
      <c r="K198">
        <v>606</v>
      </c>
      <c r="L198">
        <v>124</v>
      </c>
      <c r="M198">
        <f>COUNTIF(H198:$H$2581,H198)</f>
        <v>1</v>
      </c>
    </row>
    <row r="199" spans="1:13" x14ac:dyDescent="0.2">
      <c r="A199">
        <v>1112</v>
      </c>
      <c r="B199" t="s">
        <v>1103</v>
      </c>
      <c r="C199" t="s">
        <v>6561</v>
      </c>
      <c r="D199" t="s">
        <v>13</v>
      </c>
      <c r="E199" t="s">
        <v>6562</v>
      </c>
      <c r="F199" t="s">
        <v>1106</v>
      </c>
      <c r="G199" t="s">
        <v>6563</v>
      </c>
      <c r="H199" t="s">
        <v>2265</v>
      </c>
      <c r="I199" t="s">
        <v>24</v>
      </c>
      <c r="J199">
        <v>134</v>
      </c>
      <c r="K199">
        <v>1113</v>
      </c>
      <c r="L199">
        <v>7</v>
      </c>
      <c r="M199">
        <f>COUNTIF(H199:$H$2581,H199)</f>
        <v>1</v>
      </c>
    </row>
    <row r="200" spans="1:13" x14ac:dyDescent="0.2">
      <c r="A200">
        <v>17</v>
      </c>
      <c r="B200" t="s">
        <v>1840</v>
      </c>
      <c r="C200" t="s">
        <v>7018</v>
      </c>
      <c r="D200" t="s">
        <v>13</v>
      </c>
      <c r="E200" t="s">
        <v>7019</v>
      </c>
      <c r="F200" t="s">
        <v>1843</v>
      </c>
      <c r="G200" t="s">
        <v>7020</v>
      </c>
      <c r="H200" t="s">
        <v>2271</v>
      </c>
      <c r="I200" t="s">
        <v>24</v>
      </c>
      <c r="J200">
        <v>4</v>
      </c>
      <c r="K200">
        <v>18</v>
      </c>
      <c r="L200">
        <v>14</v>
      </c>
      <c r="M200">
        <f>COUNTIF(H200:$H$2581,H200)</f>
        <v>1</v>
      </c>
    </row>
    <row r="201" spans="1:13" x14ac:dyDescent="0.2">
      <c r="A201">
        <v>528</v>
      </c>
      <c r="B201" t="s">
        <v>881</v>
      </c>
      <c r="C201" t="s">
        <v>7754</v>
      </c>
      <c r="D201" t="s">
        <v>54</v>
      </c>
      <c r="E201" t="s">
        <v>7755</v>
      </c>
      <c r="F201" t="s">
        <v>884</v>
      </c>
      <c r="G201" t="s">
        <v>7756</v>
      </c>
      <c r="H201" t="s">
        <v>2274</v>
      </c>
      <c r="I201" t="s">
        <v>24</v>
      </c>
      <c r="J201">
        <v>77</v>
      </c>
      <c r="K201">
        <v>529</v>
      </c>
      <c r="L201">
        <v>27</v>
      </c>
      <c r="M201">
        <f>COUNTIF(H201:$H$2581,H201)</f>
        <v>1</v>
      </c>
    </row>
    <row r="202" spans="1:13" x14ac:dyDescent="0.2">
      <c r="A202">
        <v>1050</v>
      </c>
      <c r="B202" t="s">
        <v>1884</v>
      </c>
      <c r="C202" t="s">
        <v>1885</v>
      </c>
      <c r="D202" t="s">
        <v>13</v>
      </c>
      <c r="E202" s="1" t="s">
        <v>1886</v>
      </c>
      <c r="F202" t="s">
        <v>1887</v>
      </c>
      <c r="G202" t="s">
        <v>1888</v>
      </c>
      <c r="H202" t="s">
        <v>2278</v>
      </c>
      <c r="I202" t="s">
        <v>24</v>
      </c>
      <c r="J202">
        <v>131</v>
      </c>
      <c r="K202">
        <v>1051</v>
      </c>
      <c r="L202">
        <v>10</v>
      </c>
      <c r="M202">
        <f>COUNTIF(H202:$H$2581,H202)</f>
        <v>1</v>
      </c>
    </row>
    <row r="203" spans="1:13" x14ac:dyDescent="0.2">
      <c r="A203">
        <v>580</v>
      </c>
      <c r="B203" t="s">
        <v>3533</v>
      </c>
      <c r="C203" t="s">
        <v>3534</v>
      </c>
      <c r="D203" t="s">
        <v>54</v>
      </c>
      <c r="E203" t="s">
        <v>3535</v>
      </c>
      <c r="F203" t="s">
        <v>3536</v>
      </c>
      <c r="G203" t="s">
        <v>3537</v>
      </c>
      <c r="H203" t="s">
        <v>2285</v>
      </c>
      <c r="I203" t="s">
        <v>24</v>
      </c>
      <c r="J203">
        <v>87</v>
      </c>
      <c r="K203">
        <v>581</v>
      </c>
      <c r="L203">
        <v>39</v>
      </c>
      <c r="M203">
        <f>COUNTIF(H203:$H$2581,H203)</f>
        <v>1</v>
      </c>
    </row>
    <row r="204" spans="1:13" x14ac:dyDescent="0.2">
      <c r="A204">
        <v>246</v>
      </c>
      <c r="B204" t="s">
        <v>1849</v>
      </c>
      <c r="C204" t="s">
        <v>3677</v>
      </c>
      <c r="D204" t="s">
        <v>33</v>
      </c>
      <c r="E204" t="s">
        <v>3678</v>
      </c>
      <c r="F204" t="s">
        <v>1852</v>
      </c>
      <c r="G204" t="s">
        <v>3679</v>
      </c>
      <c r="H204" t="s">
        <v>2330</v>
      </c>
      <c r="I204" t="b">
        <v>0</v>
      </c>
      <c r="J204">
        <v>41</v>
      </c>
      <c r="K204">
        <v>247</v>
      </c>
      <c r="L204">
        <v>22</v>
      </c>
      <c r="M204">
        <f>COUNTIF(H204:$H$2581,H204)</f>
        <v>1</v>
      </c>
    </row>
    <row r="205" spans="1:13" x14ac:dyDescent="0.2">
      <c r="A205">
        <v>1872</v>
      </c>
      <c r="B205" t="s">
        <v>749</v>
      </c>
      <c r="C205" t="s">
        <v>4530</v>
      </c>
      <c r="D205" t="s">
        <v>13</v>
      </c>
      <c r="E205" t="s">
        <v>4531</v>
      </c>
      <c r="F205" t="s">
        <v>752</v>
      </c>
      <c r="G205" t="s">
        <v>4532</v>
      </c>
      <c r="H205" t="s">
        <v>2420</v>
      </c>
      <c r="I205" t="s">
        <v>24</v>
      </c>
      <c r="J205">
        <v>218</v>
      </c>
      <c r="K205">
        <v>1873</v>
      </c>
      <c r="L205">
        <v>4</v>
      </c>
      <c r="M205">
        <f>COUNTIF(H205:$H$2581,H205)</f>
        <v>1</v>
      </c>
    </row>
    <row r="206" spans="1:13" x14ac:dyDescent="0.2">
      <c r="A206">
        <v>471</v>
      </c>
      <c r="B206" t="s">
        <v>928</v>
      </c>
      <c r="C206" t="s">
        <v>5319</v>
      </c>
      <c r="D206" t="s">
        <v>13</v>
      </c>
      <c r="E206" t="s">
        <v>5320</v>
      </c>
      <c r="F206" t="s">
        <v>931</v>
      </c>
      <c r="G206" t="s">
        <v>5321</v>
      </c>
      <c r="H206" t="s">
        <v>2424</v>
      </c>
      <c r="I206" t="b">
        <v>0</v>
      </c>
      <c r="J206">
        <v>67</v>
      </c>
      <c r="K206">
        <v>472</v>
      </c>
      <c r="L206">
        <v>24</v>
      </c>
      <c r="M206">
        <f>COUNTIF(H206:$H$2581,H206)</f>
        <v>1</v>
      </c>
    </row>
    <row r="207" spans="1:13" x14ac:dyDescent="0.2">
      <c r="A207">
        <v>837</v>
      </c>
      <c r="B207" t="s">
        <v>176</v>
      </c>
      <c r="C207" t="s">
        <v>5724</v>
      </c>
      <c r="D207" t="s">
        <v>54</v>
      </c>
      <c r="E207" t="s">
        <v>5725</v>
      </c>
      <c r="F207" t="s">
        <v>179</v>
      </c>
      <c r="G207" t="s">
        <v>5726</v>
      </c>
      <c r="H207" t="s">
        <v>2437</v>
      </c>
      <c r="I207" t="s">
        <v>24</v>
      </c>
      <c r="J207">
        <v>115</v>
      </c>
      <c r="K207">
        <v>838</v>
      </c>
      <c r="L207">
        <v>25</v>
      </c>
      <c r="M207">
        <f>COUNTIF(H207:$H$2581,H207)</f>
        <v>1</v>
      </c>
    </row>
    <row r="208" spans="1:13" x14ac:dyDescent="0.2">
      <c r="A208">
        <v>695</v>
      </c>
      <c r="B208" t="s">
        <v>1131</v>
      </c>
      <c r="C208" t="s">
        <v>5884</v>
      </c>
      <c r="D208" t="s">
        <v>13</v>
      </c>
      <c r="E208" t="s">
        <v>5885</v>
      </c>
      <c r="F208" s="1" t="s">
        <v>1134</v>
      </c>
      <c r="G208" t="s">
        <v>5886</v>
      </c>
      <c r="H208" t="s">
        <v>2443</v>
      </c>
      <c r="I208" t="b">
        <v>0</v>
      </c>
      <c r="J208">
        <v>102</v>
      </c>
      <c r="K208">
        <v>696</v>
      </c>
      <c r="L208">
        <v>124</v>
      </c>
      <c r="M208">
        <f>COUNTIF(H208:$H$2581,H208)</f>
        <v>1</v>
      </c>
    </row>
    <row r="209" spans="1:13" x14ac:dyDescent="0.2">
      <c r="A209">
        <v>1149</v>
      </c>
      <c r="B209" t="s">
        <v>957</v>
      </c>
      <c r="C209" t="s">
        <v>6564</v>
      </c>
      <c r="D209" t="s">
        <v>13</v>
      </c>
      <c r="E209" t="s">
        <v>6565</v>
      </c>
      <c r="F209" t="s">
        <v>960</v>
      </c>
      <c r="G209" t="s">
        <v>6566</v>
      </c>
      <c r="H209" t="s">
        <v>2447</v>
      </c>
      <c r="I209" t="s">
        <v>24</v>
      </c>
      <c r="J209">
        <v>140</v>
      </c>
      <c r="K209">
        <v>1150</v>
      </c>
      <c r="L209">
        <v>7</v>
      </c>
      <c r="M209">
        <f>COUNTIF(H209:$H$2581,H209)</f>
        <v>1</v>
      </c>
    </row>
    <row r="210" spans="1:13" x14ac:dyDescent="0.2">
      <c r="A210">
        <v>237</v>
      </c>
      <c r="B210" t="s">
        <v>1120</v>
      </c>
      <c r="C210" t="s">
        <v>7022</v>
      </c>
      <c r="D210" t="s">
        <v>13</v>
      </c>
      <c r="E210" t="s">
        <v>7023</v>
      </c>
      <c r="F210" s="1" t="s">
        <v>1123</v>
      </c>
      <c r="G210" t="s">
        <v>7024</v>
      </c>
      <c r="H210" t="s">
        <v>2453</v>
      </c>
      <c r="I210" t="b">
        <v>0</v>
      </c>
      <c r="J210">
        <v>40</v>
      </c>
      <c r="K210">
        <v>238</v>
      </c>
      <c r="L210">
        <v>14</v>
      </c>
      <c r="M210">
        <f>COUNTIF(H210:$H$2581,H210)</f>
        <v>1</v>
      </c>
    </row>
    <row r="211" spans="1:13" x14ac:dyDescent="0.2">
      <c r="A211">
        <v>586</v>
      </c>
      <c r="B211" t="s">
        <v>3533</v>
      </c>
      <c r="C211" t="s">
        <v>7757</v>
      </c>
      <c r="D211" t="s">
        <v>54</v>
      </c>
      <c r="E211" t="s">
        <v>7758</v>
      </c>
      <c r="F211" t="s">
        <v>3536</v>
      </c>
      <c r="G211" t="s">
        <v>7759</v>
      </c>
      <c r="H211" t="s">
        <v>2481</v>
      </c>
      <c r="I211" t="s">
        <v>24</v>
      </c>
      <c r="J211">
        <v>87</v>
      </c>
      <c r="K211">
        <v>587</v>
      </c>
      <c r="L211">
        <v>27</v>
      </c>
      <c r="M211">
        <f>COUNTIF(H211:$H$2581,H211)</f>
        <v>1</v>
      </c>
    </row>
    <row r="212" spans="1:13" x14ac:dyDescent="0.2">
      <c r="A212">
        <v>37</v>
      </c>
      <c r="B212" t="s">
        <v>2448</v>
      </c>
      <c r="C212" t="s">
        <v>8137</v>
      </c>
      <c r="D212" t="s">
        <v>13</v>
      </c>
      <c r="E212" t="s">
        <v>8138</v>
      </c>
      <c r="F212" t="s">
        <v>2451</v>
      </c>
      <c r="G212" t="s">
        <v>8139</v>
      </c>
      <c r="H212" t="s">
        <v>2484</v>
      </c>
      <c r="I212" t="s">
        <v>24</v>
      </c>
      <c r="J212">
        <v>6</v>
      </c>
      <c r="K212">
        <v>38</v>
      </c>
      <c r="L212">
        <v>30</v>
      </c>
      <c r="M212">
        <f>COUNTIF(H212:$H$2581,H212)</f>
        <v>1</v>
      </c>
    </row>
    <row r="213" spans="1:13" x14ac:dyDescent="0.2">
      <c r="A213">
        <v>38</v>
      </c>
      <c r="B213" t="s">
        <v>2448</v>
      </c>
      <c r="C213" t="s">
        <v>8704</v>
      </c>
      <c r="D213" t="s">
        <v>54</v>
      </c>
      <c r="E213" t="s">
        <v>8705</v>
      </c>
      <c r="F213" t="s">
        <v>2451</v>
      </c>
      <c r="G213" t="s">
        <v>8706</v>
      </c>
      <c r="H213" t="s">
        <v>2502</v>
      </c>
      <c r="I213" t="s">
        <v>24</v>
      </c>
      <c r="J213">
        <v>6</v>
      </c>
      <c r="K213">
        <v>39</v>
      </c>
      <c r="L213">
        <v>31</v>
      </c>
      <c r="M213">
        <f>COUNTIF(H213:$H$2581,H213)</f>
        <v>1</v>
      </c>
    </row>
    <row r="214" spans="1:13" x14ac:dyDescent="0.2">
      <c r="A214">
        <v>1088</v>
      </c>
      <c r="B214" t="s">
        <v>1075</v>
      </c>
      <c r="C214" t="s">
        <v>1889</v>
      </c>
      <c r="D214" t="s">
        <v>54</v>
      </c>
      <c r="E214" t="s">
        <v>1890</v>
      </c>
      <c r="F214" t="s">
        <v>1078</v>
      </c>
      <c r="G214" t="s">
        <v>1891</v>
      </c>
      <c r="H214" t="s">
        <v>2512</v>
      </c>
      <c r="I214" t="s">
        <v>24</v>
      </c>
      <c r="J214">
        <v>133</v>
      </c>
      <c r="K214">
        <v>1089</v>
      </c>
      <c r="L214">
        <v>10</v>
      </c>
      <c r="M214">
        <f>COUNTIF(H214:$H$2581,H214)</f>
        <v>1</v>
      </c>
    </row>
    <row r="215" spans="1:13" x14ac:dyDescent="0.2">
      <c r="A215">
        <v>663</v>
      </c>
      <c r="B215" t="s">
        <v>2053</v>
      </c>
      <c r="C215" t="s">
        <v>3538</v>
      </c>
      <c r="D215" t="s">
        <v>13</v>
      </c>
      <c r="E215" t="s">
        <v>3539</v>
      </c>
      <c r="F215" s="1" t="s">
        <v>2056</v>
      </c>
      <c r="G215" t="s">
        <v>3540</v>
      </c>
      <c r="H215" t="s">
        <v>2528</v>
      </c>
      <c r="I215" t="s">
        <v>24</v>
      </c>
      <c r="J215">
        <v>98</v>
      </c>
      <c r="K215">
        <v>664</v>
      </c>
      <c r="L215">
        <v>39</v>
      </c>
      <c r="M215">
        <f>COUNTIF(H215:$H$2581,H215)</f>
        <v>1</v>
      </c>
    </row>
    <row r="216" spans="1:13" x14ac:dyDescent="0.2">
      <c r="A216">
        <v>256</v>
      </c>
      <c r="B216" t="s">
        <v>1503</v>
      </c>
      <c r="C216" t="s">
        <v>3680</v>
      </c>
      <c r="D216" t="s">
        <v>33</v>
      </c>
      <c r="E216" t="s">
        <v>3681</v>
      </c>
      <c r="F216" t="s">
        <v>1506</v>
      </c>
      <c r="G216" t="s">
        <v>3682</v>
      </c>
      <c r="H216" t="s">
        <v>2535</v>
      </c>
      <c r="I216" t="b">
        <v>0</v>
      </c>
      <c r="J216">
        <v>42</v>
      </c>
      <c r="K216">
        <v>257</v>
      </c>
      <c r="L216">
        <v>22</v>
      </c>
      <c r="M216">
        <f>COUNTIF(H216:$H$2581,H216)</f>
        <v>1</v>
      </c>
    </row>
    <row r="217" spans="1:13" x14ac:dyDescent="0.2">
      <c r="A217">
        <v>1895</v>
      </c>
      <c r="B217" t="s">
        <v>1485</v>
      </c>
      <c r="C217" t="s">
        <v>4533</v>
      </c>
      <c r="D217" t="s">
        <v>54</v>
      </c>
      <c r="E217" t="s">
        <v>4534</v>
      </c>
      <c r="F217" t="s">
        <v>1488</v>
      </c>
      <c r="G217" t="s">
        <v>4535</v>
      </c>
      <c r="H217" t="s">
        <v>2542</v>
      </c>
      <c r="I217" t="b">
        <v>1</v>
      </c>
      <c r="J217">
        <v>220</v>
      </c>
      <c r="K217">
        <v>1896</v>
      </c>
      <c r="L217">
        <v>4</v>
      </c>
      <c r="M217">
        <f>COUNTIF(H217:$H$2581,H217)</f>
        <v>1</v>
      </c>
    </row>
    <row r="218" spans="1:13" x14ac:dyDescent="0.2">
      <c r="A218">
        <v>540</v>
      </c>
      <c r="B218" t="s">
        <v>188</v>
      </c>
      <c r="C218" t="s">
        <v>5322</v>
      </c>
      <c r="D218" t="s">
        <v>54</v>
      </c>
      <c r="E218" t="s">
        <v>5323</v>
      </c>
      <c r="F218" t="s">
        <v>191</v>
      </c>
      <c r="G218" t="s">
        <v>5324</v>
      </c>
      <c r="H218" t="s">
        <v>2546</v>
      </c>
      <c r="I218" t="b">
        <v>0</v>
      </c>
      <c r="J218">
        <v>80</v>
      </c>
      <c r="K218">
        <v>541</v>
      </c>
      <c r="L218">
        <v>24</v>
      </c>
      <c r="M218">
        <f>COUNTIF(H218:$H$2581,H218)</f>
        <v>1</v>
      </c>
    </row>
    <row r="219" spans="1:13" x14ac:dyDescent="0.2">
      <c r="A219">
        <v>923</v>
      </c>
      <c r="B219" t="s">
        <v>271</v>
      </c>
      <c r="C219" t="s">
        <v>5727</v>
      </c>
      <c r="D219" t="s">
        <v>54</v>
      </c>
      <c r="E219" t="s">
        <v>5728</v>
      </c>
      <c r="F219" t="s">
        <v>274</v>
      </c>
      <c r="G219" t="s">
        <v>5729</v>
      </c>
      <c r="H219" t="s">
        <v>2553</v>
      </c>
      <c r="I219" t="s">
        <v>24</v>
      </c>
      <c r="J219">
        <v>121</v>
      </c>
      <c r="K219">
        <v>924</v>
      </c>
      <c r="L219">
        <v>25</v>
      </c>
      <c r="M219">
        <f>COUNTIF(H219:$H$2581,H219)</f>
        <v>1</v>
      </c>
    </row>
    <row r="220" spans="1:13" x14ac:dyDescent="0.2">
      <c r="A220">
        <v>710</v>
      </c>
      <c r="B220" t="s">
        <v>730</v>
      </c>
      <c r="C220" t="s">
        <v>5887</v>
      </c>
      <c r="D220" t="s">
        <v>13</v>
      </c>
      <c r="E220" t="s">
        <v>5888</v>
      </c>
      <c r="F220" t="s">
        <v>733</v>
      </c>
      <c r="G220" t="s">
        <v>5889</v>
      </c>
      <c r="H220" t="s">
        <v>2557</v>
      </c>
      <c r="I220" t="s">
        <v>24</v>
      </c>
      <c r="J220">
        <v>103</v>
      </c>
      <c r="K220">
        <v>711</v>
      </c>
      <c r="L220">
        <v>124</v>
      </c>
      <c r="M220">
        <f>COUNTIF(H220:$H$2581,H220)</f>
        <v>1</v>
      </c>
    </row>
    <row r="221" spans="1:13" x14ac:dyDescent="0.2">
      <c r="A221">
        <v>1189</v>
      </c>
      <c r="B221" t="s">
        <v>1054</v>
      </c>
      <c r="C221" t="s">
        <v>6567</v>
      </c>
      <c r="D221" t="s">
        <v>33</v>
      </c>
      <c r="E221" t="s">
        <v>6568</v>
      </c>
      <c r="F221" t="s">
        <v>1057</v>
      </c>
      <c r="G221" t="s">
        <v>6569</v>
      </c>
      <c r="H221" t="s">
        <v>2570</v>
      </c>
      <c r="I221" t="s">
        <v>24</v>
      </c>
      <c r="J221">
        <v>145</v>
      </c>
      <c r="K221">
        <v>1190</v>
      </c>
      <c r="L221">
        <v>7</v>
      </c>
      <c r="M221">
        <f>COUNTIF(H221:$H$2581,H221)</f>
        <v>1</v>
      </c>
    </row>
    <row r="222" spans="1:13" x14ac:dyDescent="0.2">
      <c r="A222">
        <v>251</v>
      </c>
      <c r="B222" t="s">
        <v>1849</v>
      </c>
      <c r="C222" t="s">
        <v>7025</v>
      </c>
      <c r="D222" t="s">
        <v>33</v>
      </c>
      <c r="E222" t="s">
        <v>7026</v>
      </c>
      <c r="F222" t="s">
        <v>1852</v>
      </c>
      <c r="G222" t="s">
        <v>7027</v>
      </c>
      <c r="H222" t="s">
        <v>2574</v>
      </c>
      <c r="I222" t="b">
        <v>0</v>
      </c>
      <c r="J222">
        <v>41</v>
      </c>
      <c r="K222">
        <v>252</v>
      </c>
      <c r="L222">
        <v>14</v>
      </c>
      <c r="M222">
        <f>COUNTIF(H222:$H$2581,H222)</f>
        <v>1</v>
      </c>
    </row>
    <row r="223" spans="1:13" x14ac:dyDescent="0.2">
      <c r="A223">
        <v>868</v>
      </c>
      <c r="B223" t="s">
        <v>1091</v>
      </c>
      <c r="C223" t="s">
        <v>7760</v>
      </c>
      <c r="D223" t="s">
        <v>13</v>
      </c>
      <c r="E223" t="s">
        <v>7761</v>
      </c>
      <c r="F223" t="s">
        <v>1094</v>
      </c>
      <c r="G223" t="s">
        <v>7762</v>
      </c>
      <c r="H223" t="s">
        <v>2593</v>
      </c>
      <c r="I223" t="b">
        <v>1</v>
      </c>
      <c r="J223">
        <v>118</v>
      </c>
      <c r="K223">
        <v>869</v>
      </c>
      <c r="L223">
        <v>27</v>
      </c>
      <c r="M223">
        <f>COUNTIF(H223:$H$2581,H223)</f>
        <v>1</v>
      </c>
    </row>
    <row r="224" spans="1:13" x14ac:dyDescent="0.2">
      <c r="A224">
        <v>49</v>
      </c>
      <c r="B224" t="s">
        <v>2199</v>
      </c>
      <c r="C224" t="s">
        <v>8141</v>
      </c>
      <c r="D224" t="s">
        <v>54</v>
      </c>
      <c r="E224" t="s">
        <v>8142</v>
      </c>
      <c r="F224" t="s">
        <v>2202</v>
      </c>
      <c r="G224" t="s">
        <v>8143</v>
      </c>
      <c r="H224" t="s">
        <v>2597</v>
      </c>
      <c r="I224" t="s">
        <v>24</v>
      </c>
      <c r="J224">
        <v>7</v>
      </c>
      <c r="K224">
        <v>50</v>
      </c>
      <c r="L224">
        <v>30</v>
      </c>
      <c r="M224">
        <f>COUNTIF(H224:$H$2581,H224)</f>
        <v>1</v>
      </c>
    </row>
    <row r="225" spans="1:13" x14ac:dyDescent="0.2">
      <c r="A225">
        <v>57</v>
      </c>
      <c r="B225" t="s">
        <v>1357</v>
      </c>
      <c r="C225" t="s">
        <v>8708</v>
      </c>
      <c r="D225" t="s">
        <v>54</v>
      </c>
      <c r="E225" s="1" t="s">
        <v>8709</v>
      </c>
      <c r="F225" t="s">
        <v>1360</v>
      </c>
      <c r="G225" t="s">
        <v>8710</v>
      </c>
      <c r="H225" t="s">
        <v>2601</v>
      </c>
      <c r="I225" t="b">
        <v>0</v>
      </c>
      <c r="J225">
        <v>8</v>
      </c>
      <c r="K225">
        <v>58</v>
      </c>
      <c r="L225">
        <v>31</v>
      </c>
      <c r="M225">
        <f>COUNTIF(H225:$H$2581,H225)</f>
        <v>1</v>
      </c>
    </row>
    <row r="226" spans="1:13" x14ac:dyDescent="0.2">
      <c r="A226">
        <v>1114</v>
      </c>
      <c r="B226" t="s">
        <v>1892</v>
      </c>
      <c r="C226" t="s">
        <v>1893</v>
      </c>
      <c r="D226" t="s">
        <v>13</v>
      </c>
      <c r="E226" t="s">
        <v>1894</v>
      </c>
      <c r="F226" t="s">
        <v>1895</v>
      </c>
      <c r="G226" t="s">
        <v>1896</v>
      </c>
      <c r="H226" t="s">
        <v>2608</v>
      </c>
      <c r="I226" t="s">
        <v>24</v>
      </c>
      <c r="J226">
        <v>135</v>
      </c>
      <c r="K226">
        <v>1115</v>
      </c>
      <c r="L226">
        <v>10</v>
      </c>
      <c r="M226">
        <f>COUNTIF(H226:$H$2581,H226)</f>
        <v>1</v>
      </c>
    </row>
    <row r="227" spans="1:13" x14ac:dyDescent="0.2">
      <c r="A227">
        <v>726</v>
      </c>
      <c r="B227" t="s">
        <v>1349</v>
      </c>
      <c r="C227" t="s">
        <v>3541</v>
      </c>
      <c r="D227" t="s">
        <v>13</v>
      </c>
      <c r="E227" t="s">
        <v>3542</v>
      </c>
      <c r="F227" t="s">
        <v>1352</v>
      </c>
      <c r="G227" t="s">
        <v>3543</v>
      </c>
      <c r="H227" t="s">
        <v>2612</v>
      </c>
      <c r="I227" t="b">
        <v>1</v>
      </c>
      <c r="J227">
        <v>104</v>
      </c>
      <c r="K227">
        <v>727</v>
      </c>
      <c r="L227">
        <v>39</v>
      </c>
      <c r="M227">
        <f>COUNTIF(H227:$H$2581,H227)</f>
        <v>1</v>
      </c>
    </row>
    <row r="228" spans="1:13" x14ac:dyDescent="0.2">
      <c r="A228">
        <v>270</v>
      </c>
      <c r="B228" t="s">
        <v>1126</v>
      </c>
      <c r="C228" t="s">
        <v>3683</v>
      </c>
      <c r="D228" t="s">
        <v>33</v>
      </c>
      <c r="E228" t="s">
        <v>3684</v>
      </c>
      <c r="F228" t="s">
        <v>1129</v>
      </c>
      <c r="G228" t="s">
        <v>3685</v>
      </c>
      <c r="H228" t="s">
        <v>2634</v>
      </c>
      <c r="I228" t="b">
        <v>0</v>
      </c>
      <c r="J228">
        <v>43</v>
      </c>
      <c r="K228">
        <v>271</v>
      </c>
      <c r="L228">
        <v>22</v>
      </c>
      <c r="M228">
        <f>COUNTIF(H228:$H$2581,H228)</f>
        <v>1</v>
      </c>
    </row>
    <row r="229" spans="1:13" x14ac:dyDescent="0.2">
      <c r="A229">
        <v>1933</v>
      </c>
      <c r="B229" t="s">
        <v>439</v>
      </c>
      <c r="C229" t="s">
        <v>4536</v>
      </c>
      <c r="D229" t="s">
        <v>54</v>
      </c>
      <c r="E229" t="s">
        <v>4537</v>
      </c>
      <c r="F229" t="s">
        <v>442</v>
      </c>
      <c r="G229" t="s">
        <v>4538</v>
      </c>
      <c r="H229" t="s">
        <v>2638</v>
      </c>
      <c r="I229" t="b">
        <v>0</v>
      </c>
      <c r="J229">
        <v>224</v>
      </c>
      <c r="K229">
        <v>1934</v>
      </c>
      <c r="L229">
        <v>4</v>
      </c>
      <c r="M229">
        <f>COUNTIF(H229:$H$2581,H229)</f>
        <v>1</v>
      </c>
    </row>
    <row r="230" spans="1:13" x14ac:dyDescent="0.2">
      <c r="A230">
        <v>617</v>
      </c>
      <c r="B230" t="s">
        <v>1491</v>
      </c>
      <c r="C230" t="s">
        <v>5325</v>
      </c>
      <c r="D230" t="s">
        <v>54</v>
      </c>
      <c r="E230" t="s">
        <v>5326</v>
      </c>
      <c r="F230" t="s">
        <v>1494</v>
      </c>
      <c r="G230" t="s">
        <v>5327</v>
      </c>
      <c r="H230" t="s">
        <v>2642</v>
      </c>
      <c r="I230" t="b">
        <v>0</v>
      </c>
      <c r="J230">
        <v>91</v>
      </c>
      <c r="K230">
        <v>618</v>
      </c>
      <c r="L230">
        <v>24</v>
      </c>
      <c r="M230">
        <f>COUNTIF(H230:$H$2581,H230)</f>
        <v>1</v>
      </c>
    </row>
    <row r="231" spans="1:13" x14ac:dyDescent="0.2">
      <c r="A231">
        <v>973</v>
      </c>
      <c r="B231" t="s">
        <v>203</v>
      </c>
      <c r="C231" t="s">
        <v>5730</v>
      </c>
      <c r="D231" t="s">
        <v>54</v>
      </c>
      <c r="E231" t="s">
        <v>5731</v>
      </c>
      <c r="F231" t="s">
        <v>206</v>
      </c>
      <c r="G231" t="s">
        <v>5732</v>
      </c>
      <c r="H231" t="s">
        <v>2646</v>
      </c>
      <c r="I231" t="b">
        <v>1</v>
      </c>
      <c r="J231">
        <v>123</v>
      </c>
      <c r="K231">
        <v>974</v>
      </c>
      <c r="L231">
        <v>25</v>
      </c>
      <c r="M231">
        <f>COUNTIF(H231:$H$2581,H231)</f>
        <v>1</v>
      </c>
    </row>
    <row r="232" spans="1:13" x14ac:dyDescent="0.2">
      <c r="A232">
        <v>711</v>
      </c>
      <c r="B232" t="s">
        <v>730</v>
      </c>
      <c r="C232" t="s">
        <v>5890</v>
      </c>
      <c r="D232" t="s">
        <v>33</v>
      </c>
      <c r="E232" t="s">
        <v>5891</v>
      </c>
      <c r="F232" t="s">
        <v>733</v>
      </c>
      <c r="G232" t="s">
        <v>5892</v>
      </c>
      <c r="H232" t="s">
        <v>2650</v>
      </c>
      <c r="I232" t="s">
        <v>24</v>
      </c>
      <c r="J232">
        <v>103</v>
      </c>
      <c r="K232">
        <v>712</v>
      </c>
      <c r="L232">
        <v>124</v>
      </c>
      <c r="M232">
        <f>COUNTIF(H232:$H$2581,H232)</f>
        <v>1</v>
      </c>
    </row>
    <row r="233" spans="1:13" x14ac:dyDescent="0.2">
      <c r="A233">
        <v>1244</v>
      </c>
      <c r="B233" t="s">
        <v>1461</v>
      </c>
      <c r="C233" t="s">
        <v>6570</v>
      </c>
      <c r="D233" t="s">
        <v>33</v>
      </c>
      <c r="E233" t="s">
        <v>6571</v>
      </c>
      <c r="F233" t="s">
        <v>1464</v>
      </c>
      <c r="G233" t="s">
        <v>6572</v>
      </c>
      <c r="H233" t="s">
        <v>2656</v>
      </c>
      <c r="I233" t="b">
        <v>0</v>
      </c>
      <c r="J233">
        <v>152</v>
      </c>
      <c r="K233">
        <v>1245</v>
      </c>
      <c r="L233">
        <v>7</v>
      </c>
      <c r="M233">
        <f>COUNTIF(H233:$H$2581,H233)</f>
        <v>1</v>
      </c>
    </row>
    <row r="234" spans="1:13" x14ac:dyDescent="0.2">
      <c r="A234">
        <v>287</v>
      </c>
      <c r="B234" t="s">
        <v>2105</v>
      </c>
      <c r="C234" t="s">
        <v>7028</v>
      </c>
      <c r="D234" t="s">
        <v>54</v>
      </c>
      <c r="E234" t="s">
        <v>7029</v>
      </c>
      <c r="F234" t="s">
        <v>2108</v>
      </c>
      <c r="G234" t="s">
        <v>7030</v>
      </c>
      <c r="H234" t="s">
        <v>2660</v>
      </c>
      <c r="I234" t="s">
        <v>24</v>
      </c>
      <c r="J234">
        <v>44</v>
      </c>
      <c r="K234">
        <v>288</v>
      </c>
      <c r="L234">
        <v>14</v>
      </c>
      <c r="M234">
        <f>COUNTIF(H234:$H$2581,H234)</f>
        <v>1</v>
      </c>
    </row>
    <row r="235" spans="1:13" x14ac:dyDescent="0.2">
      <c r="A235">
        <v>1035</v>
      </c>
      <c r="B235" t="s">
        <v>1215</v>
      </c>
      <c r="C235" t="s">
        <v>7763</v>
      </c>
      <c r="D235" t="s">
        <v>13</v>
      </c>
      <c r="E235" t="s">
        <v>7764</v>
      </c>
      <c r="F235" t="s">
        <v>1218</v>
      </c>
      <c r="G235" t="s">
        <v>7765</v>
      </c>
      <c r="H235" t="s">
        <v>6</v>
      </c>
      <c r="I235" t="b">
        <v>1</v>
      </c>
      <c r="J235">
        <v>129</v>
      </c>
      <c r="K235">
        <v>1036</v>
      </c>
      <c r="L235">
        <v>27</v>
      </c>
      <c r="M235">
        <f>COUNTIF(H235:$H$2581,H235)</f>
        <v>1</v>
      </c>
    </row>
    <row r="236" spans="1:13" x14ac:dyDescent="0.2">
      <c r="A236">
        <v>241</v>
      </c>
      <c r="B236" t="s">
        <v>1120</v>
      </c>
      <c r="C236" t="s">
        <v>8144</v>
      </c>
      <c r="D236" t="s">
        <v>33</v>
      </c>
      <c r="E236" t="s">
        <v>8145</v>
      </c>
      <c r="F236" s="1" t="s">
        <v>1123</v>
      </c>
      <c r="G236" t="s">
        <v>8146</v>
      </c>
      <c r="H236" t="s">
        <v>2670</v>
      </c>
      <c r="I236" t="b">
        <v>0</v>
      </c>
      <c r="J236">
        <v>40</v>
      </c>
      <c r="K236">
        <v>242</v>
      </c>
      <c r="L236">
        <v>30</v>
      </c>
      <c r="M236">
        <f>COUNTIF(H236:$H$2581,H236)</f>
        <v>1</v>
      </c>
    </row>
    <row r="237" spans="1:13" x14ac:dyDescent="0.2">
      <c r="A237">
        <v>244</v>
      </c>
      <c r="B237" t="s">
        <v>1120</v>
      </c>
      <c r="C237" t="s">
        <v>8711</v>
      </c>
      <c r="D237" t="s">
        <v>54</v>
      </c>
      <c r="E237" t="s">
        <v>8712</v>
      </c>
      <c r="F237" s="1" t="s">
        <v>1123</v>
      </c>
      <c r="G237" t="s">
        <v>8713</v>
      </c>
      <c r="H237" t="s">
        <v>2674</v>
      </c>
      <c r="I237" t="b">
        <v>0</v>
      </c>
      <c r="J237">
        <v>40</v>
      </c>
      <c r="K237">
        <v>245</v>
      </c>
      <c r="L237">
        <v>31</v>
      </c>
      <c r="M237">
        <f>COUNTIF(H237:$H$2581,H237)</f>
        <v>1</v>
      </c>
    </row>
    <row r="238" spans="1:13" x14ac:dyDescent="0.2">
      <c r="A238">
        <v>1181</v>
      </c>
      <c r="B238" t="s">
        <v>1054</v>
      </c>
      <c r="C238" t="s">
        <v>1897</v>
      </c>
      <c r="D238" t="s">
        <v>13</v>
      </c>
      <c r="E238" t="s">
        <v>1898</v>
      </c>
      <c r="F238" t="s">
        <v>1057</v>
      </c>
      <c r="G238" t="s">
        <v>1899</v>
      </c>
      <c r="H238" t="s">
        <v>2680</v>
      </c>
      <c r="I238" t="s">
        <v>24</v>
      </c>
      <c r="J238">
        <v>145</v>
      </c>
      <c r="K238">
        <v>1182</v>
      </c>
      <c r="L238">
        <v>10</v>
      </c>
      <c r="M238">
        <f>COUNTIF(H238:$H$2581,H238)</f>
        <v>1</v>
      </c>
    </row>
    <row r="239" spans="1:13" x14ac:dyDescent="0.2">
      <c r="A239">
        <v>727</v>
      </c>
      <c r="B239" t="s">
        <v>1349</v>
      </c>
      <c r="C239" t="s">
        <v>3544</v>
      </c>
      <c r="D239" t="s">
        <v>13</v>
      </c>
      <c r="E239" t="s">
        <v>3545</v>
      </c>
      <c r="F239" t="s">
        <v>1352</v>
      </c>
      <c r="G239" t="s">
        <v>3546</v>
      </c>
      <c r="H239" t="s">
        <v>2684</v>
      </c>
      <c r="I239" t="b">
        <v>1</v>
      </c>
      <c r="J239">
        <v>104</v>
      </c>
      <c r="K239">
        <v>728</v>
      </c>
      <c r="L239">
        <v>39</v>
      </c>
      <c r="M239">
        <f>COUNTIF(H239:$H$2581,H239)</f>
        <v>1</v>
      </c>
    </row>
    <row r="240" spans="1:13" x14ac:dyDescent="0.2">
      <c r="A240">
        <v>342</v>
      </c>
      <c r="B240" t="s">
        <v>455</v>
      </c>
      <c r="C240" t="s">
        <v>3686</v>
      </c>
      <c r="D240" t="s">
        <v>13</v>
      </c>
      <c r="E240" t="s">
        <v>3687</v>
      </c>
      <c r="F240" t="s">
        <v>458</v>
      </c>
      <c r="G240" t="s">
        <v>3688</v>
      </c>
      <c r="H240" t="s">
        <v>2688</v>
      </c>
      <c r="I240" t="b">
        <v>0</v>
      </c>
      <c r="J240">
        <v>49</v>
      </c>
      <c r="K240">
        <v>343</v>
      </c>
      <c r="L240">
        <v>22</v>
      </c>
      <c r="M240">
        <f>COUNTIF(H240:$H$2581,H240)</f>
        <v>1</v>
      </c>
    </row>
    <row r="241" spans="1:13" x14ac:dyDescent="0.2">
      <c r="A241">
        <v>1934</v>
      </c>
      <c r="B241" t="s">
        <v>439</v>
      </c>
      <c r="C241" t="s">
        <v>4539</v>
      </c>
      <c r="D241" t="s">
        <v>33</v>
      </c>
      <c r="E241" s="1" t="s">
        <v>4540</v>
      </c>
      <c r="F241" t="s">
        <v>442</v>
      </c>
      <c r="G241" t="s">
        <v>4541</v>
      </c>
      <c r="H241" t="s">
        <v>2695</v>
      </c>
      <c r="I241" t="b">
        <v>0</v>
      </c>
      <c r="J241">
        <v>224</v>
      </c>
      <c r="K241">
        <v>1935</v>
      </c>
      <c r="L241">
        <v>4</v>
      </c>
      <c r="M241">
        <f>COUNTIF(H241:$H$2581,H241)</f>
        <v>1</v>
      </c>
    </row>
    <row r="242" spans="1:13" x14ac:dyDescent="0.2">
      <c r="A242">
        <v>618</v>
      </c>
      <c r="B242" t="s">
        <v>1491</v>
      </c>
      <c r="C242" t="s">
        <v>5328</v>
      </c>
      <c r="D242" t="s">
        <v>33</v>
      </c>
      <c r="E242" t="s">
        <v>5329</v>
      </c>
      <c r="F242" t="s">
        <v>1494</v>
      </c>
      <c r="G242" t="s">
        <v>5330</v>
      </c>
      <c r="H242" t="s">
        <v>2699</v>
      </c>
      <c r="I242" t="b">
        <v>0</v>
      </c>
      <c r="J242">
        <v>91</v>
      </c>
      <c r="K242">
        <v>619</v>
      </c>
      <c r="L242">
        <v>24</v>
      </c>
      <c r="M242">
        <f>COUNTIF(H242:$H$2581,H242)</f>
        <v>1</v>
      </c>
    </row>
    <row r="243" spans="1:13" x14ac:dyDescent="0.2">
      <c r="A243">
        <v>1032</v>
      </c>
      <c r="B243" t="s">
        <v>1215</v>
      </c>
      <c r="C243" t="s">
        <v>5733</v>
      </c>
      <c r="D243" t="s">
        <v>13</v>
      </c>
      <c r="E243" t="s">
        <v>5734</v>
      </c>
      <c r="F243" t="s">
        <v>1218</v>
      </c>
      <c r="G243" t="s">
        <v>5735</v>
      </c>
      <c r="H243" t="s">
        <v>2706</v>
      </c>
      <c r="I243" t="b">
        <v>1</v>
      </c>
      <c r="J243">
        <v>129</v>
      </c>
      <c r="K243">
        <v>1033</v>
      </c>
      <c r="L243">
        <v>25</v>
      </c>
      <c r="M243">
        <f>COUNTIF(H243:$H$2581,H243)</f>
        <v>1</v>
      </c>
    </row>
    <row r="244" spans="1:13" x14ac:dyDescent="0.2">
      <c r="A244">
        <v>744</v>
      </c>
      <c r="B244" t="s">
        <v>1450</v>
      </c>
      <c r="C244" t="s">
        <v>5893</v>
      </c>
      <c r="D244" t="s">
        <v>33</v>
      </c>
      <c r="E244" t="s">
        <v>5894</v>
      </c>
      <c r="F244" s="1" t="s">
        <v>1453</v>
      </c>
      <c r="G244" t="s">
        <v>5895</v>
      </c>
      <c r="H244" t="s">
        <v>2713</v>
      </c>
      <c r="I244" t="b">
        <v>0</v>
      </c>
      <c r="J244">
        <v>105</v>
      </c>
      <c r="K244">
        <v>745</v>
      </c>
      <c r="L244">
        <v>124</v>
      </c>
      <c r="M244">
        <f>COUNTIF(H244:$H$2581,H244)</f>
        <v>1</v>
      </c>
    </row>
    <row r="245" spans="1:13" x14ac:dyDescent="0.2">
      <c r="A245">
        <v>1257</v>
      </c>
      <c r="B245" t="s">
        <v>3822</v>
      </c>
      <c r="C245" t="s">
        <v>6573</v>
      </c>
      <c r="D245" t="s">
        <v>13</v>
      </c>
      <c r="E245" t="s">
        <v>6574</v>
      </c>
      <c r="F245" t="s">
        <v>3825</v>
      </c>
      <c r="G245" t="s">
        <v>6575</v>
      </c>
      <c r="H245" t="s">
        <v>2717</v>
      </c>
      <c r="I245" t="s">
        <v>24</v>
      </c>
      <c r="J245">
        <v>155</v>
      </c>
      <c r="K245">
        <v>1258</v>
      </c>
      <c r="L245">
        <v>7</v>
      </c>
      <c r="M245">
        <f>COUNTIF(H245:$H$2581,H245)</f>
        <v>1</v>
      </c>
    </row>
    <row r="246" spans="1:13" x14ac:dyDescent="0.2">
      <c r="A246">
        <v>351</v>
      </c>
      <c r="B246" t="s">
        <v>455</v>
      </c>
      <c r="C246" t="s">
        <v>7031</v>
      </c>
      <c r="D246" t="s">
        <v>13</v>
      </c>
      <c r="E246" t="s">
        <v>7032</v>
      </c>
      <c r="F246" t="s">
        <v>458</v>
      </c>
      <c r="G246" t="s">
        <v>7033</v>
      </c>
      <c r="H246" t="s">
        <v>2736</v>
      </c>
      <c r="I246" t="b">
        <v>0</v>
      </c>
      <c r="J246">
        <v>49</v>
      </c>
      <c r="K246">
        <v>352</v>
      </c>
      <c r="L246">
        <v>14</v>
      </c>
      <c r="M246">
        <f>COUNTIF(H246:$H$2581,H246)</f>
        <v>1</v>
      </c>
    </row>
    <row r="247" spans="1:13" x14ac:dyDescent="0.2">
      <c r="A247">
        <v>1068</v>
      </c>
      <c r="B247" t="s">
        <v>1884</v>
      </c>
      <c r="C247" t="s">
        <v>7766</v>
      </c>
      <c r="D247" t="s">
        <v>13</v>
      </c>
      <c r="E247" t="s">
        <v>7767</v>
      </c>
      <c r="F247" t="s">
        <v>1887</v>
      </c>
      <c r="G247" t="s">
        <v>7768</v>
      </c>
      <c r="H247" t="s">
        <v>2740</v>
      </c>
      <c r="I247" t="s">
        <v>24</v>
      </c>
      <c r="J247">
        <v>131</v>
      </c>
      <c r="K247">
        <v>1069</v>
      </c>
      <c r="L247">
        <v>27</v>
      </c>
      <c r="M247">
        <f>COUNTIF(H247:$H$2581,H247)</f>
        <v>1</v>
      </c>
    </row>
    <row r="248" spans="1:13" x14ac:dyDescent="0.2">
      <c r="A248">
        <v>365</v>
      </c>
      <c r="B248" t="s">
        <v>975</v>
      </c>
      <c r="C248" t="s">
        <v>8147</v>
      </c>
      <c r="D248" t="s">
        <v>33</v>
      </c>
      <c r="E248" t="s">
        <v>8148</v>
      </c>
      <c r="F248" s="1" t="s">
        <v>978</v>
      </c>
      <c r="G248" t="s">
        <v>8149</v>
      </c>
      <c r="H248" t="s">
        <v>2744</v>
      </c>
      <c r="I248" t="b">
        <v>1</v>
      </c>
      <c r="J248">
        <v>50</v>
      </c>
      <c r="K248">
        <v>366</v>
      </c>
      <c r="L248">
        <v>30</v>
      </c>
      <c r="M248">
        <f>COUNTIF(H248:$H$2581,H248)</f>
        <v>1</v>
      </c>
    </row>
    <row r="249" spans="1:13" x14ac:dyDescent="0.2">
      <c r="A249">
        <v>369</v>
      </c>
      <c r="B249" t="s">
        <v>975</v>
      </c>
      <c r="C249" t="s">
        <v>8714</v>
      </c>
      <c r="D249" t="s">
        <v>13</v>
      </c>
      <c r="E249" t="s">
        <v>8715</v>
      </c>
      <c r="F249" s="1" t="s">
        <v>978</v>
      </c>
      <c r="G249" t="s">
        <v>8716</v>
      </c>
      <c r="H249" t="s">
        <v>2751</v>
      </c>
      <c r="I249" t="b">
        <v>1</v>
      </c>
      <c r="J249">
        <v>50</v>
      </c>
      <c r="K249">
        <v>370</v>
      </c>
      <c r="L249">
        <v>31</v>
      </c>
      <c r="M249">
        <f>COUNTIF(H249:$H$2581,H249)</f>
        <v>1</v>
      </c>
    </row>
    <row r="250" spans="1:13" x14ac:dyDescent="0.2">
      <c r="A250">
        <v>1201</v>
      </c>
      <c r="B250" t="s">
        <v>1509</v>
      </c>
      <c r="C250" t="s">
        <v>1900</v>
      </c>
      <c r="D250" t="s">
        <v>54</v>
      </c>
      <c r="E250" t="s">
        <v>1901</v>
      </c>
      <c r="F250" t="s">
        <v>1512</v>
      </c>
      <c r="G250" t="s">
        <v>1902</v>
      </c>
      <c r="H250" t="s">
        <v>2755</v>
      </c>
      <c r="I250" t="b">
        <v>1</v>
      </c>
      <c r="J250">
        <v>147</v>
      </c>
      <c r="K250">
        <v>1202</v>
      </c>
      <c r="L250">
        <v>10</v>
      </c>
      <c r="M250">
        <f>COUNTIF(H250:$H$2581,H250)</f>
        <v>1</v>
      </c>
    </row>
    <row r="251" spans="1:13" x14ac:dyDescent="0.2">
      <c r="A251">
        <v>769</v>
      </c>
      <c r="B251" t="s">
        <v>368</v>
      </c>
      <c r="C251" t="s">
        <v>3547</v>
      </c>
      <c r="D251" t="s">
        <v>13</v>
      </c>
      <c r="E251" t="s">
        <v>3548</v>
      </c>
      <c r="F251" t="s">
        <v>371</v>
      </c>
      <c r="G251" t="s">
        <v>3549</v>
      </c>
      <c r="H251" t="s">
        <v>2759</v>
      </c>
      <c r="I251" t="s">
        <v>24</v>
      </c>
      <c r="J251">
        <v>109</v>
      </c>
      <c r="K251">
        <v>770</v>
      </c>
      <c r="L251">
        <v>39</v>
      </c>
      <c r="M251">
        <f>COUNTIF(H251:$H$2581,H251)</f>
        <v>1</v>
      </c>
    </row>
    <row r="252" spans="1:13" x14ac:dyDescent="0.2">
      <c r="A252">
        <v>418</v>
      </c>
      <c r="B252" t="s">
        <v>3258</v>
      </c>
      <c r="C252" t="s">
        <v>3689</v>
      </c>
      <c r="D252" t="s">
        <v>13</v>
      </c>
      <c r="E252" t="s">
        <v>3690</v>
      </c>
      <c r="F252" t="s">
        <v>3261</v>
      </c>
      <c r="G252" t="s">
        <v>3691</v>
      </c>
      <c r="H252" t="s">
        <v>2763</v>
      </c>
      <c r="I252" t="b">
        <v>0</v>
      </c>
      <c r="J252">
        <v>61</v>
      </c>
      <c r="K252">
        <v>419</v>
      </c>
      <c r="L252">
        <v>22</v>
      </c>
      <c r="M252">
        <f>COUNTIF(H252:$H$2581,H252)</f>
        <v>1</v>
      </c>
    </row>
    <row r="253" spans="1:13" x14ac:dyDescent="0.2">
      <c r="A253">
        <v>1957</v>
      </c>
      <c r="B253" t="s">
        <v>1472</v>
      </c>
      <c r="C253" t="s">
        <v>4542</v>
      </c>
      <c r="D253" t="s">
        <v>13</v>
      </c>
      <c r="E253" t="s">
        <v>4543</v>
      </c>
      <c r="F253" t="s">
        <v>1475</v>
      </c>
      <c r="G253" t="s">
        <v>4544</v>
      </c>
      <c r="H253" t="s">
        <v>2767</v>
      </c>
      <c r="I253" t="b">
        <v>0</v>
      </c>
      <c r="J253">
        <v>225</v>
      </c>
      <c r="K253">
        <v>1958</v>
      </c>
      <c r="L253">
        <v>4</v>
      </c>
      <c r="M253">
        <f>COUNTIF(H253:$H$2581,H253)</f>
        <v>1</v>
      </c>
    </row>
    <row r="254" spans="1:13" x14ac:dyDescent="0.2">
      <c r="A254">
        <v>708</v>
      </c>
      <c r="B254" t="s">
        <v>730</v>
      </c>
      <c r="C254" t="s">
        <v>5331</v>
      </c>
      <c r="D254" t="s">
        <v>13</v>
      </c>
      <c r="E254" t="s">
        <v>5332</v>
      </c>
      <c r="F254" t="s">
        <v>733</v>
      </c>
      <c r="G254" t="s">
        <v>5333</v>
      </c>
      <c r="H254" t="s">
        <v>2771</v>
      </c>
      <c r="I254" t="s">
        <v>24</v>
      </c>
      <c r="J254">
        <v>103</v>
      </c>
      <c r="K254">
        <v>709</v>
      </c>
      <c r="L254">
        <v>24</v>
      </c>
      <c r="M254">
        <f>COUNTIF(H254:$H$2581,H254)</f>
        <v>1</v>
      </c>
    </row>
    <row r="255" spans="1:13" x14ac:dyDescent="0.2">
      <c r="A255">
        <v>1043</v>
      </c>
      <c r="B255" t="s">
        <v>1456</v>
      </c>
      <c r="C255" t="s">
        <v>5736</v>
      </c>
      <c r="D255" t="s">
        <v>13</v>
      </c>
      <c r="E255" t="s">
        <v>5737</v>
      </c>
      <c r="F255" t="s">
        <v>1459</v>
      </c>
      <c r="G255" t="s">
        <v>5738</v>
      </c>
      <c r="H255" t="s">
        <v>2778</v>
      </c>
      <c r="I255" t="s">
        <v>24</v>
      </c>
      <c r="J255">
        <v>130</v>
      </c>
      <c r="K255">
        <v>1044</v>
      </c>
      <c r="L255">
        <v>25</v>
      </c>
      <c r="M255">
        <f>COUNTIF(H255:$H$2581,H255)</f>
        <v>1</v>
      </c>
    </row>
    <row r="256" spans="1:13" x14ac:dyDescent="0.2">
      <c r="A256">
        <v>838</v>
      </c>
      <c r="B256" t="s">
        <v>176</v>
      </c>
      <c r="C256" t="s">
        <v>5896</v>
      </c>
      <c r="D256" t="s">
        <v>13</v>
      </c>
      <c r="E256" t="s">
        <v>5897</v>
      </c>
      <c r="F256" t="s">
        <v>179</v>
      </c>
      <c r="G256" t="s">
        <v>5898</v>
      </c>
      <c r="H256" t="s">
        <v>2782</v>
      </c>
      <c r="I256" t="s">
        <v>24</v>
      </c>
      <c r="J256">
        <v>115</v>
      </c>
      <c r="K256">
        <v>839</v>
      </c>
      <c r="L256">
        <v>124</v>
      </c>
      <c r="M256">
        <f>COUNTIF(H256:$H$2581,H256)</f>
        <v>1</v>
      </c>
    </row>
    <row r="257" spans="1:13" x14ac:dyDescent="0.2">
      <c r="A257">
        <v>1270</v>
      </c>
      <c r="B257" t="s">
        <v>1085</v>
      </c>
      <c r="C257" t="s">
        <v>6576</v>
      </c>
      <c r="D257" t="s">
        <v>13</v>
      </c>
      <c r="E257" t="s">
        <v>6577</v>
      </c>
      <c r="F257" t="s">
        <v>1088</v>
      </c>
      <c r="G257" t="s">
        <v>6578</v>
      </c>
      <c r="H257" t="s">
        <v>2786</v>
      </c>
      <c r="I257" t="s">
        <v>24</v>
      </c>
      <c r="J257">
        <v>156</v>
      </c>
      <c r="K257">
        <v>1271</v>
      </c>
      <c r="L257">
        <v>7</v>
      </c>
      <c r="M257">
        <f>COUNTIF(H257:$H$2581,H257)</f>
        <v>1</v>
      </c>
    </row>
    <row r="258" spans="1:13" x14ac:dyDescent="0.2">
      <c r="A258">
        <v>364</v>
      </c>
      <c r="B258" t="s">
        <v>975</v>
      </c>
      <c r="C258" t="s">
        <v>7034</v>
      </c>
      <c r="D258" t="s">
        <v>13</v>
      </c>
      <c r="E258" t="s">
        <v>7035</v>
      </c>
      <c r="F258" s="1" t="s">
        <v>978</v>
      </c>
      <c r="G258" t="s">
        <v>7036</v>
      </c>
      <c r="H258" t="s">
        <v>2790</v>
      </c>
      <c r="I258" t="b">
        <v>1</v>
      </c>
      <c r="J258">
        <v>50</v>
      </c>
      <c r="K258">
        <v>365</v>
      </c>
      <c r="L258">
        <v>14</v>
      </c>
      <c r="M258">
        <f>COUNTIF(H258:$H$2581,H258)</f>
        <v>1</v>
      </c>
    </row>
    <row r="259" spans="1:13" x14ac:dyDescent="0.2">
      <c r="A259">
        <v>1069</v>
      </c>
      <c r="B259" t="s">
        <v>1884</v>
      </c>
      <c r="C259" t="s">
        <v>7769</v>
      </c>
      <c r="D259" t="s">
        <v>13</v>
      </c>
      <c r="E259" t="s">
        <v>7770</v>
      </c>
      <c r="F259" t="s">
        <v>1887</v>
      </c>
      <c r="G259" t="s">
        <v>7771</v>
      </c>
      <c r="H259" t="s">
        <v>2808</v>
      </c>
      <c r="I259" t="s">
        <v>24</v>
      </c>
      <c r="J259">
        <v>131</v>
      </c>
      <c r="K259">
        <v>1070</v>
      </c>
      <c r="L259">
        <v>27</v>
      </c>
      <c r="M259">
        <f>COUNTIF(H259:$H$2581,H259)</f>
        <v>1</v>
      </c>
    </row>
    <row r="260" spans="1:13" x14ac:dyDescent="0.2">
      <c r="A260">
        <v>492</v>
      </c>
      <c r="B260" t="s">
        <v>182</v>
      </c>
      <c r="C260" t="s">
        <v>8150</v>
      </c>
      <c r="D260" t="s">
        <v>13</v>
      </c>
      <c r="E260" t="s">
        <v>8151</v>
      </c>
      <c r="F260" t="s">
        <v>185</v>
      </c>
      <c r="G260" t="s">
        <v>8152</v>
      </c>
      <c r="H260" t="s">
        <v>2860</v>
      </c>
      <c r="I260" t="b">
        <v>1</v>
      </c>
      <c r="J260">
        <v>69</v>
      </c>
      <c r="K260">
        <v>493</v>
      </c>
      <c r="L260">
        <v>30</v>
      </c>
      <c r="M260">
        <f>COUNTIF(H260:$H$2581,H260)</f>
        <v>1</v>
      </c>
    </row>
    <row r="261" spans="1:13" x14ac:dyDescent="0.2">
      <c r="A261">
        <v>383</v>
      </c>
      <c r="B261" t="s">
        <v>1659</v>
      </c>
      <c r="C261" t="s">
        <v>8717</v>
      </c>
      <c r="D261" t="s">
        <v>54</v>
      </c>
      <c r="E261" t="s">
        <v>8718</v>
      </c>
      <c r="F261" t="s">
        <v>1662</v>
      </c>
      <c r="G261" t="s">
        <v>8719</v>
      </c>
      <c r="H261" t="s">
        <v>2878</v>
      </c>
      <c r="I261" t="b">
        <v>0</v>
      </c>
      <c r="J261">
        <v>52</v>
      </c>
      <c r="K261">
        <v>384</v>
      </c>
      <c r="L261">
        <v>31</v>
      </c>
      <c r="M261">
        <f>COUNTIF(H261:$H$2581,H261)</f>
        <v>1</v>
      </c>
    </row>
    <row r="262" spans="1:13" x14ac:dyDescent="0.2">
      <c r="A262">
        <v>2215</v>
      </c>
      <c r="B262" t="s">
        <v>165</v>
      </c>
      <c r="C262" t="s">
        <v>166</v>
      </c>
      <c r="D262" t="s">
        <v>54</v>
      </c>
      <c r="E262" t="s">
        <v>167</v>
      </c>
      <c r="F262" t="s">
        <v>168</v>
      </c>
      <c r="G262" t="s">
        <v>169</v>
      </c>
      <c r="H262" t="s">
        <v>2887</v>
      </c>
      <c r="I262" t="s">
        <v>24</v>
      </c>
      <c r="J262">
        <v>261</v>
      </c>
      <c r="K262">
        <v>2216</v>
      </c>
      <c r="L262">
        <v>45</v>
      </c>
      <c r="M262">
        <f>COUNTIF(H262:$H$2581,H262)</f>
        <v>1</v>
      </c>
    </row>
    <row r="263" spans="1:13" x14ac:dyDescent="0.2">
      <c r="A263">
        <v>1233</v>
      </c>
      <c r="B263" t="s">
        <v>1461</v>
      </c>
      <c r="C263" t="s">
        <v>1903</v>
      </c>
      <c r="D263" t="s">
        <v>33</v>
      </c>
      <c r="E263" t="s">
        <v>1904</v>
      </c>
      <c r="F263" t="s">
        <v>1464</v>
      </c>
      <c r="G263" t="s">
        <v>1905</v>
      </c>
      <c r="H263" t="s">
        <v>2891</v>
      </c>
      <c r="I263" t="b">
        <v>0</v>
      </c>
      <c r="J263">
        <v>152</v>
      </c>
      <c r="K263">
        <v>1234</v>
      </c>
      <c r="L263">
        <v>10</v>
      </c>
      <c r="M263">
        <f>COUNTIF(H263:$H$2581,H263)</f>
        <v>1</v>
      </c>
    </row>
    <row r="264" spans="1:13" x14ac:dyDescent="0.2">
      <c r="A264">
        <v>782</v>
      </c>
      <c r="B264" t="s">
        <v>373</v>
      </c>
      <c r="C264" t="s">
        <v>3550</v>
      </c>
      <c r="D264" t="s">
        <v>13</v>
      </c>
      <c r="E264" t="s">
        <v>3551</v>
      </c>
      <c r="F264" s="1" t="s">
        <v>376</v>
      </c>
      <c r="G264" t="s">
        <v>3552</v>
      </c>
      <c r="H264" t="s">
        <v>2895</v>
      </c>
      <c r="I264" t="s">
        <v>24</v>
      </c>
      <c r="J264">
        <v>111</v>
      </c>
      <c r="K264">
        <v>783</v>
      </c>
      <c r="L264">
        <v>39</v>
      </c>
      <c r="M264">
        <f>COUNTIF(H264:$H$2581,H264)</f>
        <v>1</v>
      </c>
    </row>
    <row r="265" spans="1:13" x14ac:dyDescent="0.2">
      <c r="A265">
        <v>485</v>
      </c>
      <c r="B265" t="s">
        <v>182</v>
      </c>
      <c r="C265" t="s">
        <v>3692</v>
      </c>
      <c r="D265" t="s">
        <v>13</v>
      </c>
      <c r="E265" t="s">
        <v>3693</v>
      </c>
      <c r="F265" t="s">
        <v>185</v>
      </c>
      <c r="G265" t="s">
        <v>3694</v>
      </c>
      <c r="H265" t="s">
        <v>2907</v>
      </c>
      <c r="I265" t="b">
        <v>1</v>
      </c>
      <c r="J265">
        <v>69</v>
      </c>
      <c r="K265">
        <v>486</v>
      </c>
      <c r="L265">
        <v>22</v>
      </c>
      <c r="M265">
        <f>COUNTIF(H265:$H$2581,H265)</f>
        <v>1</v>
      </c>
    </row>
    <row r="266" spans="1:13" x14ac:dyDescent="0.2">
      <c r="A266">
        <v>1974</v>
      </c>
      <c r="B266" t="s">
        <v>608</v>
      </c>
      <c r="C266" t="s">
        <v>4545</v>
      </c>
      <c r="D266" t="s">
        <v>13</v>
      </c>
      <c r="E266" t="s">
        <v>4546</v>
      </c>
      <c r="F266" t="s">
        <v>611</v>
      </c>
      <c r="G266" t="s">
        <v>4547</v>
      </c>
      <c r="H266" t="s">
        <v>2911</v>
      </c>
      <c r="I266" t="b">
        <v>1</v>
      </c>
      <c r="J266">
        <v>227</v>
      </c>
      <c r="K266">
        <v>1975</v>
      </c>
      <c r="L266">
        <v>4</v>
      </c>
      <c r="M266">
        <f>COUNTIF(H266:$H$2581,H266)</f>
        <v>1</v>
      </c>
    </row>
    <row r="267" spans="1:13" x14ac:dyDescent="0.2">
      <c r="A267">
        <v>735</v>
      </c>
      <c r="B267" t="s">
        <v>1349</v>
      </c>
      <c r="C267" t="s">
        <v>5334</v>
      </c>
      <c r="D267" t="s">
        <v>54</v>
      </c>
      <c r="E267" t="s">
        <v>5335</v>
      </c>
      <c r="F267" t="s">
        <v>1352</v>
      </c>
      <c r="G267" t="s">
        <v>5336</v>
      </c>
      <c r="H267" t="s">
        <v>2927</v>
      </c>
      <c r="I267" t="b">
        <v>1</v>
      </c>
      <c r="J267">
        <v>104</v>
      </c>
      <c r="K267">
        <v>736</v>
      </c>
      <c r="L267">
        <v>24</v>
      </c>
      <c r="M267">
        <f>COUNTIF(H267:$H$2581,H267)</f>
        <v>1</v>
      </c>
    </row>
    <row r="268" spans="1:13" x14ac:dyDescent="0.2">
      <c r="A268">
        <v>1062</v>
      </c>
      <c r="B268" t="s">
        <v>1884</v>
      </c>
      <c r="C268" t="s">
        <v>5739</v>
      </c>
      <c r="D268" t="s">
        <v>13</v>
      </c>
      <c r="E268" t="s">
        <v>5740</v>
      </c>
      <c r="F268" t="s">
        <v>1887</v>
      </c>
      <c r="G268" t="s">
        <v>5741</v>
      </c>
      <c r="H268" t="s">
        <v>2931</v>
      </c>
      <c r="I268" t="s">
        <v>24</v>
      </c>
      <c r="J268">
        <v>131</v>
      </c>
      <c r="K268">
        <v>1063</v>
      </c>
      <c r="L268">
        <v>25</v>
      </c>
      <c r="M268">
        <f>COUNTIF(H268:$H$2581,H268)</f>
        <v>1</v>
      </c>
    </row>
    <row r="269" spans="1:13" x14ac:dyDescent="0.2">
      <c r="A269">
        <v>936</v>
      </c>
      <c r="B269" t="s">
        <v>498</v>
      </c>
      <c r="C269" t="s">
        <v>5899</v>
      </c>
      <c r="D269" t="s">
        <v>54</v>
      </c>
      <c r="E269" t="s">
        <v>5900</v>
      </c>
      <c r="F269" t="s">
        <v>501</v>
      </c>
      <c r="G269" t="s">
        <v>5901</v>
      </c>
      <c r="H269" t="s">
        <v>2935</v>
      </c>
      <c r="I269" t="b">
        <v>0</v>
      </c>
      <c r="J269">
        <v>122</v>
      </c>
      <c r="K269">
        <v>937</v>
      </c>
      <c r="L269">
        <v>124</v>
      </c>
      <c r="M269">
        <f>COUNTIF(H269:$H$2581,H269)</f>
        <v>1</v>
      </c>
    </row>
    <row r="270" spans="1:13" x14ac:dyDescent="0.2">
      <c r="A270">
        <v>10</v>
      </c>
      <c r="B270" t="s">
        <v>303</v>
      </c>
      <c r="C270" t="s">
        <v>6245</v>
      </c>
      <c r="D270" t="s">
        <v>54</v>
      </c>
      <c r="E270" t="s">
        <v>6246</v>
      </c>
      <c r="F270" t="s">
        <v>306</v>
      </c>
      <c r="G270" t="s">
        <v>6247</v>
      </c>
      <c r="H270" t="s">
        <v>2939</v>
      </c>
      <c r="I270" t="s">
        <v>24</v>
      </c>
      <c r="J270">
        <v>3</v>
      </c>
      <c r="K270">
        <v>11</v>
      </c>
      <c r="L270">
        <v>9</v>
      </c>
      <c r="M270">
        <f>COUNTIF(H270:$H$2581,H270)</f>
        <v>1</v>
      </c>
    </row>
    <row r="271" spans="1:13" x14ac:dyDescent="0.2">
      <c r="A271">
        <v>1294</v>
      </c>
      <c r="B271" t="s">
        <v>1679</v>
      </c>
      <c r="C271" t="s">
        <v>6579</v>
      </c>
      <c r="D271" t="s">
        <v>13</v>
      </c>
      <c r="E271" t="s">
        <v>6580</v>
      </c>
      <c r="F271" t="s">
        <v>1682</v>
      </c>
      <c r="G271" t="s">
        <v>6581</v>
      </c>
      <c r="H271" t="s">
        <v>2943</v>
      </c>
      <c r="I271" t="b">
        <v>1</v>
      </c>
      <c r="J271">
        <v>159</v>
      </c>
      <c r="K271">
        <v>1295</v>
      </c>
      <c r="L271">
        <v>7</v>
      </c>
      <c r="M271">
        <f>COUNTIF(H271:$H$2581,H271)</f>
        <v>1</v>
      </c>
    </row>
    <row r="272" spans="1:13" x14ac:dyDescent="0.2">
      <c r="A272">
        <v>398</v>
      </c>
      <c r="B272" t="s">
        <v>1568</v>
      </c>
      <c r="C272" t="s">
        <v>7037</v>
      </c>
      <c r="D272" t="s">
        <v>13</v>
      </c>
      <c r="E272" t="s">
        <v>7038</v>
      </c>
      <c r="F272" t="s">
        <v>1571</v>
      </c>
      <c r="G272" t="s">
        <v>7039</v>
      </c>
      <c r="H272" t="s">
        <v>2980</v>
      </c>
      <c r="I272" t="s">
        <v>24</v>
      </c>
      <c r="J272">
        <v>55</v>
      </c>
      <c r="K272">
        <v>399</v>
      </c>
      <c r="L272">
        <v>14</v>
      </c>
      <c r="M272">
        <f>COUNTIF(H272:$H$2581,H272)</f>
        <v>1</v>
      </c>
    </row>
    <row r="273" spans="1:13" x14ac:dyDescent="0.2">
      <c r="A273">
        <v>1083</v>
      </c>
      <c r="B273" t="s">
        <v>2230</v>
      </c>
      <c r="C273" t="s">
        <v>7772</v>
      </c>
      <c r="D273" t="s">
        <v>54</v>
      </c>
      <c r="E273" t="s">
        <v>7773</v>
      </c>
      <c r="F273" t="s">
        <v>2233</v>
      </c>
      <c r="G273" t="s">
        <v>7774</v>
      </c>
      <c r="H273" t="s">
        <v>2984</v>
      </c>
      <c r="I273" t="s">
        <v>24</v>
      </c>
      <c r="J273">
        <v>132</v>
      </c>
      <c r="K273">
        <v>1084</v>
      </c>
      <c r="L273">
        <v>27</v>
      </c>
      <c r="M273">
        <f>COUNTIF(H273:$H$2581,H273)</f>
        <v>1</v>
      </c>
    </row>
    <row r="274" spans="1:13" x14ac:dyDescent="0.2">
      <c r="A274">
        <v>629</v>
      </c>
      <c r="B274" t="s">
        <v>1491</v>
      </c>
      <c r="C274" t="s">
        <v>8153</v>
      </c>
      <c r="D274" t="s">
        <v>54</v>
      </c>
      <c r="E274" t="s">
        <v>8154</v>
      </c>
      <c r="F274" t="s">
        <v>1494</v>
      </c>
      <c r="G274" t="s">
        <v>8155</v>
      </c>
      <c r="H274" t="s">
        <v>2988</v>
      </c>
      <c r="I274" t="b">
        <v>0</v>
      </c>
      <c r="J274">
        <v>91</v>
      </c>
      <c r="K274">
        <v>630</v>
      </c>
      <c r="L274">
        <v>30</v>
      </c>
      <c r="M274">
        <f>COUNTIF(H274:$H$2581,H274)</f>
        <v>1</v>
      </c>
    </row>
    <row r="275" spans="1:13" x14ac:dyDescent="0.2">
      <c r="A275">
        <v>423</v>
      </c>
      <c r="B275" t="s">
        <v>3258</v>
      </c>
      <c r="C275" t="s">
        <v>8720</v>
      </c>
      <c r="D275" t="s">
        <v>33</v>
      </c>
      <c r="E275" t="s">
        <v>8721</v>
      </c>
      <c r="F275" t="s">
        <v>3261</v>
      </c>
      <c r="G275" t="s">
        <v>8722</v>
      </c>
      <c r="H275" t="s">
        <v>2995</v>
      </c>
      <c r="I275" t="b">
        <v>0</v>
      </c>
      <c r="J275">
        <v>61</v>
      </c>
      <c r="K275">
        <v>424</v>
      </c>
      <c r="L275">
        <v>31</v>
      </c>
      <c r="M275">
        <f>COUNTIF(H275:$H$2581,H275)</f>
        <v>1</v>
      </c>
    </row>
    <row r="276" spans="1:13" x14ac:dyDescent="0.2">
      <c r="A276">
        <v>2152</v>
      </c>
      <c r="B276" t="s">
        <v>160</v>
      </c>
      <c r="C276" t="s">
        <v>161</v>
      </c>
      <c r="D276" t="s">
        <v>13</v>
      </c>
      <c r="E276" t="s">
        <v>162</v>
      </c>
      <c r="F276" t="s">
        <v>163</v>
      </c>
      <c r="G276" t="s">
        <v>164</v>
      </c>
      <c r="H276" t="s">
        <v>3002</v>
      </c>
      <c r="I276" t="b">
        <v>0</v>
      </c>
      <c r="J276">
        <v>251</v>
      </c>
      <c r="K276">
        <v>2153</v>
      </c>
      <c r="L276">
        <v>45</v>
      </c>
      <c r="M276">
        <f>COUNTIF(H276:$H$2581,H276)</f>
        <v>1</v>
      </c>
    </row>
    <row r="277" spans="1:13" x14ac:dyDescent="0.2">
      <c r="A277">
        <v>1266</v>
      </c>
      <c r="B277" t="s">
        <v>1085</v>
      </c>
      <c r="C277" t="s">
        <v>1906</v>
      </c>
      <c r="D277" t="s">
        <v>13</v>
      </c>
      <c r="E277" t="s">
        <v>1907</v>
      </c>
      <c r="F277" t="s">
        <v>1088</v>
      </c>
      <c r="G277" t="s">
        <v>1908</v>
      </c>
      <c r="H277" t="s">
        <v>3015</v>
      </c>
      <c r="I277" t="s">
        <v>24</v>
      </c>
      <c r="J277">
        <v>156</v>
      </c>
      <c r="K277">
        <v>1267</v>
      </c>
      <c r="L277">
        <v>10</v>
      </c>
      <c r="M277">
        <f>COUNTIF(H277:$H$2581,H277)</f>
        <v>1</v>
      </c>
    </row>
    <row r="278" spans="1:13" x14ac:dyDescent="0.2">
      <c r="A278">
        <v>277</v>
      </c>
      <c r="B278" t="s">
        <v>2105</v>
      </c>
      <c r="C278" t="s">
        <v>2327</v>
      </c>
      <c r="D278" t="s">
        <v>54</v>
      </c>
      <c r="E278" t="s">
        <v>2328</v>
      </c>
      <c r="F278" t="s">
        <v>2108</v>
      </c>
      <c r="G278" t="s">
        <v>2329</v>
      </c>
      <c r="H278" t="s">
        <v>3025</v>
      </c>
      <c r="I278" t="s">
        <v>24</v>
      </c>
      <c r="J278">
        <v>44</v>
      </c>
      <c r="K278">
        <v>278</v>
      </c>
      <c r="L278">
        <v>121</v>
      </c>
      <c r="M278">
        <f>COUNTIF(H278:$H$2581,H278)</f>
        <v>1</v>
      </c>
    </row>
    <row r="279" spans="1:13" x14ac:dyDescent="0.2">
      <c r="A279">
        <v>795</v>
      </c>
      <c r="B279" t="s">
        <v>116</v>
      </c>
      <c r="C279" t="s">
        <v>3223</v>
      </c>
      <c r="D279" t="s">
        <v>54</v>
      </c>
      <c r="E279" t="s">
        <v>3553</v>
      </c>
      <c r="F279" t="s">
        <v>119</v>
      </c>
      <c r="G279" t="s">
        <v>3554</v>
      </c>
      <c r="H279" t="s">
        <v>3028</v>
      </c>
      <c r="I279" t="s">
        <v>24</v>
      </c>
      <c r="J279">
        <v>112</v>
      </c>
      <c r="K279">
        <v>796</v>
      </c>
      <c r="L279">
        <v>39</v>
      </c>
      <c r="M279">
        <f>COUNTIF(H279:$H$2581,H279)</f>
        <v>1</v>
      </c>
    </row>
    <row r="280" spans="1:13" x14ac:dyDescent="0.2">
      <c r="A280">
        <v>514</v>
      </c>
      <c r="B280" t="s">
        <v>486</v>
      </c>
      <c r="C280" t="s">
        <v>3695</v>
      </c>
      <c r="D280" t="s">
        <v>33</v>
      </c>
      <c r="E280" s="1" t="s">
        <v>3696</v>
      </c>
      <c r="F280" t="s">
        <v>489</v>
      </c>
      <c r="G280" t="s">
        <v>3697</v>
      </c>
      <c r="H280" t="s">
        <v>3034</v>
      </c>
      <c r="I280" t="b">
        <v>0</v>
      </c>
      <c r="J280">
        <v>74</v>
      </c>
      <c r="K280">
        <v>515</v>
      </c>
      <c r="L280">
        <v>22</v>
      </c>
      <c r="M280">
        <f>COUNTIF(H280:$H$2581,H280)</f>
        <v>1</v>
      </c>
    </row>
    <row r="281" spans="1:13" x14ac:dyDescent="0.2">
      <c r="A281">
        <v>1978</v>
      </c>
      <c r="B281" t="s">
        <v>1621</v>
      </c>
      <c r="C281" t="s">
        <v>4548</v>
      </c>
      <c r="D281" t="s">
        <v>13</v>
      </c>
      <c r="E281" t="s">
        <v>4549</v>
      </c>
      <c r="F281" t="s">
        <v>1624</v>
      </c>
      <c r="G281" t="s">
        <v>4550</v>
      </c>
      <c r="H281" t="s">
        <v>3040</v>
      </c>
      <c r="I281" t="s">
        <v>24</v>
      </c>
      <c r="J281">
        <v>228</v>
      </c>
      <c r="K281">
        <v>1979</v>
      </c>
      <c r="L281">
        <v>4</v>
      </c>
      <c r="M281">
        <f>COUNTIF(H281:$H$2581,H281)</f>
        <v>1</v>
      </c>
    </row>
    <row r="282" spans="1:13" x14ac:dyDescent="0.2">
      <c r="A282">
        <v>878</v>
      </c>
      <c r="B282" t="s">
        <v>1192</v>
      </c>
      <c r="C282" t="s">
        <v>5337</v>
      </c>
      <c r="D282" t="s">
        <v>54</v>
      </c>
      <c r="E282" t="s">
        <v>5338</v>
      </c>
      <c r="F282" t="s">
        <v>1195</v>
      </c>
      <c r="G282" t="s">
        <v>5339</v>
      </c>
      <c r="H282" t="s">
        <v>3049</v>
      </c>
      <c r="I282" t="s">
        <v>24</v>
      </c>
      <c r="J282">
        <v>119</v>
      </c>
      <c r="K282">
        <v>879</v>
      </c>
      <c r="L282">
        <v>24</v>
      </c>
      <c r="M282">
        <f>COUNTIF(H282:$H$2581,H282)</f>
        <v>1</v>
      </c>
    </row>
    <row r="283" spans="1:13" x14ac:dyDescent="0.2">
      <c r="A283">
        <v>16</v>
      </c>
      <c r="B283" t="s">
        <v>1840</v>
      </c>
      <c r="C283" t="s">
        <v>5472</v>
      </c>
      <c r="D283" t="s">
        <v>13</v>
      </c>
      <c r="E283" t="s">
        <v>5473</v>
      </c>
      <c r="F283" t="s">
        <v>1843</v>
      </c>
      <c r="G283" t="s">
        <v>5474</v>
      </c>
      <c r="H283" t="s">
        <v>3053</v>
      </c>
      <c r="I283" t="s">
        <v>24</v>
      </c>
      <c r="J283">
        <v>4</v>
      </c>
      <c r="K283">
        <v>17</v>
      </c>
      <c r="L283">
        <v>13</v>
      </c>
      <c r="M283">
        <f>COUNTIF(H283:$H$2581,H283)</f>
        <v>1</v>
      </c>
    </row>
    <row r="284" spans="1:13" x14ac:dyDescent="0.2">
      <c r="A284">
        <v>1063</v>
      </c>
      <c r="B284" t="s">
        <v>1884</v>
      </c>
      <c r="C284" t="s">
        <v>5742</v>
      </c>
      <c r="D284" t="s">
        <v>13</v>
      </c>
      <c r="E284" t="s">
        <v>5743</v>
      </c>
      <c r="F284" t="s">
        <v>1887</v>
      </c>
      <c r="G284" t="s">
        <v>5744</v>
      </c>
      <c r="H284" t="s">
        <v>3059</v>
      </c>
      <c r="I284" t="s">
        <v>24</v>
      </c>
      <c r="J284">
        <v>131</v>
      </c>
      <c r="K284">
        <v>1064</v>
      </c>
      <c r="L284">
        <v>25</v>
      </c>
      <c r="M284">
        <f>COUNTIF(H284:$H$2581,H284)</f>
        <v>1</v>
      </c>
    </row>
    <row r="285" spans="1:13" x14ac:dyDescent="0.2">
      <c r="A285">
        <v>937</v>
      </c>
      <c r="B285" t="s">
        <v>498</v>
      </c>
      <c r="C285" t="s">
        <v>5899</v>
      </c>
      <c r="D285" t="s">
        <v>54</v>
      </c>
      <c r="E285" t="s">
        <v>5902</v>
      </c>
      <c r="F285" t="s">
        <v>501</v>
      </c>
      <c r="G285" t="s">
        <v>5903</v>
      </c>
      <c r="H285" t="s">
        <v>3063</v>
      </c>
      <c r="I285" t="b">
        <v>0</v>
      </c>
      <c r="J285">
        <v>122</v>
      </c>
      <c r="K285">
        <v>938</v>
      </c>
      <c r="L285">
        <v>124</v>
      </c>
      <c r="M285">
        <f>COUNTIF(H285:$H$2581,H285)</f>
        <v>1</v>
      </c>
    </row>
    <row r="286" spans="1:13" x14ac:dyDescent="0.2">
      <c r="A286">
        <v>67</v>
      </c>
      <c r="B286" t="s">
        <v>25</v>
      </c>
      <c r="C286" t="s">
        <v>6249</v>
      </c>
      <c r="D286" t="s">
        <v>54</v>
      </c>
      <c r="E286" s="1" t="s">
        <v>6250</v>
      </c>
      <c r="F286" t="s">
        <v>28</v>
      </c>
      <c r="G286" t="s">
        <v>6251</v>
      </c>
      <c r="H286" t="s">
        <v>3067</v>
      </c>
      <c r="I286" t="b">
        <v>1</v>
      </c>
      <c r="J286">
        <v>11</v>
      </c>
      <c r="K286">
        <v>68</v>
      </c>
      <c r="L286">
        <v>9</v>
      </c>
      <c r="M286">
        <f>COUNTIF(H286:$H$2581,H286)</f>
        <v>1</v>
      </c>
    </row>
    <row r="287" spans="1:13" x14ac:dyDescent="0.2">
      <c r="A287">
        <v>1308</v>
      </c>
      <c r="B287" t="s">
        <v>277</v>
      </c>
      <c r="C287" t="s">
        <v>6582</v>
      </c>
      <c r="D287" t="s">
        <v>54</v>
      </c>
      <c r="E287" t="s">
        <v>6583</v>
      </c>
      <c r="F287" t="s">
        <v>280</v>
      </c>
      <c r="G287" t="s">
        <v>6584</v>
      </c>
      <c r="H287" t="s">
        <v>3074</v>
      </c>
      <c r="I287" t="s">
        <v>24</v>
      </c>
      <c r="J287">
        <v>160</v>
      </c>
      <c r="K287">
        <v>1309</v>
      </c>
      <c r="L287">
        <v>7</v>
      </c>
      <c r="M287">
        <f>COUNTIF(H287:$H$2581,H287)</f>
        <v>1</v>
      </c>
    </row>
    <row r="288" spans="1:13" x14ac:dyDescent="0.2">
      <c r="A288">
        <v>475</v>
      </c>
      <c r="B288" t="s">
        <v>928</v>
      </c>
      <c r="C288" t="s">
        <v>7040</v>
      </c>
      <c r="D288" t="s">
        <v>54</v>
      </c>
      <c r="E288" t="s">
        <v>7041</v>
      </c>
      <c r="F288" t="s">
        <v>931</v>
      </c>
      <c r="G288" t="s">
        <v>7042</v>
      </c>
      <c r="H288" t="s">
        <v>3078</v>
      </c>
      <c r="I288" t="b">
        <v>0</v>
      </c>
      <c r="J288">
        <v>67</v>
      </c>
      <c r="K288">
        <v>476</v>
      </c>
      <c r="L288">
        <v>14</v>
      </c>
      <c r="M288">
        <f>COUNTIF(H288:$H$2581,H288)</f>
        <v>1</v>
      </c>
    </row>
    <row r="289" spans="1:13" x14ac:dyDescent="0.2">
      <c r="A289">
        <v>1098</v>
      </c>
      <c r="B289" t="s">
        <v>1075</v>
      </c>
      <c r="C289" t="s">
        <v>7775</v>
      </c>
      <c r="D289" t="s">
        <v>54</v>
      </c>
      <c r="E289" t="s">
        <v>7776</v>
      </c>
      <c r="F289" t="s">
        <v>1078</v>
      </c>
      <c r="G289" t="s">
        <v>7777</v>
      </c>
      <c r="H289" t="s">
        <v>3082</v>
      </c>
      <c r="I289" t="s">
        <v>24</v>
      </c>
      <c r="J289">
        <v>133</v>
      </c>
      <c r="K289">
        <v>1099</v>
      </c>
      <c r="L289">
        <v>27</v>
      </c>
      <c r="M289">
        <f>COUNTIF(H289:$H$2581,H289)</f>
        <v>1</v>
      </c>
    </row>
    <row r="290" spans="1:13" x14ac:dyDescent="0.2">
      <c r="A290">
        <v>646</v>
      </c>
      <c r="B290" t="s">
        <v>237</v>
      </c>
      <c r="C290" t="s">
        <v>8156</v>
      </c>
      <c r="D290" t="s">
        <v>13</v>
      </c>
      <c r="E290" t="s">
        <v>8157</v>
      </c>
      <c r="F290" t="s">
        <v>240</v>
      </c>
      <c r="G290" t="s">
        <v>8158</v>
      </c>
      <c r="H290" t="s">
        <v>3088</v>
      </c>
      <c r="I290" t="b">
        <v>1</v>
      </c>
      <c r="J290">
        <v>92</v>
      </c>
      <c r="K290">
        <v>647</v>
      </c>
      <c r="L290">
        <v>30</v>
      </c>
      <c r="M290">
        <f>COUNTIF(H290:$H$2581,H290)</f>
        <v>1</v>
      </c>
    </row>
    <row r="291" spans="1:13" x14ac:dyDescent="0.2">
      <c r="A291">
        <v>517</v>
      </c>
      <c r="B291" t="s">
        <v>486</v>
      </c>
      <c r="C291" t="s">
        <v>8723</v>
      </c>
      <c r="D291" t="s">
        <v>33</v>
      </c>
      <c r="E291" t="s">
        <v>8724</v>
      </c>
      <c r="F291" t="s">
        <v>489</v>
      </c>
      <c r="G291" t="s">
        <v>8725</v>
      </c>
      <c r="H291" t="s">
        <v>3103</v>
      </c>
      <c r="I291" t="b">
        <v>0</v>
      </c>
      <c r="J291">
        <v>74</v>
      </c>
      <c r="K291">
        <v>518</v>
      </c>
      <c r="L291">
        <v>31</v>
      </c>
      <c r="M291">
        <f>COUNTIF(H291:$H$2581,H291)</f>
        <v>1</v>
      </c>
    </row>
    <row r="292" spans="1:13" x14ac:dyDescent="0.2">
      <c r="A292">
        <v>2145</v>
      </c>
      <c r="B292" t="s">
        <v>157</v>
      </c>
      <c r="C292" t="s">
        <v>89</v>
      </c>
      <c r="D292" t="s">
        <v>54</v>
      </c>
      <c r="E292" t="s">
        <v>158</v>
      </c>
      <c r="F292" t="s">
        <v>159</v>
      </c>
      <c r="G292" t="s">
        <v>92</v>
      </c>
      <c r="H292" t="s">
        <v>3107</v>
      </c>
      <c r="I292" t="s">
        <v>24</v>
      </c>
      <c r="J292">
        <v>250</v>
      </c>
      <c r="K292">
        <v>2146</v>
      </c>
      <c r="L292">
        <v>45</v>
      </c>
      <c r="M292">
        <f>COUNTIF(H292:$H$2581,H292)</f>
        <v>1</v>
      </c>
    </row>
    <row r="293" spans="1:13" x14ac:dyDescent="0.2">
      <c r="A293">
        <v>1282</v>
      </c>
      <c r="B293" t="s">
        <v>1221</v>
      </c>
      <c r="C293" t="s">
        <v>1909</v>
      </c>
      <c r="D293" t="s">
        <v>13</v>
      </c>
      <c r="E293" t="s">
        <v>1910</v>
      </c>
      <c r="F293" t="s">
        <v>1224</v>
      </c>
      <c r="G293" t="s">
        <v>1911</v>
      </c>
      <c r="H293" t="s">
        <v>3111</v>
      </c>
      <c r="I293" t="b">
        <v>1</v>
      </c>
      <c r="J293">
        <v>158</v>
      </c>
      <c r="K293">
        <v>1283</v>
      </c>
      <c r="L293">
        <v>10</v>
      </c>
      <c r="M293">
        <f>COUNTIF(H293:$H$2581,H293)</f>
        <v>1</v>
      </c>
    </row>
    <row r="294" spans="1:13" x14ac:dyDescent="0.2">
      <c r="A294">
        <v>338</v>
      </c>
      <c r="B294" t="s">
        <v>455</v>
      </c>
      <c r="C294" t="s">
        <v>2331</v>
      </c>
      <c r="D294" t="s">
        <v>13</v>
      </c>
      <c r="E294" t="s">
        <v>2332</v>
      </c>
      <c r="F294" t="s">
        <v>458</v>
      </c>
      <c r="G294" t="s">
        <v>2333</v>
      </c>
      <c r="H294" t="s">
        <v>3114</v>
      </c>
      <c r="I294" t="b">
        <v>0</v>
      </c>
      <c r="J294">
        <v>49</v>
      </c>
      <c r="K294">
        <v>339</v>
      </c>
      <c r="L294">
        <v>121</v>
      </c>
      <c r="M294">
        <f>COUNTIF(H294:$H$2581,H294)</f>
        <v>1</v>
      </c>
    </row>
    <row r="295" spans="1:13" x14ac:dyDescent="0.2">
      <c r="A295">
        <v>816</v>
      </c>
      <c r="B295" t="s">
        <v>594</v>
      </c>
      <c r="C295" t="s">
        <v>3555</v>
      </c>
      <c r="D295" t="s">
        <v>54</v>
      </c>
      <c r="E295" t="s">
        <v>3556</v>
      </c>
      <c r="F295" t="s">
        <v>597</v>
      </c>
      <c r="G295" t="s">
        <v>3557</v>
      </c>
      <c r="H295" t="s">
        <v>3118</v>
      </c>
      <c r="I295" t="b">
        <v>1</v>
      </c>
      <c r="J295">
        <v>114</v>
      </c>
      <c r="K295">
        <v>817</v>
      </c>
      <c r="L295">
        <v>39</v>
      </c>
      <c r="M295">
        <f>COUNTIF(H295:$H$2581,H295)</f>
        <v>1</v>
      </c>
    </row>
    <row r="296" spans="1:13" x14ac:dyDescent="0.2">
      <c r="A296">
        <v>612</v>
      </c>
      <c r="B296" t="s">
        <v>1491</v>
      </c>
      <c r="C296" t="s">
        <v>3698</v>
      </c>
      <c r="D296" t="s">
        <v>33</v>
      </c>
      <c r="E296" t="s">
        <v>3699</v>
      </c>
      <c r="F296" t="s">
        <v>1494</v>
      </c>
      <c r="G296" t="s">
        <v>3700</v>
      </c>
      <c r="H296" t="s">
        <v>3125</v>
      </c>
      <c r="I296" t="b">
        <v>0</v>
      </c>
      <c r="J296">
        <v>91</v>
      </c>
      <c r="K296">
        <v>613</v>
      </c>
      <c r="L296">
        <v>22</v>
      </c>
      <c r="M296">
        <f>COUNTIF(H296:$H$2581,H296)</f>
        <v>1</v>
      </c>
    </row>
    <row r="297" spans="1:13" x14ac:dyDescent="0.2">
      <c r="A297">
        <v>1989</v>
      </c>
      <c r="B297" t="s">
        <v>1793</v>
      </c>
      <c r="C297" t="s">
        <v>4551</v>
      </c>
      <c r="D297" t="s">
        <v>13</v>
      </c>
      <c r="E297" t="s">
        <v>4552</v>
      </c>
      <c r="F297" t="s">
        <v>1796</v>
      </c>
      <c r="G297" t="s">
        <v>4553</v>
      </c>
      <c r="H297" t="s">
        <v>3129</v>
      </c>
      <c r="I297" t="b">
        <v>1</v>
      </c>
      <c r="J297">
        <v>230</v>
      </c>
      <c r="K297">
        <v>1990</v>
      </c>
      <c r="L297">
        <v>4</v>
      </c>
      <c r="M297">
        <f>COUNTIF(H297:$H$2581,H297)</f>
        <v>1</v>
      </c>
    </row>
    <row r="298" spans="1:13" x14ac:dyDescent="0.2">
      <c r="A298">
        <v>897</v>
      </c>
      <c r="B298" t="s">
        <v>198</v>
      </c>
      <c r="C298" t="s">
        <v>5340</v>
      </c>
      <c r="D298" t="s">
        <v>54</v>
      </c>
      <c r="E298" t="s">
        <v>5341</v>
      </c>
      <c r="F298" t="s">
        <v>201</v>
      </c>
      <c r="G298" t="s">
        <v>5342</v>
      </c>
      <c r="H298" t="s">
        <v>3133</v>
      </c>
      <c r="I298" t="b">
        <v>0</v>
      </c>
      <c r="J298">
        <v>120</v>
      </c>
      <c r="K298">
        <v>898</v>
      </c>
      <c r="L298">
        <v>24</v>
      </c>
      <c r="M298">
        <f>COUNTIF(H298:$H$2581,H298)</f>
        <v>1</v>
      </c>
    </row>
    <row r="299" spans="1:13" x14ac:dyDescent="0.2">
      <c r="A299">
        <v>44</v>
      </c>
      <c r="B299" t="s">
        <v>2199</v>
      </c>
      <c r="C299" t="s">
        <v>5476</v>
      </c>
      <c r="D299" t="s">
        <v>13</v>
      </c>
      <c r="E299" t="s">
        <v>5477</v>
      </c>
      <c r="F299" t="s">
        <v>2202</v>
      </c>
      <c r="G299" t="s">
        <v>5478</v>
      </c>
      <c r="H299" t="s">
        <v>3137</v>
      </c>
      <c r="I299" t="s">
        <v>24</v>
      </c>
      <c r="J299">
        <v>7</v>
      </c>
      <c r="K299">
        <v>45</v>
      </c>
      <c r="L299">
        <v>13</v>
      </c>
      <c r="M299">
        <f>COUNTIF(H299:$H$2581,H299)</f>
        <v>1</v>
      </c>
    </row>
    <row r="300" spans="1:13" x14ac:dyDescent="0.2">
      <c r="A300">
        <v>66</v>
      </c>
      <c r="B300" t="s">
        <v>25</v>
      </c>
      <c r="C300" t="s">
        <v>5560</v>
      </c>
      <c r="D300" t="s">
        <v>13</v>
      </c>
      <c r="E300" t="s">
        <v>5561</v>
      </c>
      <c r="F300" t="s">
        <v>28</v>
      </c>
      <c r="G300" t="s">
        <v>5562</v>
      </c>
      <c r="H300" t="s">
        <v>3141</v>
      </c>
      <c r="I300" t="b">
        <v>1</v>
      </c>
      <c r="J300">
        <v>11</v>
      </c>
      <c r="K300">
        <v>67</v>
      </c>
      <c r="L300">
        <v>50</v>
      </c>
      <c r="M300">
        <f>COUNTIF(H300:$H$2581,H300)</f>
        <v>1</v>
      </c>
    </row>
    <row r="301" spans="1:13" x14ac:dyDescent="0.2">
      <c r="A301">
        <v>1094</v>
      </c>
      <c r="B301" t="s">
        <v>1075</v>
      </c>
      <c r="C301" t="s">
        <v>5745</v>
      </c>
      <c r="D301" t="s">
        <v>54</v>
      </c>
      <c r="E301" t="s">
        <v>5746</v>
      </c>
      <c r="F301" t="s">
        <v>1078</v>
      </c>
      <c r="G301" t="s">
        <v>5747</v>
      </c>
      <c r="H301" t="s">
        <v>3145</v>
      </c>
      <c r="I301" t="s">
        <v>24</v>
      </c>
      <c r="J301">
        <v>133</v>
      </c>
      <c r="K301">
        <v>1095</v>
      </c>
      <c r="L301">
        <v>25</v>
      </c>
      <c r="M301">
        <f>COUNTIF(H301:$H$2581,H301)</f>
        <v>1</v>
      </c>
    </row>
    <row r="302" spans="1:13" x14ac:dyDescent="0.2">
      <c r="A302">
        <v>1033</v>
      </c>
      <c r="B302" t="s">
        <v>1215</v>
      </c>
      <c r="C302" t="s">
        <v>5904</v>
      </c>
      <c r="D302" t="s">
        <v>13</v>
      </c>
      <c r="E302" t="s">
        <v>5905</v>
      </c>
      <c r="F302" t="s">
        <v>1218</v>
      </c>
      <c r="G302" t="s">
        <v>5906</v>
      </c>
      <c r="H302" t="s">
        <v>3149</v>
      </c>
      <c r="I302" t="b">
        <v>1</v>
      </c>
      <c r="J302">
        <v>129</v>
      </c>
      <c r="K302">
        <v>1034</v>
      </c>
      <c r="L302">
        <v>124</v>
      </c>
      <c r="M302">
        <f>COUNTIF(H302:$H$2581,H302)</f>
        <v>1</v>
      </c>
    </row>
    <row r="303" spans="1:13" x14ac:dyDescent="0.2">
      <c r="A303">
        <v>82</v>
      </c>
      <c r="B303" t="s">
        <v>31</v>
      </c>
      <c r="C303" t="s">
        <v>6252</v>
      </c>
      <c r="D303" t="s">
        <v>54</v>
      </c>
      <c r="E303" t="s">
        <v>6253</v>
      </c>
      <c r="F303" t="s">
        <v>35</v>
      </c>
      <c r="G303" t="s">
        <v>6254</v>
      </c>
      <c r="H303" t="s">
        <v>3153</v>
      </c>
      <c r="I303" t="b">
        <v>0</v>
      </c>
      <c r="J303">
        <v>13</v>
      </c>
      <c r="K303">
        <v>83</v>
      </c>
      <c r="L303">
        <v>9</v>
      </c>
      <c r="M303">
        <f>COUNTIF(H303:$H$2581,H303)</f>
        <v>1</v>
      </c>
    </row>
    <row r="304" spans="1:13" x14ac:dyDescent="0.2">
      <c r="A304">
        <v>1316</v>
      </c>
      <c r="B304" t="s">
        <v>1915</v>
      </c>
      <c r="C304" t="s">
        <v>6585</v>
      </c>
      <c r="D304" t="s">
        <v>13</v>
      </c>
      <c r="E304" t="s">
        <v>6586</v>
      </c>
      <c r="F304" t="s">
        <v>1918</v>
      </c>
      <c r="G304" t="s">
        <v>6587</v>
      </c>
      <c r="H304" t="s">
        <v>3162</v>
      </c>
      <c r="I304" t="s">
        <v>24</v>
      </c>
      <c r="J304">
        <v>161</v>
      </c>
      <c r="K304">
        <v>1317</v>
      </c>
      <c r="L304">
        <v>7</v>
      </c>
      <c r="M304">
        <f>COUNTIF(H304:$H$2581,H304)</f>
        <v>1</v>
      </c>
    </row>
    <row r="305" spans="1:13" x14ac:dyDescent="0.2">
      <c r="A305">
        <v>285</v>
      </c>
      <c r="B305" t="s">
        <v>2105</v>
      </c>
      <c r="C305" t="s">
        <v>6832</v>
      </c>
      <c r="D305" t="s">
        <v>54</v>
      </c>
      <c r="E305" t="s">
        <v>6833</v>
      </c>
      <c r="F305" t="s">
        <v>2108</v>
      </c>
      <c r="G305" t="s">
        <v>6834</v>
      </c>
      <c r="H305" t="s">
        <v>3169</v>
      </c>
      <c r="I305" t="s">
        <v>24</v>
      </c>
      <c r="J305">
        <v>44</v>
      </c>
      <c r="K305">
        <v>286</v>
      </c>
      <c r="L305">
        <v>125</v>
      </c>
      <c r="M305">
        <f>COUNTIF(H305:$H$2581,H305)</f>
        <v>1</v>
      </c>
    </row>
    <row r="306" spans="1:13" x14ac:dyDescent="0.2">
      <c r="A306">
        <v>476</v>
      </c>
      <c r="B306" t="s">
        <v>928</v>
      </c>
      <c r="C306" t="s">
        <v>7043</v>
      </c>
      <c r="D306" t="s">
        <v>54</v>
      </c>
      <c r="E306" t="s">
        <v>7044</v>
      </c>
      <c r="F306" t="s">
        <v>931</v>
      </c>
      <c r="G306" t="s">
        <v>7045</v>
      </c>
      <c r="H306" t="s">
        <v>3187</v>
      </c>
      <c r="I306" t="b">
        <v>0</v>
      </c>
      <c r="J306">
        <v>67</v>
      </c>
      <c r="K306">
        <v>477</v>
      </c>
      <c r="L306">
        <v>14</v>
      </c>
      <c r="M306">
        <f>COUNTIF(H306:$H$2581,H306)</f>
        <v>1</v>
      </c>
    </row>
    <row r="307" spans="1:13" x14ac:dyDescent="0.2">
      <c r="A307">
        <v>1176</v>
      </c>
      <c r="B307" t="s">
        <v>1665</v>
      </c>
      <c r="C307" t="s">
        <v>7778</v>
      </c>
      <c r="D307" t="s">
        <v>13</v>
      </c>
      <c r="E307" t="s">
        <v>7779</v>
      </c>
      <c r="F307" t="s">
        <v>1668</v>
      </c>
      <c r="G307" t="s">
        <v>7780</v>
      </c>
      <c r="H307" t="s">
        <v>3191</v>
      </c>
      <c r="I307" t="b">
        <v>1</v>
      </c>
      <c r="J307">
        <v>144</v>
      </c>
      <c r="K307">
        <v>1177</v>
      </c>
      <c r="L307">
        <v>27</v>
      </c>
      <c r="M307">
        <f>COUNTIF(H307:$H$2581,H307)</f>
        <v>1</v>
      </c>
    </row>
    <row r="308" spans="1:13" x14ac:dyDescent="0.2">
      <c r="A308">
        <v>736</v>
      </c>
      <c r="B308" t="s">
        <v>1349</v>
      </c>
      <c r="C308" t="s">
        <v>8159</v>
      </c>
      <c r="D308" t="s">
        <v>54</v>
      </c>
      <c r="E308" t="s">
        <v>8160</v>
      </c>
      <c r="F308" t="s">
        <v>1352</v>
      </c>
      <c r="G308" t="s">
        <v>8161</v>
      </c>
      <c r="H308" t="s">
        <v>3195</v>
      </c>
      <c r="I308" t="b">
        <v>1</v>
      </c>
      <c r="J308">
        <v>104</v>
      </c>
      <c r="K308">
        <v>737</v>
      </c>
      <c r="L308">
        <v>30</v>
      </c>
      <c r="M308">
        <f>COUNTIF(H308:$H$2581,H308)</f>
        <v>1</v>
      </c>
    </row>
    <row r="309" spans="1:13" x14ac:dyDescent="0.2">
      <c r="A309">
        <v>543</v>
      </c>
      <c r="B309" t="s">
        <v>188</v>
      </c>
      <c r="C309" t="s">
        <v>8726</v>
      </c>
      <c r="D309" t="s">
        <v>54</v>
      </c>
      <c r="E309" t="s">
        <v>8727</v>
      </c>
      <c r="F309" t="s">
        <v>191</v>
      </c>
      <c r="G309" t="s">
        <v>8728</v>
      </c>
      <c r="H309" t="s">
        <v>3199</v>
      </c>
      <c r="I309" t="b">
        <v>0</v>
      </c>
      <c r="J309">
        <v>80</v>
      </c>
      <c r="K309">
        <v>544</v>
      </c>
      <c r="L309">
        <v>31</v>
      </c>
      <c r="M309">
        <f>COUNTIF(H309:$H$2581,H309)</f>
        <v>1</v>
      </c>
    </row>
    <row r="310" spans="1:13" x14ac:dyDescent="0.2">
      <c r="A310">
        <v>2144</v>
      </c>
      <c r="B310" t="s">
        <v>152</v>
      </c>
      <c r="C310" t="s">
        <v>153</v>
      </c>
      <c r="D310" t="s">
        <v>54</v>
      </c>
      <c r="E310" t="s">
        <v>154</v>
      </c>
      <c r="F310" t="s">
        <v>155</v>
      </c>
      <c r="G310" t="s">
        <v>156</v>
      </c>
      <c r="H310" t="s">
        <v>3203</v>
      </c>
      <c r="I310" t="s">
        <v>24</v>
      </c>
      <c r="J310">
        <v>249</v>
      </c>
      <c r="K310">
        <v>2145</v>
      </c>
      <c r="L310">
        <v>45</v>
      </c>
      <c r="M310">
        <f>COUNTIF(H310:$H$2581,H310)</f>
        <v>1</v>
      </c>
    </row>
    <row r="311" spans="1:13" x14ac:dyDescent="0.2">
      <c r="A311">
        <v>2545</v>
      </c>
      <c r="B311" t="s">
        <v>396</v>
      </c>
      <c r="C311" t="s">
        <v>331</v>
      </c>
      <c r="D311" t="s">
        <v>54</v>
      </c>
      <c r="E311" t="s">
        <v>397</v>
      </c>
      <c r="F311" t="s">
        <v>398</v>
      </c>
      <c r="G311" t="s">
        <v>334</v>
      </c>
      <c r="H311" t="s">
        <v>3207</v>
      </c>
      <c r="I311" t="b">
        <v>1</v>
      </c>
      <c r="J311">
        <v>295</v>
      </c>
      <c r="K311">
        <v>2546</v>
      </c>
      <c r="L311">
        <v>1</v>
      </c>
      <c r="M311">
        <f>COUNTIF(H311:$H$2581,H311)</f>
        <v>1</v>
      </c>
    </row>
    <row r="312" spans="1:13" x14ac:dyDescent="0.2">
      <c r="A312">
        <v>336</v>
      </c>
      <c r="B312" t="s">
        <v>455</v>
      </c>
      <c r="C312" t="s">
        <v>1240</v>
      </c>
      <c r="D312" t="s">
        <v>54</v>
      </c>
      <c r="E312" t="s">
        <v>1241</v>
      </c>
      <c r="F312" t="s">
        <v>458</v>
      </c>
      <c r="G312" t="s">
        <v>1242</v>
      </c>
      <c r="H312" t="s">
        <v>3222</v>
      </c>
      <c r="I312" t="b">
        <v>0</v>
      </c>
      <c r="J312">
        <v>49</v>
      </c>
      <c r="K312">
        <v>337</v>
      </c>
      <c r="L312">
        <v>157</v>
      </c>
      <c r="M312">
        <f>COUNTIF(H312:$H$2581,H312)</f>
        <v>1</v>
      </c>
    </row>
    <row r="313" spans="1:13" x14ac:dyDescent="0.2">
      <c r="A313">
        <v>1290</v>
      </c>
      <c r="B313" t="s">
        <v>1679</v>
      </c>
      <c r="C313" t="s">
        <v>1912</v>
      </c>
      <c r="D313" t="s">
        <v>13</v>
      </c>
      <c r="E313" t="s">
        <v>1913</v>
      </c>
      <c r="F313" t="s">
        <v>1682</v>
      </c>
      <c r="G313" t="s">
        <v>1914</v>
      </c>
      <c r="H313" t="s">
        <v>3226</v>
      </c>
      <c r="I313" t="b">
        <v>1</v>
      </c>
      <c r="J313">
        <v>159</v>
      </c>
      <c r="K313">
        <v>1291</v>
      </c>
      <c r="L313">
        <v>10</v>
      </c>
      <c r="M313">
        <f>COUNTIF(H313:$H$2581,H313)</f>
        <v>1</v>
      </c>
    </row>
    <row r="314" spans="1:13" x14ac:dyDescent="0.2">
      <c r="A314">
        <v>388</v>
      </c>
      <c r="B314" t="s">
        <v>1568</v>
      </c>
      <c r="C314" t="s">
        <v>2334</v>
      </c>
      <c r="D314" t="s">
        <v>13</v>
      </c>
      <c r="E314" t="s">
        <v>2335</v>
      </c>
      <c r="F314" t="s">
        <v>1571</v>
      </c>
      <c r="G314" t="s">
        <v>2336</v>
      </c>
      <c r="H314" t="s">
        <v>3230</v>
      </c>
      <c r="I314" t="s">
        <v>24</v>
      </c>
      <c r="J314">
        <v>55</v>
      </c>
      <c r="K314">
        <v>389</v>
      </c>
      <c r="L314">
        <v>121</v>
      </c>
      <c r="M314">
        <f>COUNTIF(H314:$H$2581,H314)</f>
        <v>1</v>
      </c>
    </row>
    <row r="315" spans="1:13" x14ac:dyDescent="0.2">
      <c r="A315">
        <v>1008</v>
      </c>
      <c r="B315" t="s">
        <v>1268</v>
      </c>
      <c r="C315" t="s">
        <v>3558</v>
      </c>
      <c r="D315" t="s">
        <v>54</v>
      </c>
      <c r="E315" s="1" t="s">
        <v>3559</v>
      </c>
      <c r="F315" t="s">
        <v>1271</v>
      </c>
      <c r="G315" t="s">
        <v>3560</v>
      </c>
      <c r="H315" t="s">
        <v>3234</v>
      </c>
      <c r="I315" t="s">
        <v>24</v>
      </c>
      <c r="J315">
        <v>126</v>
      </c>
      <c r="K315">
        <v>1009</v>
      </c>
      <c r="L315">
        <v>39</v>
      </c>
      <c r="M315">
        <f>COUNTIF(H315:$H$2581,H315)</f>
        <v>1</v>
      </c>
    </row>
    <row r="316" spans="1:13" x14ac:dyDescent="0.2">
      <c r="A316">
        <v>659</v>
      </c>
      <c r="B316" t="s">
        <v>2346</v>
      </c>
      <c r="C316" t="s">
        <v>3701</v>
      </c>
      <c r="D316" t="s">
        <v>13</v>
      </c>
      <c r="E316" t="s">
        <v>3702</v>
      </c>
      <c r="F316" t="s">
        <v>2349</v>
      </c>
      <c r="G316" t="s">
        <v>3703</v>
      </c>
      <c r="H316" t="s">
        <v>3238</v>
      </c>
      <c r="I316" t="s">
        <v>24</v>
      </c>
      <c r="J316">
        <v>97</v>
      </c>
      <c r="K316">
        <v>660</v>
      </c>
      <c r="L316">
        <v>22</v>
      </c>
      <c r="M316">
        <f>COUNTIF(H316:$H$2581,H316)</f>
        <v>1</v>
      </c>
    </row>
    <row r="317" spans="1:13" x14ac:dyDescent="0.2">
      <c r="A317">
        <v>2014</v>
      </c>
      <c r="B317" t="s">
        <v>444</v>
      </c>
      <c r="C317" t="s">
        <v>4554</v>
      </c>
      <c r="D317" t="s">
        <v>54</v>
      </c>
      <c r="E317" t="s">
        <v>4555</v>
      </c>
      <c r="F317" t="s">
        <v>447</v>
      </c>
      <c r="G317" t="s">
        <v>4556</v>
      </c>
      <c r="H317" t="s">
        <v>3242</v>
      </c>
      <c r="I317" t="s">
        <v>24</v>
      </c>
      <c r="J317">
        <v>233</v>
      </c>
      <c r="K317">
        <v>2015</v>
      </c>
      <c r="L317">
        <v>4</v>
      </c>
      <c r="M317">
        <f>COUNTIF(H317:$H$2581,H317)</f>
        <v>1</v>
      </c>
    </row>
    <row r="318" spans="1:13" x14ac:dyDescent="0.2">
      <c r="A318">
        <v>898</v>
      </c>
      <c r="B318" t="s">
        <v>198</v>
      </c>
      <c r="C318" t="s">
        <v>5343</v>
      </c>
      <c r="D318" t="s">
        <v>33</v>
      </c>
      <c r="E318" t="s">
        <v>5344</v>
      </c>
      <c r="F318" t="s">
        <v>201</v>
      </c>
      <c r="G318" t="s">
        <v>5345</v>
      </c>
      <c r="H318" t="s">
        <v>3246</v>
      </c>
      <c r="I318" t="b">
        <v>0</v>
      </c>
      <c r="J318">
        <v>120</v>
      </c>
      <c r="K318">
        <v>899</v>
      </c>
      <c r="L318">
        <v>24</v>
      </c>
      <c r="M318">
        <f>COUNTIF(H318:$H$2581,H318)</f>
        <v>1</v>
      </c>
    </row>
    <row r="319" spans="1:13" x14ac:dyDescent="0.2">
      <c r="A319">
        <v>76</v>
      </c>
      <c r="B319" t="s">
        <v>1424</v>
      </c>
      <c r="C319" t="s">
        <v>5479</v>
      </c>
      <c r="D319" t="s">
        <v>54</v>
      </c>
      <c r="E319" t="s">
        <v>5480</v>
      </c>
      <c r="F319" t="s">
        <v>1427</v>
      </c>
      <c r="G319" t="s">
        <v>5481</v>
      </c>
      <c r="H319" t="s">
        <v>3250</v>
      </c>
      <c r="I319" t="b">
        <v>1</v>
      </c>
      <c r="J319">
        <v>12</v>
      </c>
      <c r="K319">
        <v>77</v>
      </c>
      <c r="L319">
        <v>13</v>
      </c>
      <c r="M319">
        <f>COUNTIF(H319:$H$2581,H319)</f>
        <v>1</v>
      </c>
    </row>
    <row r="320" spans="1:13" x14ac:dyDescent="0.2">
      <c r="A320">
        <v>95</v>
      </c>
      <c r="B320" t="s">
        <v>311</v>
      </c>
      <c r="C320" t="s">
        <v>5564</v>
      </c>
      <c r="D320" t="s">
        <v>54</v>
      </c>
      <c r="E320" t="s">
        <v>5565</v>
      </c>
      <c r="F320" s="1" t="s">
        <v>314</v>
      </c>
      <c r="G320" t="s">
        <v>5566</v>
      </c>
      <c r="H320" t="s">
        <v>3254</v>
      </c>
      <c r="I320" t="s">
        <v>24</v>
      </c>
      <c r="J320">
        <v>14</v>
      </c>
      <c r="K320">
        <v>96</v>
      </c>
      <c r="L320">
        <v>50</v>
      </c>
      <c r="M320">
        <f>COUNTIF(H320:$H$2581,H320)</f>
        <v>1</v>
      </c>
    </row>
    <row r="321" spans="1:13" x14ac:dyDescent="0.2">
      <c r="A321">
        <v>1156</v>
      </c>
      <c r="B321" t="s">
        <v>1725</v>
      </c>
      <c r="C321" t="s">
        <v>5748</v>
      </c>
      <c r="D321" t="s">
        <v>33</v>
      </c>
      <c r="E321" t="s">
        <v>5749</v>
      </c>
      <c r="F321" t="s">
        <v>1728</v>
      </c>
      <c r="G321" t="s">
        <v>5750</v>
      </c>
      <c r="H321" t="s">
        <v>3323</v>
      </c>
      <c r="I321" t="b">
        <v>0</v>
      </c>
      <c r="J321">
        <v>141</v>
      </c>
      <c r="K321">
        <v>1157</v>
      </c>
      <c r="L321">
        <v>25</v>
      </c>
      <c r="M321">
        <f>COUNTIF(H321:$H$2581,H321)</f>
        <v>1</v>
      </c>
    </row>
    <row r="322" spans="1:13" x14ac:dyDescent="0.2">
      <c r="A322">
        <v>1110</v>
      </c>
      <c r="B322" t="s">
        <v>1103</v>
      </c>
      <c r="C322" t="s">
        <v>5907</v>
      </c>
      <c r="D322" t="s">
        <v>54</v>
      </c>
      <c r="E322" t="s">
        <v>5908</v>
      </c>
      <c r="F322" t="s">
        <v>1106</v>
      </c>
      <c r="G322" t="s">
        <v>5909</v>
      </c>
      <c r="H322" t="s">
        <v>3327</v>
      </c>
      <c r="I322" t="s">
        <v>24</v>
      </c>
      <c r="J322">
        <v>134</v>
      </c>
      <c r="K322">
        <v>1111</v>
      </c>
      <c r="L322">
        <v>124</v>
      </c>
      <c r="M322">
        <f>COUNTIF(H322:$H$2581,H322)</f>
        <v>1</v>
      </c>
    </row>
    <row r="323" spans="1:13" x14ac:dyDescent="0.2">
      <c r="A323">
        <v>96</v>
      </c>
      <c r="B323" t="s">
        <v>311</v>
      </c>
      <c r="C323" t="s">
        <v>6255</v>
      </c>
      <c r="D323" t="s">
        <v>54</v>
      </c>
      <c r="E323" t="s">
        <v>6256</v>
      </c>
      <c r="F323" s="1" t="s">
        <v>314</v>
      </c>
      <c r="G323" t="s">
        <v>6257</v>
      </c>
      <c r="H323" t="s">
        <v>3334</v>
      </c>
      <c r="I323" t="s">
        <v>24</v>
      </c>
      <c r="J323">
        <v>14</v>
      </c>
      <c r="K323">
        <v>97</v>
      </c>
      <c r="L323">
        <v>9</v>
      </c>
      <c r="M323">
        <f>COUNTIF(H323:$H$2581,H323)</f>
        <v>1</v>
      </c>
    </row>
    <row r="324" spans="1:13" x14ac:dyDescent="0.2">
      <c r="A324">
        <v>1425</v>
      </c>
      <c r="B324" t="s">
        <v>4462</v>
      </c>
      <c r="C324" t="s">
        <v>6588</v>
      </c>
      <c r="D324" t="s">
        <v>13</v>
      </c>
      <c r="E324" t="s">
        <v>6589</v>
      </c>
      <c r="F324" t="s">
        <v>4465</v>
      </c>
      <c r="G324" t="s">
        <v>6590</v>
      </c>
      <c r="H324" t="s">
        <v>3338</v>
      </c>
      <c r="I324" t="s">
        <v>24</v>
      </c>
      <c r="J324">
        <v>171</v>
      </c>
      <c r="K324">
        <v>1426</v>
      </c>
      <c r="L324">
        <v>7</v>
      </c>
      <c r="M324">
        <f>COUNTIF(H324:$H$2581,H324)</f>
        <v>1</v>
      </c>
    </row>
    <row r="325" spans="1:13" x14ac:dyDescent="0.2">
      <c r="A325">
        <v>349</v>
      </c>
      <c r="B325" t="s">
        <v>455</v>
      </c>
      <c r="C325" t="s">
        <v>6836</v>
      </c>
      <c r="D325" t="s">
        <v>13</v>
      </c>
      <c r="E325" t="s">
        <v>6837</v>
      </c>
      <c r="F325" t="s">
        <v>458</v>
      </c>
      <c r="G325" t="s">
        <v>6838</v>
      </c>
      <c r="H325" t="s">
        <v>3346</v>
      </c>
      <c r="I325" t="b">
        <v>0</v>
      </c>
      <c r="J325">
        <v>49</v>
      </c>
      <c r="K325">
        <v>350</v>
      </c>
      <c r="L325">
        <v>125</v>
      </c>
      <c r="M325">
        <f>COUNTIF(H325:$H$2581,H325)</f>
        <v>1</v>
      </c>
    </row>
    <row r="326" spans="1:13" x14ac:dyDescent="0.2">
      <c r="A326">
        <v>643</v>
      </c>
      <c r="B326" t="s">
        <v>237</v>
      </c>
      <c r="C326" t="s">
        <v>7046</v>
      </c>
      <c r="D326" t="s">
        <v>13</v>
      </c>
      <c r="E326" t="s">
        <v>7047</v>
      </c>
      <c r="F326" t="s">
        <v>240</v>
      </c>
      <c r="G326" t="s">
        <v>7048</v>
      </c>
      <c r="H326" t="s">
        <v>3350</v>
      </c>
      <c r="I326" t="b">
        <v>1</v>
      </c>
      <c r="J326">
        <v>92</v>
      </c>
      <c r="K326">
        <v>644</v>
      </c>
      <c r="L326">
        <v>14</v>
      </c>
      <c r="M326">
        <f>COUNTIF(H326:$H$2581,H326)</f>
        <v>1</v>
      </c>
    </row>
    <row r="327" spans="1:13" x14ac:dyDescent="0.2">
      <c r="A327">
        <v>1207</v>
      </c>
      <c r="B327" t="s">
        <v>1509</v>
      </c>
      <c r="C327" t="s">
        <v>7781</v>
      </c>
      <c r="D327" t="s">
        <v>13</v>
      </c>
      <c r="E327" t="s">
        <v>7782</v>
      </c>
      <c r="F327" t="s">
        <v>1512</v>
      </c>
      <c r="G327" t="s">
        <v>7783</v>
      </c>
      <c r="H327" t="s">
        <v>3354</v>
      </c>
      <c r="I327" t="b">
        <v>1</v>
      </c>
      <c r="J327">
        <v>147</v>
      </c>
      <c r="K327">
        <v>1208</v>
      </c>
      <c r="L327">
        <v>27</v>
      </c>
      <c r="M327">
        <f>COUNTIF(H327:$H$2581,H327)</f>
        <v>1</v>
      </c>
    </row>
    <row r="328" spans="1:13" x14ac:dyDescent="0.2">
      <c r="A328">
        <v>830</v>
      </c>
      <c r="B328" t="s">
        <v>594</v>
      </c>
      <c r="C328" t="s">
        <v>8162</v>
      </c>
      <c r="D328" t="s">
        <v>13</v>
      </c>
      <c r="E328" t="s">
        <v>8163</v>
      </c>
      <c r="F328" t="s">
        <v>597</v>
      </c>
      <c r="G328" t="s">
        <v>8164</v>
      </c>
      <c r="H328" t="s">
        <v>3377</v>
      </c>
      <c r="I328" t="b">
        <v>1</v>
      </c>
      <c r="J328">
        <v>114</v>
      </c>
      <c r="K328">
        <v>831</v>
      </c>
      <c r="L328">
        <v>30</v>
      </c>
      <c r="M328">
        <f>COUNTIF(H328:$H$2581,H328)</f>
        <v>1</v>
      </c>
    </row>
    <row r="329" spans="1:13" x14ac:dyDescent="0.2">
      <c r="A329">
        <v>648</v>
      </c>
      <c r="B329" t="s">
        <v>237</v>
      </c>
      <c r="C329" t="s">
        <v>8729</v>
      </c>
      <c r="D329" t="s">
        <v>13</v>
      </c>
      <c r="E329" t="s">
        <v>8730</v>
      </c>
      <c r="F329" t="s">
        <v>240</v>
      </c>
      <c r="G329" t="s">
        <v>8731</v>
      </c>
      <c r="H329" t="s">
        <v>3381</v>
      </c>
      <c r="I329" t="b">
        <v>1</v>
      </c>
      <c r="J329">
        <v>92</v>
      </c>
      <c r="K329">
        <v>649</v>
      </c>
      <c r="L329">
        <v>31</v>
      </c>
      <c r="M329">
        <f>COUNTIF(H329:$H$2581,H329)</f>
        <v>1</v>
      </c>
    </row>
    <row r="330" spans="1:13" x14ac:dyDescent="0.2">
      <c r="A330">
        <v>2134</v>
      </c>
      <c r="B330" t="s">
        <v>147</v>
      </c>
      <c r="C330" t="s">
        <v>148</v>
      </c>
      <c r="D330" t="s">
        <v>54</v>
      </c>
      <c r="E330" s="1" t="s">
        <v>149</v>
      </c>
      <c r="F330" t="s">
        <v>150</v>
      </c>
      <c r="G330" t="s">
        <v>151</v>
      </c>
      <c r="H330" t="s">
        <v>3403</v>
      </c>
      <c r="I330" t="b">
        <v>1</v>
      </c>
      <c r="J330">
        <v>248</v>
      </c>
      <c r="K330">
        <v>2135</v>
      </c>
      <c r="L330">
        <v>45</v>
      </c>
      <c r="M330">
        <f>COUNTIF(H330:$H$2581,H330)</f>
        <v>1</v>
      </c>
    </row>
    <row r="331" spans="1:13" x14ac:dyDescent="0.2">
      <c r="A331">
        <v>2217</v>
      </c>
      <c r="B331" t="s">
        <v>165</v>
      </c>
      <c r="C331" t="s">
        <v>393</v>
      </c>
      <c r="D331" t="s">
        <v>33</v>
      </c>
      <c r="E331" t="s">
        <v>394</v>
      </c>
      <c r="F331" t="s">
        <v>168</v>
      </c>
      <c r="G331" t="s">
        <v>395</v>
      </c>
      <c r="H331" t="s">
        <v>3407</v>
      </c>
      <c r="I331" t="s">
        <v>24</v>
      </c>
      <c r="J331">
        <v>261</v>
      </c>
      <c r="K331">
        <v>2218</v>
      </c>
      <c r="L331">
        <v>1</v>
      </c>
      <c r="M331">
        <f>COUNTIF(H331:$H$2581,H331)</f>
        <v>1</v>
      </c>
    </row>
    <row r="332" spans="1:13" x14ac:dyDescent="0.2">
      <c r="A332">
        <v>402</v>
      </c>
      <c r="B332" t="s">
        <v>1244</v>
      </c>
      <c r="C332" t="s">
        <v>1245</v>
      </c>
      <c r="D332" t="s">
        <v>54</v>
      </c>
      <c r="E332" t="s">
        <v>1246</v>
      </c>
      <c r="F332" t="s">
        <v>1247</v>
      </c>
      <c r="G332" t="s">
        <v>1248</v>
      </c>
      <c r="H332" t="s">
        <v>3411</v>
      </c>
      <c r="I332" t="b">
        <v>0</v>
      </c>
      <c r="J332">
        <v>57</v>
      </c>
      <c r="K332">
        <v>403</v>
      </c>
      <c r="L332">
        <v>157</v>
      </c>
      <c r="M332">
        <f>COUNTIF(H332:$H$2581,H332)</f>
        <v>1</v>
      </c>
    </row>
    <row r="333" spans="1:13" x14ac:dyDescent="0.2">
      <c r="A333">
        <v>174</v>
      </c>
      <c r="B333" t="s">
        <v>78</v>
      </c>
      <c r="C333" t="s">
        <v>1731</v>
      </c>
      <c r="D333" t="s">
        <v>54</v>
      </c>
      <c r="E333" t="s">
        <v>1732</v>
      </c>
      <c r="F333" t="s">
        <v>81</v>
      </c>
      <c r="G333" t="s">
        <v>1733</v>
      </c>
      <c r="H333" t="s">
        <v>3415</v>
      </c>
      <c r="I333" t="b">
        <v>1</v>
      </c>
      <c r="J333">
        <v>33</v>
      </c>
      <c r="K333">
        <v>175</v>
      </c>
      <c r="L333">
        <v>84</v>
      </c>
      <c r="M333">
        <f>COUNTIF(H333:$H$2581,H333)</f>
        <v>1</v>
      </c>
    </row>
    <row r="334" spans="1:13" x14ac:dyDescent="0.2">
      <c r="A334">
        <v>1309</v>
      </c>
      <c r="B334" t="s">
        <v>1915</v>
      </c>
      <c r="C334" t="s">
        <v>1916</v>
      </c>
      <c r="D334" t="s">
        <v>13</v>
      </c>
      <c r="E334" t="s">
        <v>1917</v>
      </c>
      <c r="F334" t="s">
        <v>1918</v>
      </c>
      <c r="G334" t="s">
        <v>1919</v>
      </c>
      <c r="H334" t="s">
        <v>3419</v>
      </c>
      <c r="I334" t="s">
        <v>24</v>
      </c>
      <c r="J334">
        <v>161</v>
      </c>
      <c r="K334">
        <v>1310</v>
      </c>
      <c r="L334">
        <v>10</v>
      </c>
      <c r="M334">
        <f>COUNTIF(H334:$H$2581,H334)</f>
        <v>1</v>
      </c>
    </row>
    <row r="335" spans="1:13" x14ac:dyDescent="0.2">
      <c r="A335">
        <v>413</v>
      </c>
      <c r="B335" t="s">
        <v>1857</v>
      </c>
      <c r="C335" t="s">
        <v>2337</v>
      </c>
      <c r="D335" t="s">
        <v>13</v>
      </c>
      <c r="E335" t="s">
        <v>2338</v>
      </c>
      <c r="F335" t="s">
        <v>1860</v>
      </c>
      <c r="G335" t="s">
        <v>2339</v>
      </c>
      <c r="H335" t="s">
        <v>3423</v>
      </c>
      <c r="I335" t="s">
        <v>24</v>
      </c>
      <c r="J335">
        <v>60</v>
      </c>
      <c r="K335">
        <v>414</v>
      </c>
      <c r="L335">
        <v>121</v>
      </c>
      <c r="M335">
        <f>COUNTIF(H335:$H$2581,H335)</f>
        <v>1</v>
      </c>
    </row>
    <row r="336" spans="1:13" x14ac:dyDescent="0.2">
      <c r="A336">
        <v>1019</v>
      </c>
      <c r="B336" t="s">
        <v>3182</v>
      </c>
      <c r="C336" t="s">
        <v>3561</v>
      </c>
      <c r="D336" t="s">
        <v>13</v>
      </c>
      <c r="E336" t="s">
        <v>3562</v>
      </c>
      <c r="F336" t="s">
        <v>3185</v>
      </c>
      <c r="G336" t="s">
        <v>3563</v>
      </c>
      <c r="H336" t="s">
        <v>3469</v>
      </c>
      <c r="I336" t="s">
        <v>24</v>
      </c>
      <c r="J336">
        <v>127</v>
      </c>
      <c r="K336">
        <v>1020</v>
      </c>
      <c r="L336">
        <v>39</v>
      </c>
      <c r="M336">
        <f>COUNTIF(H336:$H$2581,H336)</f>
        <v>1</v>
      </c>
    </row>
    <row r="337" spans="1:13" x14ac:dyDescent="0.2">
      <c r="A337">
        <v>684</v>
      </c>
      <c r="B337" t="s">
        <v>3704</v>
      </c>
      <c r="C337" t="s">
        <v>3705</v>
      </c>
      <c r="D337" t="s">
        <v>54</v>
      </c>
      <c r="E337" t="s">
        <v>3706</v>
      </c>
      <c r="F337" t="s">
        <v>3707</v>
      </c>
      <c r="G337" t="s">
        <v>3708</v>
      </c>
      <c r="H337" t="s">
        <v>3476</v>
      </c>
      <c r="I337" t="s">
        <v>24</v>
      </c>
      <c r="J337">
        <v>101</v>
      </c>
      <c r="K337">
        <v>685</v>
      </c>
      <c r="L337">
        <v>22</v>
      </c>
      <c r="M337">
        <f>COUNTIF(H337:$H$2581,H337)</f>
        <v>1</v>
      </c>
    </row>
    <row r="338" spans="1:13" x14ac:dyDescent="0.2">
      <c r="A338">
        <v>2015</v>
      </c>
      <c r="B338" t="s">
        <v>444</v>
      </c>
      <c r="C338" t="s">
        <v>4557</v>
      </c>
      <c r="D338" t="s">
        <v>54</v>
      </c>
      <c r="E338" t="s">
        <v>4558</v>
      </c>
      <c r="F338" t="s">
        <v>447</v>
      </c>
      <c r="G338" t="s">
        <v>4559</v>
      </c>
      <c r="H338" t="s">
        <v>3480</v>
      </c>
      <c r="I338" t="s">
        <v>24</v>
      </c>
      <c r="J338">
        <v>233</v>
      </c>
      <c r="K338">
        <v>2016</v>
      </c>
      <c r="L338">
        <v>4</v>
      </c>
      <c r="M338">
        <f>COUNTIF(H338:$H$2581,H338)</f>
        <v>1</v>
      </c>
    </row>
    <row r="339" spans="1:13" x14ac:dyDescent="0.2">
      <c r="A339">
        <v>970</v>
      </c>
      <c r="B339" t="s">
        <v>203</v>
      </c>
      <c r="C339" t="s">
        <v>5346</v>
      </c>
      <c r="D339" t="s">
        <v>13</v>
      </c>
      <c r="E339" t="s">
        <v>5347</v>
      </c>
      <c r="F339" t="s">
        <v>206</v>
      </c>
      <c r="G339" t="s">
        <v>5348</v>
      </c>
      <c r="H339" t="s">
        <v>3484</v>
      </c>
      <c r="I339" t="b">
        <v>1</v>
      </c>
      <c r="J339">
        <v>123</v>
      </c>
      <c r="K339">
        <v>971</v>
      </c>
      <c r="L339">
        <v>24</v>
      </c>
      <c r="M339">
        <f>COUNTIF(H339:$H$2581,H339)</f>
        <v>1</v>
      </c>
    </row>
    <row r="340" spans="1:13" x14ac:dyDescent="0.2">
      <c r="A340">
        <v>184</v>
      </c>
      <c r="B340" t="s">
        <v>557</v>
      </c>
      <c r="C340" t="s">
        <v>5482</v>
      </c>
      <c r="D340" t="s">
        <v>13</v>
      </c>
      <c r="E340" t="s">
        <v>5483</v>
      </c>
      <c r="F340" t="s">
        <v>560</v>
      </c>
      <c r="G340" t="s">
        <v>5484</v>
      </c>
      <c r="H340" t="s">
        <v>3646</v>
      </c>
      <c r="I340" t="s">
        <v>24</v>
      </c>
      <c r="J340">
        <v>34</v>
      </c>
      <c r="K340">
        <v>185</v>
      </c>
      <c r="L340">
        <v>13</v>
      </c>
      <c r="M340">
        <f>COUNTIF(H340:$H$2581,H340)</f>
        <v>1</v>
      </c>
    </row>
    <row r="341" spans="1:13" x14ac:dyDescent="0.2">
      <c r="A341">
        <v>406</v>
      </c>
      <c r="B341" t="s">
        <v>1244</v>
      </c>
      <c r="C341" t="s">
        <v>5567</v>
      </c>
      <c r="D341" t="s">
        <v>54</v>
      </c>
      <c r="E341" t="s">
        <v>5568</v>
      </c>
      <c r="F341" t="s">
        <v>1247</v>
      </c>
      <c r="G341" t="s">
        <v>5569</v>
      </c>
      <c r="H341" t="s">
        <v>3650</v>
      </c>
      <c r="I341" t="b">
        <v>0</v>
      </c>
      <c r="J341">
        <v>57</v>
      </c>
      <c r="K341">
        <v>407</v>
      </c>
      <c r="L341">
        <v>50</v>
      </c>
      <c r="M341">
        <f>COUNTIF(H341:$H$2581,H341)</f>
        <v>1</v>
      </c>
    </row>
    <row r="342" spans="1:13" x14ac:dyDescent="0.2">
      <c r="A342">
        <v>1175</v>
      </c>
      <c r="B342" t="s">
        <v>1665</v>
      </c>
      <c r="C342" t="s">
        <v>5751</v>
      </c>
      <c r="D342" t="s">
        <v>13</v>
      </c>
      <c r="E342" t="s">
        <v>5752</v>
      </c>
      <c r="F342" t="s">
        <v>1668</v>
      </c>
      <c r="G342" t="s">
        <v>5753</v>
      </c>
      <c r="H342" t="s">
        <v>3656</v>
      </c>
      <c r="I342" t="b">
        <v>1</v>
      </c>
      <c r="J342">
        <v>144</v>
      </c>
      <c r="K342">
        <v>1176</v>
      </c>
      <c r="L342">
        <v>25</v>
      </c>
      <c r="M342">
        <f>COUNTIF(H342:$H$2581,H342)</f>
        <v>1</v>
      </c>
    </row>
    <row r="343" spans="1:13" x14ac:dyDescent="0.2">
      <c r="A343">
        <v>1132</v>
      </c>
      <c r="B343" t="s">
        <v>1186</v>
      </c>
      <c r="C343" t="s">
        <v>5910</v>
      </c>
      <c r="D343" t="s">
        <v>33</v>
      </c>
      <c r="E343" t="s">
        <v>5911</v>
      </c>
      <c r="F343" t="s">
        <v>1189</v>
      </c>
      <c r="G343" t="s">
        <v>5912</v>
      </c>
      <c r="H343" t="s">
        <v>3663</v>
      </c>
      <c r="I343" t="b">
        <v>0</v>
      </c>
      <c r="J343">
        <v>137</v>
      </c>
      <c r="K343">
        <v>1133</v>
      </c>
      <c r="L343">
        <v>124</v>
      </c>
      <c r="M343">
        <f>COUNTIF(H343:$H$2581,H343)</f>
        <v>1</v>
      </c>
    </row>
    <row r="344" spans="1:13" x14ac:dyDescent="0.2">
      <c r="A344">
        <v>113</v>
      </c>
      <c r="B344" t="s">
        <v>42</v>
      </c>
      <c r="C344" t="s">
        <v>6258</v>
      </c>
      <c r="D344" t="s">
        <v>13</v>
      </c>
      <c r="E344" t="s">
        <v>6259</v>
      </c>
      <c r="F344" t="s">
        <v>45</v>
      </c>
      <c r="G344" t="s">
        <v>6260</v>
      </c>
      <c r="H344" t="s">
        <v>3673</v>
      </c>
      <c r="I344" t="b">
        <v>1</v>
      </c>
      <c r="J344">
        <v>19</v>
      </c>
      <c r="K344">
        <v>114</v>
      </c>
      <c r="L344">
        <v>9</v>
      </c>
      <c r="M344">
        <f>COUNTIF(H344:$H$2581,H344)</f>
        <v>1</v>
      </c>
    </row>
    <row r="345" spans="1:13" x14ac:dyDescent="0.2">
      <c r="A345">
        <v>1431</v>
      </c>
      <c r="B345" t="s">
        <v>3029</v>
      </c>
      <c r="C345" t="s">
        <v>6591</v>
      </c>
      <c r="D345" t="s">
        <v>13</v>
      </c>
      <c r="E345" t="s">
        <v>6592</v>
      </c>
      <c r="F345" t="s">
        <v>3032</v>
      </c>
      <c r="G345" t="s">
        <v>6593</v>
      </c>
      <c r="H345" t="s">
        <v>3788</v>
      </c>
      <c r="I345" t="s">
        <v>24</v>
      </c>
      <c r="J345">
        <v>172</v>
      </c>
      <c r="K345">
        <v>1432</v>
      </c>
      <c r="L345">
        <v>7</v>
      </c>
      <c r="M345">
        <f>COUNTIF(H345:$H$2581,H345)</f>
        <v>1</v>
      </c>
    </row>
    <row r="346" spans="1:13" x14ac:dyDescent="0.2">
      <c r="A346">
        <v>397</v>
      </c>
      <c r="B346" t="s">
        <v>1568</v>
      </c>
      <c r="C346" t="s">
        <v>4121</v>
      </c>
      <c r="D346" t="s">
        <v>13</v>
      </c>
      <c r="E346" t="s">
        <v>6839</v>
      </c>
      <c r="F346" t="s">
        <v>1571</v>
      </c>
      <c r="G346" t="s">
        <v>6840</v>
      </c>
      <c r="H346" t="s">
        <v>3792</v>
      </c>
      <c r="I346" t="s">
        <v>24</v>
      </c>
      <c r="J346">
        <v>55</v>
      </c>
      <c r="K346">
        <v>398</v>
      </c>
      <c r="L346">
        <v>125</v>
      </c>
      <c r="M346">
        <f>COUNTIF(H346:$H$2581,H346)</f>
        <v>1</v>
      </c>
    </row>
    <row r="347" spans="1:13" x14ac:dyDescent="0.2">
      <c r="A347">
        <v>713</v>
      </c>
      <c r="B347" t="s">
        <v>730</v>
      </c>
      <c r="C347" t="s">
        <v>7049</v>
      </c>
      <c r="D347" t="s">
        <v>13</v>
      </c>
      <c r="E347" t="s">
        <v>7050</v>
      </c>
      <c r="F347" t="s">
        <v>733</v>
      </c>
      <c r="G347" t="s">
        <v>7051</v>
      </c>
      <c r="H347" t="s">
        <v>3796</v>
      </c>
      <c r="I347" t="s">
        <v>24</v>
      </c>
      <c r="J347">
        <v>103</v>
      </c>
      <c r="K347">
        <v>714</v>
      </c>
      <c r="L347">
        <v>14</v>
      </c>
      <c r="M347">
        <f>COUNTIF(H347:$H$2581,H347)</f>
        <v>1</v>
      </c>
    </row>
    <row r="348" spans="1:13" x14ac:dyDescent="0.2">
      <c r="A348">
        <v>1259</v>
      </c>
      <c r="B348" t="s">
        <v>3822</v>
      </c>
      <c r="C348" t="s">
        <v>7784</v>
      </c>
      <c r="D348" t="s">
        <v>13</v>
      </c>
      <c r="E348" t="s">
        <v>7785</v>
      </c>
      <c r="F348" t="s">
        <v>3825</v>
      </c>
      <c r="G348" t="s">
        <v>7786</v>
      </c>
      <c r="H348" t="s">
        <v>3800</v>
      </c>
      <c r="I348" t="s">
        <v>24</v>
      </c>
      <c r="J348">
        <v>155</v>
      </c>
      <c r="K348">
        <v>1260</v>
      </c>
      <c r="L348">
        <v>27</v>
      </c>
      <c r="M348">
        <f>COUNTIF(H348:$H$2581,H348)</f>
        <v>1</v>
      </c>
    </row>
    <row r="349" spans="1:13" x14ac:dyDescent="0.2">
      <c r="A349">
        <v>847</v>
      </c>
      <c r="B349" t="s">
        <v>3157</v>
      </c>
      <c r="C349" t="s">
        <v>8165</v>
      </c>
      <c r="D349" t="s">
        <v>54</v>
      </c>
      <c r="E349" t="s">
        <v>8166</v>
      </c>
      <c r="F349" t="s">
        <v>3160</v>
      </c>
      <c r="G349" t="s">
        <v>8167</v>
      </c>
      <c r="H349" t="s">
        <v>3804</v>
      </c>
      <c r="I349" t="s">
        <v>24</v>
      </c>
      <c r="J349">
        <v>116</v>
      </c>
      <c r="K349">
        <v>848</v>
      </c>
      <c r="L349">
        <v>30</v>
      </c>
      <c r="M349">
        <f>COUNTIF(H349:$H$2581,H349)</f>
        <v>1</v>
      </c>
    </row>
    <row r="350" spans="1:13" x14ac:dyDescent="0.2">
      <c r="A350">
        <v>831</v>
      </c>
      <c r="B350" t="s">
        <v>594</v>
      </c>
      <c r="C350" t="s">
        <v>8732</v>
      </c>
      <c r="D350" t="s">
        <v>54</v>
      </c>
      <c r="E350" t="s">
        <v>8733</v>
      </c>
      <c r="F350" t="s">
        <v>597</v>
      </c>
      <c r="G350" t="s">
        <v>8734</v>
      </c>
      <c r="H350" t="s">
        <v>3808</v>
      </c>
      <c r="I350" t="b">
        <v>1</v>
      </c>
      <c r="J350">
        <v>114</v>
      </c>
      <c r="K350">
        <v>832</v>
      </c>
      <c r="L350">
        <v>31</v>
      </c>
      <c r="M350">
        <f>COUNTIF(H350:$H$2581,H350)</f>
        <v>1</v>
      </c>
    </row>
    <row r="351" spans="1:13" x14ac:dyDescent="0.2">
      <c r="A351">
        <v>2129</v>
      </c>
      <c r="B351" t="s">
        <v>142</v>
      </c>
      <c r="C351" t="s">
        <v>143</v>
      </c>
      <c r="D351" t="s">
        <v>54</v>
      </c>
      <c r="E351" t="s">
        <v>144</v>
      </c>
      <c r="F351" t="s">
        <v>145</v>
      </c>
      <c r="G351" t="s">
        <v>146</v>
      </c>
      <c r="H351" t="s">
        <v>3812</v>
      </c>
      <c r="I351" t="b">
        <v>1</v>
      </c>
      <c r="J351">
        <v>247</v>
      </c>
      <c r="K351">
        <v>2130</v>
      </c>
      <c r="L351">
        <v>45</v>
      </c>
      <c r="M351">
        <f>COUNTIF(H351:$H$2581,H351)</f>
        <v>1</v>
      </c>
    </row>
    <row r="352" spans="1:13" x14ac:dyDescent="0.2">
      <c r="A352">
        <v>2216</v>
      </c>
      <c r="B352" t="s">
        <v>165</v>
      </c>
      <c r="C352" t="s">
        <v>390</v>
      </c>
      <c r="D352" t="s">
        <v>13</v>
      </c>
      <c r="E352" t="s">
        <v>391</v>
      </c>
      <c r="F352" t="s">
        <v>168</v>
      </c>
      <c r="G352" t="s">
        <v>392</v>
      </c>
      <c r="H352" t="s">
        <v>3866</v>
      </c>
      <c r="I352" t="s">
        <v>24</v>
      </c>
      <c r="J352">
        <v>261</v>
      </c>
      <c r="K352">
        <v>2217</v>
      </c>
      <c r="L352">
        <v>1</v>
      </c>
      <c r="M352">
        <f>COUNTIF(H352:$H$2581,H352)</f>
        <v>1</v>
      </c>
    </row>
    <row r="353" spans="1:13" x14ac:dyDescent="0.2">
      <c r="A353">
        <v>411</v>
      </c>
      <c r="B353" t="s">
        <v>1249</v>
      </c>
      <c r="C353" t="s">
        <v>1250</v>
      </c>
      <c r="D353" t="s">
        <v>54</v>
      </c>
      <c r="E353" t="s">
        <v>1251</v>
      </c>
      <c r="F353" t="s">
        <v>1252</v>
      </c>
      <c r="G353" t="s">
        <v>1253</v>
      </c>
      <c r="H353" t="s">
        <v>3870</v>
      </c>
      <c r="I353" t="s">
        <v>24</v>
      </c>
      <c r="J353">
        <v>59</v>
      </c>
      <c r="K353">
        <v>412</v>
      </c>
      <c r="L353">
        <v>157</v>
      </c>
      <c r="M353">
        <f>COUNTIF(H353:$H$2581,H353)</f>
        <v>1</v>
      </c>
    </row>
    <row r="354" spans="1:13" x14ac:dyDescent="0.2">
      <c r="A354">
        <v>267</v>
      </c>
      <c r="B354" t="s">
        <v>1126</v>
      </c>
      <c r="C354" t="s">
        <v>1735</v>
      </c>
      <c r="D354" t="s">
        <v>33</v>
      </c>
      <c r="E354" t="s">
        <v>1736</v>
      </c>
      <c r="F354" t="s">
        <v>1129</v>
      </c>
      <c r="G354" t="s">
        <v>1737</v>
      </c>
      <c r="H354" t="s">
        <v>3904</v>
      </c>
      <c r="I354" t="b">
        <v>0</v>
      </c>
      <c r="J354">
        <v>43</v>
      </c>
      <c r="K354">
        <v>268</v>
      </c>
      <c r="L354">
        <v>84</v>
      </c>
      <c r="M354">
        <f>COUNTIF(H354:$H$2581,H354)</f>
        <v>1</v>
      </c>
    </row>
    <row r="355" spans="1:13" x14ac:dyDescent="0.2">
      <c r="A355">
        <v>1433</v>
      </c>
      <c r="B355" t="s">
        <v>461</v>
      </c>
      <c r="C355" t="s">
        <v>1920</v>
      </c>
      <c r="D355" t="s">
        <v>54</v>
      </c>
      <c r="E355" t="s">
        <v>1921</v>
      </c>
      <c r="F355" t="s">
        <v>464</v>
      </c>
      <c r="G355" t="s">
        <v>1922</v>
      </c>
      <c r="H355" t="s">
        <v>3908</v>
      </c>
      <c r="I355" t="s">
        <v>24</v>
      </c>
      <c r="J355">
        <v>173</v>
      </c>
      <c r="K355">
        <v>1434</v>
      </c>
      <c r="L355">
        <v>10</v>
      </c>
      <c r="M355">
        <f>COUNTIF(H355:$H$2581,H355)</f>
        <v>1</v>
      </c>
    </row>
    <row r="356" spans="1:13" x14ac:dyDescent="0.2">
      <c r="A356">
        <v>635</v>
      </c>
      <c r="B356" t="s">
        <v>237</v>
      </c>
      <c r="C356" t="s">
        <v>2340</v>
      </c>
      <c r="D356" t="s">
        <v>54</v>
      </c>
      <c r="E356" t="s">
        <v>2341</v>
      </c>
      <c r="F356" t="s">
        <v>240</v>
      </c>
      <c r="G356" t="s">
        <v>2342</v>
      </c>
      <c r="H356" t="s">
        <v>3912</v>
      </c>
      <c r="I356" t="b">
        <v>1</v>
      </c>
      <c r="J356">
        <v>92</v>
      </c>
      <c r="K356">
        <v>636</v>
      </c>
      <c r="L356">
        <v>121</v>
      </c>
      <c r="M356">
        <f>COUNTIF(H356:$H$2581,H356)</f>
        <v>1</v>
      </c>
    </row>
    <row r="357" spans="1:13" x14ac:dyDescent="0.2">
      <c r="A357">
        <v>1054</v>
      </c>
      <c r="B357" t="s">
        <v>1884</v>
      </c>
      <c r="C357" t="s">
        <v>3564</v>
      </c>
      <c r="D357" t="s">
        <v>13</v>
      </c>
      <c r="E357" t="s">
        <v>3565</v>
      </c>
      <c r="F357" t="s">
        <v>1887</v>
      </c>
      <c r="G357" t="s">
        <v>3566</v>
      </c>
      <c r="H357" t="s">
        <v>3916</v>
      </c>
      <c r="I357" t="s">
        <v>24</v>
      </c>
      <c r="J357">
        <v>131</v>
      </c>
      <c r="K357">
        <v>1055</v>
      </c>
      <c r="L357">
        <v>39</v>
      </c>
      <c r="M357">
        <f>COUNTIF(H357:$H$2581,H357)</f>
        <v>1</v>
      </c>
    </row>
    <row r="358" spans="1:13" x14ac:dyDescent="0.2">
      <c r="A358">
        <v>891</v>
      </c>
      <c r="B358" t="s">
        <v>198</v>
      </c>
      <c r="C358" t="s">
        <v>3709</v>
      </c>
      <c r="D358" t="s">
        <v>54</v>
      </c>
      <c r="E358" t="s">
        <v>3710</v>
      </c>
      <c r="F358" t="s">
        <v>201</v>
      </c>
      <c r="G358" t="s">
        <v>3711</v>
      </c>
      <c r="H358" t="s">
        <v>3920</v>
      </c>
      <c r="I358" t="b">
        <v>0</v>
      </c>
      <c r="J358">
        <v>120</v>
      </c>
      <c r="K358">
        <v>892</v>
      </c>
      <c r="L358">
        <v>22</v>
      </c>
      <c r="M358">
        <f>COUNTIF(H358:$H$2581,H358)</f>
        <v>1</v>
      </c>
    </row>
    <row r="359" spans="1:13" x14ac:dyDescent="0.2">
      <c r="A359">
        <v>2016</v>
      </c>
      <c r="B359" t="s">
        <v>444</v>
      </c>
      <c r="C359" t="s">
        <v>4560</v>
      </c>
      <c r="D359" t="s">
        <v>54</v>
      </c>
      <c r="E359" t="s">
        <v>4561</v>
      </c>
      <c r="F359" t="s">
        <v>447</v>
      </c>
      <c r="G359" t="s">
        <v>4562</v>
      </c>
      <c r="H359" t="s">
        <v>3927</v>
      </c>
      <c r="I359" t="s">
        <v>24</v>
      </c>
      <c r="J359">
        <v>233</v>
      </c>
      <c r="K359">
        <v>2017</v>
      </c>
      <c r="L359">
        <v>4</v>
      </c>
      <c r="M359">
        <f>COUNTIF(H359:$H$2581,H359)</f>
        <v>1</v>
      </c>
    </row>
    <row r="360" spans="1:13" x14ac:dyDescent="0.2">
      <c r="A360">
        <v>971</v>
      </c>
      <c r="B360" t="s">
        <v>203</v>
      </c>
      <c r="C360" t="s">
        <v>5349</v>
      </c>
      <c r="D360" t="s">
        <v>13</v>
      </c>
      <c r="E360" t="s">
        <v>5350</v>
      </c>
      <c r="F360" t="s">
        <v>206</v>
      </c>
      <c r="G360" t="s">
        <v>5351</v>
      </c>
      <c r="H360" t="s">
        <v>3943</v>
      </c>
      <c r="I360" t="b">
        <v>1</v>
      </c>
      <c r="J360">
        <v>123</v>
      </c>
      <c r="K360">
        <v>972</v>
      </c>
      <c r="L360">
        <v>24</v>
      </c>
      <c r="M360">
        <f>COUNTIF(H360:$H$2581,H360)</f>
        <v>1</v>
      </c>
    </row>
    <row r="361" spans="1:13" x14ac:dyDescent="0.2">
      <c r="A361">
        <v>200</v>
      </c>
      <c r="B361" t="s">
        <v>346</v>
      </c>
      <c r="C361" t="s">
        <v>5485</v>
      </c>
      <c r="D361" t="s">
        <v>13</v>
      </c>
      <c r="E361" t="s">
        <v>5486</v>
      </c>
      <c r="F361" t="s">
        <v>349</v>
      </c>
      <c r="G361" t="s">
        <v>5487</v>
      </c>
      <c r="H361" t="s">
        <v>3947</v>
      </c>
      <c r="I361" t="b">
        <v>0</v>
      </c>
      <c r="J361">
        <v>36</v>
      </c>
      <c r="K361">
        <v>201</v>
      </c>
      <c r="L361">
        <v>13</v>
      </c>
      <c r="M361">
        <f>COUNTIF(H361:$H$2581,H361)</f>
        <v>1</v>
      </c>
    </row>
    <row r="362" spans="1:13" x14ac:dyDescent="0.2">
      <c r="A362">
        <v>501</v>
      </c>
      <c r="B362" t="s">
        <v>1738</v>
      </c>
      <c r="C362" t="s">
        <v>5570</v>
      </c>
      <c r="D362" t="s">
        <v>54</v>
      </c>
      <c r="E362" t="s">
        <v>5571</v>
      </c>
      <c r="F362" t="s">
        <v>1741</v>
      </c>
      <c r="G362" t="s">
        <v>5572</v>
      </c>
      <c r="H362" t="s">
        <v>3951</v>
      </c>
      <c r="I362" t="b">
        <v>0</v>
      </c>
      <c r="J362">
        <v>71</v>
      </c>
      <c r="K362">
        <v>502</v>
      </c>
      <c r="L362">
        <v>50</v>
      </c>
      <c r="M362">
        <f>COUNTIF(H362:$H$2581,H362)</f>
        <v>1</v>
      </c>
    </row>
    <row r="363" spans="1:13" x14ac:dyDescent="0.2">
      <c r="A363">
        <v>1206</v>
      </c>
      <c r="B363" t="s">
        <v>1509</v>
      </c>
      <c r="C363" t="s">
        <v>5754</v>
      </c>
      <c r="D363" t="s">
        <v>13</v>
      </c>
      <c r="E363" s="1" t="s">
        <v>5755</v>
      </c>
      <c r="F363" t="s">
        <v>1512</v>
      </c>
      <c r="G363" t="s">
        <v>5756</v>
      </c>
      <c r="H363" t="s">
        <v>3991</v>
      </c>
      <c r="I363" t="b">
        <v>1</v>
      </c>
      <c r="J363">
        <v>147</v>
      </c>
      <c r="K363">
        <v>1207</v>
      </c>
      <c r="L363">
        <v>25</v>
      </c>
      <c r="M363">
        <f>COUNTIF(H363:$H$2581,H363)</f>
        <v>1</v>
      </c>
    </row>
    <row r="364" spans="1:13" x14ac:dyDescent="0.2">
      <c r="A364">
        <v>1157</v>
      </c>
      <c r="B364" t="s">
        <v>1725</v>
      </c>
      <c r="C364" t="s">
        <v>5913</v>
      </c>
      <c r="D364" t="s">
        <v>33</v>
      </c>
      <c r="E364" t="s">
        <v>5914</v>
      </c>
      <c r="F364" t="s">
        <v>1728</v>
      </c>
      <c r="G364" t="s">
        <v>5915</v>
      </c>
      <c r="H364" t="s">
        <v>4015</v>
      </c>
      <c r="I364" t="b">
        <v>0</v>
      </c>
      <c r="J364">
        <v>141</v>
      </c>
      <c r="K364">
        <v>1158</v>
      </c>
      <c r="L364">
        <v>124</v>
      </c>
      <c r="M364">
        <f>COUNTIF(H364:$H$2581,H364)</f>
        <v>1</v>
      </c>
    </row>
    <row r="365" spans="1:13" x14ac:dyDescent="0.2">
      <c r="A365">
        <v>116</v>
      </c>
      <c r="B365" t="s">
        <v>47</v>
      </c>
      <c r="C365" t="s">
        <v>6261</v>
      </c>
      <c r="D365" t="s">
        <v>13</v>
      </c>
      <c r="E365" t="s">
        <v>6262</v>
      </c>
      <c r="F365" t="s">
        <v>50</v>
      </c>
      <c r="G365" t="s">
        <v>6263</v>
      </c>
      <c r="H365" t="s">
        <v>4076</v>
      </c>
      <c r="I365" t="s">
        <v>24</v>
      </c>
      <c r="J365">
        <v>20</v>
      </c>
      <c r="K365">
        <v>117</v>
      </c>
      <c r="L365">
        <v>9</v>
      </c>
      <c r="M365">
        <f>COUNTIF(H365:$H$2581,H365)</f>
        <v>1</v>
      </c>
    </row>
    <row r="366" spans="1:13" x14ac:dyDescent="0.2">
      <c r="A366">
        <v>1434</v>
      </c>
      <c r="B366" t="s">
        <v>461</v>
      </c>
      <c r="C366" t="s">
        <v>6594</v>
      </c>
      <c r="D366" t="s">
        <v>13</v>
      </c>
      <c r="E366" t="s">
        <v>6595</v>
      </c>
      <c r="F366" t="s">
        <v>464</v>
      </c>
      <c r="G366" t="s">
        <v>6596</v>
      </c>
      <c r="H366" t="s">
        <v>4080</v>
      </c>
      <c r="I366" t="s">
        <v>24</v>
      </c>
      <c r="J366">
        <v>173</v>
      </c>
      <c r="K366">
        <v>1435</v>
      </c>
      <c r="L366">
        <v>7</v>
      </c>
      <c r="M366">
        <f>COUNTIF(H366:$H$2581,H366)</f>
        <v>1</v>
      </c>
    </row>
    <row r="367" spans="1:13" x14ac:dyDescent="0.2">
      <c r="A367">
        <v>450</v>
      </c>
      <c r="B367" t="s">
        <v>778</v>
      </c>
      <c r="C367" t="s">
        <v>6841</v>
      </c>
      <c r="D367" t="s">
        <v>13</v>
      </c>
      <c r="E367" t="s">
        <v>6842</v>
      </c>
      <c r="F367" t="s">
        <v>781</v>
      </c>
      <c r="G367" t="s">
        <v>6843</v>
      </c>
      <c r="H367" t="s">
        <v>4084</v>
      </c>
      <c r="I367" t="b">
        <v>0</v>
      </c>
      <c r="J367">
        <v>64</v>
      </c>
      <c r="K367">
        <v>451</v>
      </c>
      <c r="L367">
        <v>125</v>
      </c>
      <c r="M367">
        <f>COUNTIF(H367:$H$2581,H367)</f>
        <v>1</v>
      </c>
    </row>
    <row r="368" spans="1:13" x14ac:dyDescent="0.2">
      <c r="A368">
        <v>841</v>
      </c>
      <c r="B368" t="s">
        <v>176</v>
      </c>
      <c r="C368" t="s">
        <v>7052</v>
      </c>
      <c r="D368" t="s">
        <v>13</v>
      </c>
      <c r="E368" t="s">
        <v>7053</v>
      </c>
      <c r="F368" t="s">
        <v>179</v>
      </c>
      <c r="G368" t="s">
        <v>7054</v>
      </c>
      <c r="H368" t="s">
        <v>4088</v>
      </c>
      <c r="I368" t="s">
        <v>24</v>
      </c>
      <c r="J368">
        <v>115</v>
      </c>
      <c r="K368">
        <v>842</v>
      </c>
      <c r="L368">
        <v>14</v>
      </c>
      <c r="M368">
        <f>COUNTIF(H368:$H$2581,H368)</f>
        <v>1</v>
      </c>
    </row>
    <row r="369" spans="1:13" x14ac:dyDescent="0.2">
      <c r="A369">
        <v>1297</v>
      </c>
      <c r="B369" t="s">
        <v>1679</v>
      </c>
      <c r="C369" t="s">
        <v>7787</v>
      </c>
      <c r="D369" t="s">
        <v>13</v>
      </c>
      <c r="E369" t="s">
        <v>7788</v>
      </c>
      <c r="F369" t="s">
        <v>1682</v>
      </c>
      <c r="G369" t="s">
        <v>7789</v>
      </c>
      <c r="H369" t="s">
        <v>4092</v>
      </c>
      <c r="I369" t="b">
        <v>1</v>
      </c>
      <c r="J369">
        <v>159</v>
      </c>
      <c r="K369">
        <v>1298</v>
      </c>
      <c r="L369">
        <v>27</v>
      </c>
      <c r="M369">
        <f>COUNTIF(H369:$H$2581,H369)</f>
        <v>1</v>
      </c>
    </row>
    <row r="370" spans="1:13" x14ac:dyDescent="0.2">
      <c r="A370">
        <v>856</v>
      </c>
      <c r="B370" t="s">
        <v>193</v>
      </c>
      <c r="C370" t="s">
        <v>8168</v>
      </c>
      <c r="D370" t="s">
        <v>54</v>
      </c>
      <c r="E370" t="s">
        <v>8169</v>
      </c>
      <c r="F370" t="s">
        <v>196</v>
      </c>
      <c r="G370" t="s">
        <v>8170</v>
      </c>
      <c r="H370" t="s">
        <v>4096</v>
      </c>
      <c r="I370" t="s">
        <v>24</v>
      </c>
      <c r="J370">
        <v>117</v>
      </c>
      <c r="K370">
        <v>857</v>
      </c>
      <c r="L370">
        <v>30</v>
      </c>
      <c r="M370">
        <f>COUNTIF(H370:$H$2581,H370)</f>
        <v>1</v>
      </c>
    </row>
    <row r="371" spans="1:13" x14ac:dyDescent="0.2">
      <c r="A371">
        <v>832</v>
      </c>
      <c r="B371" t="s">
        <v>594</v>
      </c>
      <c r="C371" t="s">
        <v>8735</v>
      </c>
      <c r="D371" t="s">
        <v>13</v>
      </c>
      <c r="E371" t="s">
        <v>8736</v>
      </c>
      <c r="F371" t="s">
        <v>597</v>
      </c>
      <c r="G371" t="s">
        <v>8737</v>
      </c>
      <c r="H371" t="s">
        <v>4100</v>
      </c>
      <c r="I371" t="b">
        <v>1</v>
      </c>
      <c r="J371">
        <v>114</v>
      </c>
      <c r="K371">
        <v>833</v>
      </c>
      <c r="L371">
        <v>31</v>
      </c>
      <c r="M371">
        <f>COUNTIF(H371:$H$2581,H371)</f>
        <v>1</v>
      </c>
    </row>
    <row r="372" spans="1:13" x14ac:dyDescent="0.2">
      <c r="A372">
        <v>2124</v>
      </c>
      <c r="B372" t="s">
        <v>139</v>
      </c>
      <c r="C372" t="s">
        <v>38</v>
      </c>
      <c r="D372" t="s">
        <v>13</v>
      </c>
      <c r="E372" t="s">
        <v>140</v>
      </c>
      <c r="F372" t="s">
        <v>141</v>
      </c>
      <c r="G372" t="s">
        <v>41</v>
      </c>
      <c r="H372" t="s">
        <v>4104</v>
      </c>
      <c r="I372" t="b">
        <v>1</v>
      </c>
      <c r="J372">
        <v>245</v>
      </c>
      <c r="K372">
        <v>2125</v>
      </c>
      <c r="L372">
        <v>45</v>
      </c>
      <c r="M372">
        <f>COUNTIF(H372:$H$2581,H372)</f>
        <v>1</v>
      </c>
    </row>
    <row r="373" spans="1:13" x14ac:dyDescent="0.2">
      <c r="A373">
        <v>2146</v>
      </c>
      <c r="B373" t="s">
        <v>157</v>
      </c>
      <c r="C373" t="s">
        <v>351</v>
      </c>
      <c r="D373" t="s">
        <v>13</v>
      </c>
      <c r="E373" t="s">
        <v>389</v>
      </c>
      <c r="F373" t="s">
        <v>159</v>
      </c>
      <c r="G373" t="s">
        <v>353</v>
      </c>
      <c r="H373" t="s">
        <v>4111</v>
      </c>
      <c r="I373" t="s">
        <v>24</v>
      </c>
      <c r="J373">
        <v>250</v>
      </c>
      <c r="K373">
        <v>2147</v>
      </c>
      <c r="L373">
        <v>1</v>
      </c>
      <c r="M373">
        <f>COUNTIF(H373:$H$2581,H373)</f>
        <v>1</v>
      </c>
    </row>
    <row r="374" spans="1:13" x14ac:dyDescent="0.2">
      <c r="A374">
        <v>556</v>
      </c>
      <c r="B374" t="s">
        <v>1254</v>
      </c>
      <c r="C374" t="s">
        <v>1255</v>
      </c>
      <c r="D374" t="s">
        <v>33</v>
      </c>
      <c r="E374" t="s">
        <v>1256</v>
      </c>
      <c r="F374" t="s">
        <v>1257</v>
      </c>
      <c r="G374" t="s">
        <v>1258</v>
      </c>
      <c r="H374" t="s">
        <v>4124</v>
      </c>
      <c r="I374" t="s">
        <v>24</v>
      </c>
      <c r="J374">
        <v>83</v>
      </c>
      <c r="K374">
        <v>557</v>
      </c>
      <c r="L374">
        <v>157</v>
      </c>
      <c r="M374">
        <f>COUNTIF(H374:$H$2581,H374)</f>
        <v>1</v>
      </c>
    </row>
    <row r="375" spans="1:13" x14ac:dyDescent="0.2">
      <c r="A375">
        <v>498</v>
      </c>
      <c r="B375" t="s">
        <v>1738</v>
      </c>
      <c r="C375" t="s">
        <v>1739</v>
      </c>
      <c r="D375" t="s">
        <v>54</v>
      </c>
      <c r="E375" t="s">
        <v>1740</v>
      </c>
      <c r="F375" t="s">
        <v>1741</v>
      </c>
      <c r="G375" t="s">
        <v>1742</v>
      </c>
      <c r="H375" t="s">
        <v>4128</v>
      </c>
      <c r="I375" t="b">
        <v>0</v>
      </c>
      <c r="J375">
        <v>71</v>
      </c>
      <c r="K375">
        <v>499</v>
      </c>
      <c r="L375">
        <v>84</v>
      </c>
      <c r="M375">
        <f>COUNTIF(H375:$H$2581,H375)</f>
        <v>1</v>
      </c>
    </row>
    <row r="376" spans="1:13" x14ac:dyDescent="0.2">
      <c r="A376">
        <v>1465</v>
      </c>
      <c r="B376" t="s">
        <v>736</v>
      </c>
      <c r="C376" t="s">
        <v>1923</v>
      </c>
      <c r="D376" t="s">
        <v>13</v>
      </c>
      <c r="E376" t="s">
        <v>1924</v>
      </c>
      <c r="F376" t="s">
        <v>739</v>
      </c>
      <c r="G376" t="s">
        <v>1925</v>
      </c>
      <c r="H376" t="s">
        <v>4137</v>
      </c>
      <c r="I376" t="s">
        <v>24</v>
      </c>
      <c r="J376">
        <v>178</v>
      </c>
      <c r="K376">
        <v>1466</v>
      </c>
      <c r="L376">
        <v>10</v>
      </c>
      <c r="M376">
        <f>COUNTIF(H376:$H$2581,H376)</f>
        <v>1</v>
      </c>
    </row>
    <row r="377" spans="1:13" x14ac:dyDescent="0.2">
      <c r="A377">
        <v>636</v>
      </c>
      <c r="B377" t="s">
        <v>237</v>
      </c>
      <c r="C377" t="s">
        <v>2343</v>
      </c>
      <c r="D377" t="s">
        <v>13</v>
      </c>
      <c r="E377" t="s">
        <v>2344</v>
      </c>
      <c r="F377" t="s">
        <v>240</v>
      </c>
      <c r="G377" t="s">
        <v>2345</v>
      </c>
      <c r="H377" t="s">
        <v>4146</v>
      </c>
      <c r="I377" t="b">
        <v>1</v>
      </c>
      <c r="J377">
        <v>92</v>
      </c>
      <c r="K377">
        <v>637</v>
      </c>
      <c r="L377">
        <v>121</v>
      </c>
      <c r="M377">
        <f>COUNTIF(H377:$H$2581,H377)</f>
        <v>1</v>
      </c>
    </row>
    <row r="378" spans="1:13" x14ac:dyDescent="0.2">
      <c r="A378">
        <v>1075</v>
      </c>
      <c r="B378" t="s">
        <v>2230</v>
      </c>
      <c r="C378" t="s">
        <v>3567</v>
      </c>
      <c r="D378" t="s">
        <v>54</v>
      </c>
      <c r="E378" t="s">
        <v>3568</v>
      </c>
      <c r="F378" t="s">
        <v>2233</v>
      </c>
      <c r="G378" t="s">
        <v>3569</v>
      </c>
      <c r="H378" t="s">
        <v>4150</v>
      </c>
      <c r="I378" t="s">
        <v>24</v>
      </c>
      <c r="J378">
        <v>132</v>
      </c>
      <c r="K378">
        <v>1076</v>
      </c>
      <c r="L378">
        <v>39</v>
      </c>
      <c r="M378">
        <f>COUNTIF(H378:$H$2581,H378)</f>
        <v>1</v>
      </c>
    </row>
    <row r="379" spans="1:13" x14ac:dyDescent="0.2">
      <c r="A379">
        <v>892</v>
      </c>
      <c r="B379" t="s">
        <v>198</v>
      </c>
      <c r="C379" t="s">
        <v>3709</v>
      </c>
      <c r="D379" t="s">
        <v>54</v>
      </c>
      <c r="E379" t="s">
        <v>3712</v>
      </c>
      <c r="F379" t="s">
        <v>201</v>
      </c>
      <c r="G379" t="s">
        <v>3713</v>
      </c>
      <c r="H379" t="s">
        <v>4163</v>
      </c>
      <c r="I379" t="b">
        <v>0</v>
      </c>
      <c r="J379">
        <v>120</v>
      </c>
      <c r="K379">
        <v>893</v>
      </c>
      <c r="L379">
        <v>22</v>
      </c>
      <c r="M379">
        <f>COUNTIF(H379:$H$2581,H379)</f>
        <v>1</v>
      </c>
    </row>
    <row r="380" spans="1:13" x14ac:dyDescent="0.2">
      <c r="A380">
        <v>2043</v>
      </c>
      <c r="B380" t="s">
        <v>1313</v>
      </c>
      <c r="C380" t="s">
        <v>4563</v>
      </c>
      <c r="D380" t="s">
        <v>13</v>
      </c>
      <c r="E380" t="s">
        <v>4564</v>
      </c>
      <c r="F380" t="s">
        <v>1316</v>
      </c>
      <c r="G380" t="s">
        <v>4565</v>
      </c>
      <c r="H380" t="s">
        <v>4223</v>
      </c>
      <c r="I380" t="s">
        <v>24</v>
      </c>
      <c r="J380">
        <v>238</v>
      </c>
      <c r="K380">
        <v>2044</v>
      </c>
      <c r="L380">
        <v>4</v>
      </c>
      <c r="M380">
        <f>COUNTIF(H380:$H$2581,H380)</f>
        <v>1</v>
      </c>
    </row>
    <row r="381" spans="1:13" x14ac:dyDescent="0.2">
      <c r="A381">
        <v>972</v>
      </c>
      <c r="B381" t="s">
        <v>203</v>
      </c>
      <c r="C381" t="s">
        <v>5352</v>
      </c>
      <c r="D381" t="s">
        <v>54</v>
      </c>
      <c r="E381" t="s">
        <v>5353</v>
      </c>
      <c r="F381" t="s">
        <v>206</v>
      </c>
      <c r="G381" t="s">
        <v>5354</v>
      </c>
      <c r="H381" t="s">
        <v>4230</v>
      </c>
      <c r="I381" t="b">
        <v>1</v>
      </c>
      <c r="J381">
        <v>123</v>
      </c>
      <c r="K381">
        <v>973</v>
      </c>
      <c r="L381">
        <v>24</v>
      </c>
      <c r="M381">
        <f>COUNTIF(H381:$H$2581,H381)</f>
        <v>1</v>
      </c>
    </row>
    <row r="382" spans="1:13" x14ac:dyDescent="0.2">
      <c r="A382">
        <v>231</v>
      </c>
      <c r="B382" t="s">
        <v>1120</v>
      </c>
      <c r="C382" t="s">
        <v>5488</v>
      </c>
      <c r="D382" t="s">
        <v>13</v>
      </c>
      <c r="E382" t="s">
        <v>5489</v>
      </c>
      <c r="F382" s="1" t="s">
        <v>1123</v>
      </c>
      <c r="G382" t="s">
        <v>5490</v>
      </c>
      <c r="H382" t="s">
        <v>4234</v>
      </c>
      <c r="I382" t="b">
        <v>0</v>
      </c>
      <c r="J382">
        <v>40</v>
      </c>
      <c r="K382">
        <v>232</v>
      </c>
      <c r="L382">
        <v>13</v>
      </c>
      <c r="M382">
        <f>COUNTIF(H382:$H$2581,H382)</f>
        <v>1</v>
      </c>
    </row>
    <row r="383" spans="1:13" x14ac:dyDescent="0.2">
      <c r="A383">
        <v>565</v>
      </c>
      <c r="B383" t="s">
        <v>2797</v>
      </c>
      <c r="C383" t="s">
        <v>5573</v>
      </c>
      <c r="D383" t="s">
        <v>33</v>
      </c>
      <c r="E383" t="s">
        <v>5574</v>
      </c>
      <c r="F383" t="s">
        <v>2800</v>
      </c>
      <c r="G383" t="s">
        <v>5575</v>
      </c>
      <c r="H383" t="s">
        <v>4639</v>
      </c>
      <c r="I383" t="s">
        <v>24</v>
      </c>
      <c r="J383">
        <v>84</v>
      </c>
      <c r="K383">
        <v>566</v>
      </c>
      <c r="L383">
        <v>50</v>
      </c>
      <c r="M383">
        <f>COUNTIF(H383:$H$2581,H383)</f>
        <v>1</v>
      </c>
    </row>
    <row r="384" spans="1:13" x14ac:dyDescent="0.2">
      <c r="A384">
        <v>1241</v>
      </c>
      <c r="B384" t="s">
        <v>1461</v>
      </c>
      <c r="C384" t="s">
        <v>5757</v>
      </c>
      <c r="D384" t="s">
        <v>33</v>
      </c>
      <c r="E384" t="s">
        <v>5758</v>
      </c>
      <c r="F384" t="s">
        <v>1464</v>
      </c>
      <c r="G384" t="s">
        <v>5759</v>
      </c>
      <c r="H384" t="s">
        <v>4646</v>
      </c>
      <c r="I384" t="b">
        <v>0</v>
      </c>
      <c r="J384">
        <v>152</v>
      </c>
      <c r="K384">
        <v>1242</v>
      </c>
      <c r="L384">
        <v>25</v>
      </c>
      <c r="M384">
        <f>COUNTIF(H384:$H$2581,H384)</f>
        <v>1</v>
      </c>
    </row>
    <row r="385" spans="1:13" x14ac:dyDescent="0.2">
      <c r="A385">
        <v>1195</v>
      </c>
      <c r="B385" t="s">
        <v>2485</v>
      </c>
      <c r="C385" t="s">
        <v>5916</v>
      </c>
      <c r="D385" t="s">
        <v>13</v>
      </c>
      <c r="E385" t="s">
        <v>5917</v>
      </c>
      <c r="F385" t="s">
        <v>2488</v>
      </c>
      <c r="G385" t="s">
        <v>5918</v>
      </c>
      <c r="H385" t="s">
        <v>4656</v>
      </c>
      <c r="I385" t="b">
        <v>0</v>
      </c>
      <c r="J385">
        <v>146</v>
      </c>
      <c r="K385">
        <v>1196</v>
      </c>
      <c r="L385">
        <v>124</v>
      </c>
      <c r="M385">
        <f>COUNTIF(H385:$H$2581,H385)</f>
        <v>1</v>
      </c>
    </row>
    <row r="386" spans="1:13" x14ac:dyDescent="0.2">
      <c r="A386">
        <v>125</v>
      </c>
      <c r="B386" t="s">
        <v>52</v>
      </c>
      <c r="C386" t="s">
        <v>6264</v>
      </c>
      <c r="D386" t="s">
        <v>54</v>
      </c>
      <c r="E386" t="s">
        <v>6265</v>
      </c>
      <c r="F386" t="s">
        <v>56</v>
      </c>
      <c r="G386" t="s">
        <v>6266</v>
      </c>
      <c r="H386" t="s">
        <v>4701</v>
      </c>
      <c r="I386" t="b">
        <v>0</v>
      </c>
      <c r="J386">
        <v>22</v>
      </c>
      <c r="K386">
        <v>126</v>
      </c>
      <c r="L386">
        <v>9</v>
      </c>
      <c r="M386">
        <f>COUNTIF(H386:$H$2581,H386)</f>
        <v>1</v>
      </c>
    </row>
    <row r="387" spans="1:13" x14ac:dyDescent="0.2">
      <c r="A387">
        <v>1447</v>
      </c>
      <c r="B387" t="s">
        <v>2882</v>
      </c>
      <c r="C387" t="s">
        <v>6597</v>
      </c>
      <c r="D387" t="s">
        <v>13</v>
      </c>
      <c r="E387" t="s">
        <v>6598</v>
      </c>
      <c r="F387" t="s">
        <v>2885</v>
      </c>
      <c r="G387" t="s">
        <v>6599</v>
      </c>
      <c r="H387" t="s">
        <v>4705</v>
      </c>
      <c r="I387" t="b">
        <v>1</v>
      </c>
      <c r="J387">
        <v>175</v>
      </c>
      <c r="K387">
        <v>1448</v>
      </c>
      <c r="L387">
        <v>7</v>
      </c>
      <c r="M387">
        <f>COUNTIF(H387:$H$2581,H387)</f>
        <v>1</v>
      </c>
    </row>
    <row r="388" spans="1:13" x14ac:dyDescent="0.2">
      <c r="A388">
        <v>881</v>
      </c>
      <c r="B388" t="s">
        <v>1192</v>
      </c>
      <c r="C388" t="s">
        <v>6844</v>
      </c>
      <c r="D388" t="s">
        <v>13</v>
      </c>
      <c r="E388" t="s">
        <v>6845</v>
      </c>
      <c r="F388" t="s">
        <v>1195</v>
      </c>
      <c r="G388" t="s">
        <v>6846</v>
      </c>
      <c r="H388" t="s">
        <v>4709</v>
      </c>
      <c r="I388" t="s">
        <v>24</v>
      </c>
      <c r="J388">
        <v>119</v>
      </c>
      <c r="K388">
        <v>882</v>
      </c>
      <c r="L388">
        <v>125</v>
      </c>
      <c r="M388">
        <f>COUNTIF(H388:$H$2581,H388)</f>
        <v>1</v>
      </c>
    </row>
    <row r="389" spans="1:13" x14ac:dyDescent="0.2">
      <c r="A389">
        <v>906</v>
      </c>
      <c r="B389" t="s">
        <v>198</v>
      </c>
      <c r="C389" t="s">
        <v>7055</v>
      </c>
      <c r="D389" t="s">
        <v>54</v>
      </c>
      <c r="E389" t="s">
        <v>7056</v>
      </c>
      <c r="F389" t="s">
        <v>201</v>
      </c>
      <c r="G389" t="s">
        <v>7057</v>
      </c>
      <c r="H389" t="s">
        <v>4713</v>
      </c>
      <c r="I389" t="b">
        <v>0</v>
      </c>
      <c r="J389">
        <v>120</v>
      </c>
      <c r="K389">
        <v>907</v>
      </c>
      <c r="L389">
        <v>14</v>
      </c>
      <c r="M389">
        <f>COUNTIF(H389:$H$2581,H389)</f>
        <v>1</v>
      </c>
    </row>
    <row r="390" spans="1:13" x14ac:dyDescent="0.2">
      <c r="A390">
        <v>1318</v>
      </c>
      <c r="B390" t="s">
        <v>1915</v>
      </c>
      <c r="C390" t="s">
        <v>7790</v>
      </c>
      <c r="D390" t="s">
        <v>13</v>
      </c>
      <c r="E390" t="s">
        <v>7791</v>
      </c>
      <c r="F390" t="s">
        <v>1918</v>
      </c>
      <c r="G390" t="s">
        <v>7792</v>
      </c>
      <c r="H390" t="s">
        <v>4717</v>
      </c>
      <c r="I390" t="s">
        <v>24</v>
      </c>
      <c r="J390">
        <v>161</v>
      </c>
      <c r="K390">
        <v>1319</v>
      </c>
      <c r="L390">
        <v>27</v>
      </c>
      <c r="M390">
        <f>COUNTIF(H390:$H$2581,H390)</f>
        <v>1</v>
      </c>
    </row>
    <row r="391" spans="1:13" x14ac:dyDescent="0.2">
      <c r="A391">
        <v>869</v>
      </c>
      <c r="B391" t="s">
        <v>1091</v>
      </c>
      <c r="C391" t="s">
        <v>8171</v>
      </c>
      <c r="D391" t="s">
        <v>54</v>
      </c>
      <c r="E391" t="s">
        <v>8172</v>
      </c>
      <c r="F391" t="s">
        <v>1094</v>
      </c>
      <c r="G391" t="s">
        <v>8173</v>
      </c>
      <c r="H391" t="s">
        <v>4730</v>
      </c>
      <c r="I391" t="b">
        <v>1</v>
      </c>
      <c r="J391">
        <v>118</v>
      </c>
      <c r="K391">
        <v>870</v>
      </c>
      <c r="L391">
        <v>30</v>
      </c>
      <c r="M391">
        <f>COUNTIF(H391:$H$2581,H391)</f>
        <v>1</v>
      </c>
    </row>
    <row r="392" spans="1:13" x14ac:dyDescent="0.2">
      <c r="A392">
        <v>990</v>
      </c>
      <c r="B392" t="s">
        <v>203</v>
      </c>
      <c r="C392" t="s">
        <v>8738</v>
      </c>
      <c r="D392" t="s">
        <v>54</v>
      </c>
      <c r="E392" t="s">
        <v>8739</v>
      </c>
      <c r="F392" t="s">
        <v>206</v>
      </c>
      <c r="G392" t="s">
        <v>8740</v>
      </c>
      <c r="H392" t="s">
        <v>4737</v>
      </c>
      <c r="I392" t="b">
        <v>1</v>
      </c>
      <c r="J392">
        <v>123</v>
      </c>
      <c r="K392">
        <v>991</v>
      </c>
      <c r="L392">
        <v>31</v>
      </c>
      <c r="M392">
        <f>COUNTIF(H392:$H$2581,H392)</f>
        <v>1</v>
      </c>
    </row>
    <row r="393" spans="1:13" x14ac:dyDescent="0.2">
      <c r="A393">
        <v>2029</v>
      </c>
      <c r="B393" t="s">
        <v>134</v>
      </c>
      <c r="C393" t="s">
        <v>135</v>
      </c>
      <c r="D393" t="s">
        <v>54</v>
      </c>
      <c r="E393" s="1" t="s">
        <v>136</v>
      </c>
      <c r="F393" t="s">
        <v>137</v>
      </c>
      <c r="G393" t="s">
        <v>138</v>
      </c>
      <c r="H393" t="s">
        <v>4741</v>
      </c>
      <c r="I393" t="s">
        <v>24</v>
      </c>
      <c r="J393">
        <v>235</v>
      </c>
      <c r="K393">
        <v>2030</v>
      </c>
      <c r="L393">
        <v>45</v>
      </c>
      <c r="M393">
        <f>COUNTIF(H393:$H$2581,H393)</f>
        <v>1</v>
      </c>
    </row>
    <row r="394" spans="1:13" x14ac:dyDescent="0.2">
      <c r="A394">
        <v>2136</v>
      </c>
      <c r="B394" t="s">
        <v>147</v>
      </c>
      <c r="C394" t="s">
        <v>386</v>
      </c>
      <c r="D394" t="s">
        <v>13</v>
      </c>
      <c r="E394" t="s">
        <v>387</v>
      </c>
      <c r="F394" t="s">
        <v>150</v>
      </c>
      <c r="G394" t="s">
        <v>388</v>
      </c>
      <c r="H394" t="s">
        <v>4745</v>
      </c>
      <c r="I394" t="b">
        <v>1</v>
      </c>
      <c r="J394">
        <v>248</v>
      </c>
      <c r="K394">
        <v>2137</v>
      </c>
      <c r="L394">
        <v>1</v>
      </c>
      <c r="M394">
        <f>COUNTIF(H394:$H$2581,H394)</f>
        <v>1</v>
      </c>
    </row>
    <row r="395" spans="1:13" x14ac:dyDescent="0.2">
      <c r="A395">
        <v>688</v>
      </c>
      <c r="B395" t="s">
        <v>1131</v>
      </c>
      <c r="C395" t="s">
        <v>1259</v>
      </c>
      <c r="D395" t="s">
        <v>13</v>
      </c>
      <c r="E395" t="s">
        <v>1260</v>
      </c>
      <c r="F395" s="1" t="s">
        <v>1134</v>
      </c>
      <c r="G395" t="s">
        <v>1261</v>
      </c>
      <c r="H395" t="s">
        <v>4752</v>
      </c>
      <c r="I395" t="b">
        <v>0</v>
      </c>
      <c r="J395">
        <v>102</v>
      </c>
      <c r="K395">
        <v>689</v>
      </c>
      <c r="L395">
        <v>157</v>
      </c>
      <c r="M395">
        <f>COUNTIF(H395:$H$2581,H395)</f>
        <v>1</v>
      </c>
    </row>
    <row r="396" spans="1:13" x14ac:dyDescent="0.2">
      <c r="A396">
        <v>535</v>
      </c>
      <c r="B396" t="s">
        <v>188</v>
      </c>
      <c r="C396" t="s">
        <v>1743</v>
      </c>
      <c r="D396" t="s">
        <v>54</v>
      </c>
      <c r="E396" t="s">
        <v>1744</v>
      </c>
      <c r="F396" t="s">
        <v>191</v>
      </c>
      <c r="G396" t="s">
        <v>1745</v>
      </c>
      <c r="H396" t="s">
        <v>4756</v>
      </c>
      <c r="I396" t="b">
        <v>0</v>
      </c>
      <c r="J396">
        <v>80</v>
      </c>
      <c r="K396">
        <v>536</v>
      </c>
      <c r="L396">
        <v>84</v>
      </c>
      <c r="M396">
        <f>COUNTIF(H396:$H$2581,H396)</f>
        <v>1</v>
      </c>
    </row>
    <row r="397" spans="1:13" x14ac:dyDescent="0.2">
      <c r="A397">
        <v>1476</v>
      </c>
      <c r="B397" t="s">
        <v>1773</v>
      </c>
      <c r="C397" t="s">
        <v>1926</v>
      </c>
      <c r="D397" t="s">
        <v>13</v>
      </c>
      <c r="E397" t="s">
        <v>1927</v>
      </c>
      <c r="F397" t="s">
        <v>1776</v>
      </c>
      <c r="G397" t="s">
        <v>1928</v>
      </c>
      <c r="H397" t="s">
        <v>4760</v>
      </c>
      <c r="I397" t="b">
        <v>0</v>
      </c>
      <c r="J397">
        <v>180</v>
      </c>
      <c r="K397">
        <v>1477</v>
      </c>
      <c r="L397">
        <v>10</v>
      </c>
      <c r="M397">
        <f>COUNTIF(H397:$H$2581,H397)</f>
        <v>1</v>
      </c>
    </row>
    <row r="398" spans="1:13" x14ac:dyDescent="0.2">
      <c r="A398">
        <v>658</v>
      </c>
      <c r="B398" t="s">
        <v>2346</v>
      </c>
      <c r="C398" t="s">
        <v>2347</v>
      </c>
      <c r="D398" t="s">
        <v>13</v>
      </c>
      <c r="E398" t="s">
        <v>2348</v>
      </c>
      <c r="F398" t="s">
        <v>2349</v>
      </c>
      <c r="G398" t="s">
        <v>2350</v>
      </c>
      <c r="H398" t="s">
        <v>4766</v>
      </c>
      <c r="I398" t="s">
        <v>24</v>
      </c>
      <c r="J398">
        <v>97</v>
      </c>
      <c r="K398">
        <v>659</v>
      </c>
      <c r="L398">
        <v>121</v>
      </c>
      <c r="M398">
        <f>COUNTIF(H398:$H$2581,H398)</f>
        <v>1</v>
      </c>
    </row>
    <row r="399" spans="1:13" x14ac:dyDescent="0.2">
      <c r="A399">
        <v>1125</v>
      </c>
      <c r="B399" t="s">
        <v>625</v>
      </c>
      <c r="C399" t="s">
        <v>3570</v>
      </c>
      <c r="D399" t="s">
        <v>13</v>
      </c>
      <c r="E399" t="s">
        <v>3571</v>
      </c>
      <c r="F399" t="s">
        <v>628</v>
      </c>
      <c r="G399" t="s">
        <v>3572</v>
      </c>
      <c r="H399" t="s">
        <v>4773</v>
      </c>
      <c r="I399" t="b">
        <v>1</v>
      </c>
      <c r="J399">
        <v>136</v>
      </c>
      <c r="K399">
        <v>1126</v>
      </c>
      <c r="L399">
        <v>39</v>
      </c>
      <c r="M399">
        <f>COUNTIF(H399:$H$2581,H399)</f>
        <v>1</v>
      </c>
    </row>
    <row r="400" spans="1:13" x14ac:dyDescent="0.2">
      <c r="A400">
        <v>893</v>
      </c>
      <c r="B400" t="s">
        <v>198</v>
      </c>
      <c r="C400" t="s">
        <v>3714</v>
      </c>
      <c r="D400" t="s">
        <v>54</v>
      </c>
      <c r="E400" t="s">
        <v>3715</v>
      </c>
      <c r="F400" t="s">
        <v>201</v>
      </c>
      <c r="G400" t="s">
        <v>3716</v>
      </c>
      <c r="H400" t="s">
        <v>4777</v>
      </c>
      <c r="I400" t="b">
        <v>0</v>
      </c>
      <c r="J400">
        <v>120</v>
      </c>
      <c r="K400">
        <v>894</v>
      </c>
      <c r="L400">
        <v>22</v>
      </c>
      <c r="M400">
        <f>COUNTIF(H400:$H$2581,H400)</f>
        <v>1</v>
      </c>
    </row>
    <row r="401" spans="1:13" x14ac:dyDescent="0.2">
      <c r="A401">
        <v>2053</v>
      </c>
      <c r="B401" t="s">
        <v>1798</v>
      </c>
      <c r="C401" t="s">
        <v>4566</v>
      </c>
      <c r="D401" t="s">
        <v>13</v>
      </c>
      <c r="E401" t="s">
        <v>4567</v>
      </c>
      <c r="F401" t="s">
        <v>1801</v>
      </c>
      <c r="G401" t="s">
        <v>4568</v>
      </c>
      <c r="H401" t="s">
        <v>4786</v>
      </c>
      <c r="I401" t="b">
        <v>1</v>
      </c>
      <c r="J401">
        <v>239</v>
      </c>
      <c r="K401">
        <v>2054</v>
      </c>
      <c r="L401">
        <v>4</v>
      </c>
      <c r="M401">
        <f>COUNTIF(H401:$H$2581,H401)</f>
        <v>1</v>
      </c>
    </row>
    <row r="402" spans="1:13" x14ac:dyDescent="0.2">
      <c r="A402">
        <v>281</v>
      </c>
      <c r="B402" t="s">
        <v>2105</v>
      </c>
      <c r="C402" t="s">
        <v>4965</v>
      </c>
      <c r="D402" t="s">
        <v>54</v>
      </c>
      <c r="E402" t="s">
        <v>4966</v>
      </c>
      <c r="F402" t="s">
        <v>2108</v>
      </c>
      <c r="G402" t="s">
        <v>4967</v>
      </c>
      <c r="H402" t="s">
        <v>4790</v>
      </c>
      <c r="I402" t="s">
        <v>24</v>
      </c>
      <c r="J402">
        <v>44</v>
      </c>
      <c r="K402">
        <v>282</v>
      </c>
      <c r="L402">
        <v>123</v>
      </c>
      <c r="M402">
        <f>COUNTIF(H402:$H$2581,H402)</f>
        <v>1</v>
      </c>
    </row>
    <row r="403" spans="1:13" x14ac:dyDescent="0.2">
      <c r="A403">
        <v>1161</v>
      </c>
      <c r="B403" t="s">
        <v>3573</v>
      </c>
      <c r="C403" t="s">
        <v>5355</v>
      </c>
      <c r="D403" t="s">
        <v>54</v>
      </c>
      <c r="E403" t="s">
        <v>5356</v>
      </c>
      <c r="F403" t="s">
        <v>3576</v>
      </c>
      <c r="G403" t="s">
        <v>5357</v>
      </c>
      <c r="H403" t="s">
        <v>4800</v>
      </c>
      <c r="I403" t="s">
        <v>24</v>
      </c>
      <c r="J403">
        <v>142</v>
      </c>
      <c r="K403">
        <v>1162</v>
      </c>
      <c r="L403">
        <v>24</v>
      </c>
      <c r="M403">
        <f>COUNTIF(H403:$H$2581,H403)</f>
        <v>1</v>
      </c>
    </row>
    <row r="404" spans="1:13" x14ac:dyDescent="0.2">
      <c r="A404">
        <v>261</v>
      </c>
      <c r="B404" t="s">
        <v>1503</v>
      </c>
      <c r="C404" t="s">
        <v>5491</v>
      </c>
      <c r="D404" t="s">
        <v>33</v>
      </c>
      <c r="E404" t="s">
        <v>5492</v>
      </c>
      <c r="F404" t="s">
        <v>1506</v>
      </c>
      <c r="G404" t="s">
        <v>5493</v>
      </c>
      <c r="H404" t="s">
        <v>4804</v>
      </c>
      <c r="I404" t="b">
        <v>0</v>
      </c>
      <c r="J404">
        <v>42</v>
      </c>
      <c r="K404">
        <v>262</v>
      </c>
      <c r="L404">
        <v>13</v>
      </c>
      <c r="M404">
        <f>COUNTIF(H404:$H$2581,H404)</f>
        <v>1</v>
      </c>
    </row>
    <row r="405" spans="1:13" x14ac:dyDescent="0.2">
      <c r="A405">
        <v>619</v>
      </c>
      <c r="B405" t="s">
        <v>1491</v>
      </c>
      <c r="C405" t="s">
        <v>5576</v>
      </c>
      <c r="D405" t="s">
        <v>54</v>
      </c>
      <c r="E405" t="s">
        <v>5577</v>
      </c>
      <c r="F405" t="s">
        <v>1494</v>
      </c>
      <c r="G405" t="s">
        <v>5578</v>
      </c>
      <c r="H405" t="s">
        <v>4808</v>
      </c>
      <c r="I405" t="b">
        <v>0</v>
      </c>
      <c r="J405">
        <v>91</v>
      </c>
      <c r="K405">
        <v>620</v>
      </c>
      <c r="L405">
        <v>50</v>
      </c>
      <c r="M405">
        <f>COUNTIF(H405:$H$2581,H405)</f>
        <v>1</v>
      </c>
    </row>
    <row r="406" spans="1:13" x14ac:dyDescent="0.2">
      <c r="A406">
        <v>1256</v>
      </c>
      <c r="B406" t="s">
        <v>3822</v>
      </c>
      <c r="C406" t="s">
        <v>5760</v>
      </c>
      <c r="D406" t="s">
        <v>13</v>
      </c>
      <c r="E406" t="s">
        <v>5761</v>
      </c>
      <c r="F406" t="s">
        <v>3825</v>
      </c>
      <c r="G406" t="s">
        <v>5762</v>
      </c>
      <c r="H406" t="s">
        <v>4812</v>
      </c>
      <c r="I406" t="s">
        <v>24</v>
      </c>
      <c r="J406">
        <v>155</v>
      </c>
      <c r="K406">
        <v>1257</v>
      </c>
      <c r="L406">
        <v>25</v>
      </c>
      <c r="M406">
        <f>COUNTIF(H406:$H$2581,H406)</f>
        <v>1</v>
      </c>
    </row>
    <row r="407" spans="1:13" x14ac:dyDescent="0.2">
      <c r="A407">
        <v>1242</v>
      </c>
      <c r="B407" t="s">
        <v>1461</v>
      </c>
      <c r="C407" t="s">
        <v>5919</v>
      </c>
      <c r="D407" t="s">
        <v>33</v>
      </c>
      <c r="E407" t="s">
        <v>5920</v>
      </c>
      <c r="F407" t="s">
        <v>1464</v>
      </c>
      <c r="G407" t="s">
        <v>5921</v>
      </c>
      <c r="H407" t="s">
        <v>4816</v>
      </c>
      <c r="I407" t="b">
        <v>0</v>
      </c>
      <c r="J407">
        <v>152</v>
      </c>
      <c r="K407">
        <v>1243</v>
      </c>
      <c r="L407">
        <v>124</v>
      </c>
      <c r="M407">
        <f>COUNTIF(H407:$H$2581,H407)</f>
        <v>1</v>
      </c>
    </row>
    <row r="408" spans="1:13" x14ac:dyDescent="0.2">
      <c r="A408">
        <v>166</v>
      </c>
      <c r="B408" t="s">
        <v>6267</v>
      </c>
      <c r="C408" t="s">
        <v>6268</v>
      </c>
      <c r="D408" t="s">
        <v>13</v>
      </c>
      <c r="E408" t="s">
        <v>6269</v>
      </c>
      <c r="F408" t="s">
        <v>6270</v>
      </c>
      <c r="G408" t="s">
        <v>6271</v>
      </c>
      <c r="H408" t="s">
        <v>4820</v>
      </c>
      <c r="I408" t="s">
        <v>24</v>
      </c>
      <c r="J408">
        <v>31</v>
      </c>
      <c r="K408">
        <v>167</v>
      </c>
      <c r="L408">
        <v>9</v>
      </c>
      <c r="M408">
        <f>COUNTIF(H408:$H$2581,H408)</f>
        <v>1</v>
      </c>
    </row>
    <row r="409" spans="1:13" x14ac:dyDescent="0.2">
      <c r="A409">
        <v>1470</v>
      </c>
      <c r="B409" t="s">
        <v>736</v>
      </c>
      <c r="C409" t="s">
        <v>6600</v>
      </c>
      <c r="D409" t="s">
        <v>13</v>
      </c>
      <c r="E409" t="s">
        <v>6601</v>
      </c>
      <c r="F409" t="s">
        <v>739</v>
      </c>
      <c r="G409" t="s">
        <v>6602</v>
      </c>
      <c r="H409" t="s">
        <v>4824</v>
      </c>
      <c r="I409" t="s">
        <v>24</v>
      </c>
      <c r="J409">
        <v>178</v>
      </c>
      <c r="K409">
        <v>1471</v>
      </c>
      <c r="L409">
        <v>7</v>
      </c>
      <c r="M409">
        <f>COUNTIF(H409:$H$2581,H409)</f>
        <v>1</v>
      </c>
    </row>
    <row r="410" spans="1:13" x14ac:dyDescent="0.2">
      <c r="A410">
        <v>925</v>
      </c>
      <c r="B410" t="s">
        <v>271</v>
      </c>
      <c r="C410" t="s">
        <v>6847</v>
      </c>
      <c r="D410" t="s">
        <v>54</v>
      </c>
      <c r="E410" t="s">
        <v>6848</v>
      </c>
      <c r="F410" t="s">
        <v>274</v>
      </c>
      <c r="G410" t="s">
        <v>6849</v>
      </c>
      <c r="H410" t="s">
        <v>4844</v>
      </c>
      <c r="I410" t="s">
        <v>24</v>
      </c>
      <c r="J410">
        <v>121</v>
      </c>
      <c r="K410">
        <v>926</v>
      </c>
      <c r="L410">
        <v>125</v>
      </c>
      <c r="M410">
        <f>COUNTIF(H410:$H$2581,H410)</f>
        <v>1</v>
      </c>
    </row>
    <row r="411" spans="1:13" x14ac:dyDescent="0.2">
      <c r="A411">
        <v>926</v>
      </c>
      <c r="B411" t="s">
        <v>271</v>
      </c>
      <c r="C411" t="s">
        <v>7058</v>
      </c>
      <c r="D411" t="s">
        <v>54</v>
      </c>
      <c r="E411" t="s">
        <v>7059</v>
      </c>
      <c r="F411" t="s">
        <v>274</v>
      </c>
      <c r="G411" t="s">
        <v>7060</v>
      </c>
      <c r="H411" t="s">
        <v>4848</v>
      </c>
      <c r="I411" t="s">
        <v>24</v>
      </c>
      <c r="J411">
        <v>121</v>
      </c>
      <c r="K411">
        <v>927</v>
      </c>
      <c r="L411">
        <v>14</v>
      </c>
      <c r="M411">
        <f>COUNTIF(H411:$H$2581,H411)</f>
        <v>1</v>
      </c>
    </row>
    <row r="412" spans="1:13" x14ac:dyDescent="0.2">
      <c r="A412">
        <v>1342</v>
      </c>
      <c r="B412" t="s">
        <v>2235</v>
      </c>
      <c r="C412" t="s">
        <v>7793</v>
      </c>
      <c r="D412" t="s">
        <v>54</v>
      </c>
      <c r="E412" t="s">
        <v>7794</v>
      </c>
      <c r="F412" t="s">
        <v>2238</v>
      </c>
      <c r="G412" t="s">
        <v>7795</v>
      </c>
      <c r="H412" t="s">
        <v>4852</v>
      </c>
      <c r="I412" t="b">
        <v>0</v>
      </c>
      <c r="J412">
        <v>163</v>
      </c>
      <c r="K412">
        <v>1343</v>
      </c>
      <c r="L412">
        <v>27</v>
      </c>
      <c r="M412">
        <f>COUNTIF(H412:$H$2581,H412)</f>
        <v>1</v>
      </c>
    </row>
    <row r="413" spans="1:13" x14ac:dyDescent="0.2">
      <c r="A413">
        <v>884</v>
      </c>
      <c r="B413" t="s">
        <v>1192</v>
      </c>
      <c r="C413" t="s">
        <v>8174</v>
      </c>
      <c r="D413" t="s">
        <v>54</v>
      </c>
      <c r="E413" t="s">
        <v>8175</v>
      </c>
      <c r="F413" t="s">
        <v>1195</v>
      </c>
      <c r="G413" t="s">
        <v>8176</v>
      </c>
      <c r="H413" t="s">
        <v>4877</v>
      </c>
      <c r="I413" t="s">
        <v>24</v>
      </c>
      <c r="J413">
        <v>119</v>
      </c>
      <c r="K413">
        <v>885</v>
      </c>
      <c r="L413">
        <v>30</v>
      </c>
      <c r="M413">
        <f>COUNTIF(H413:$H$2581,H413)</f>
        <v>1</v>
      </c>
    </row>
    <row r="414" spans="1:13" x14ac:dyDescent="0.2">
      <c r="A414">
        <v>991</v>
      </c>
      <c r="B414" t="s">
        <v>203</v>
      </c>
      <c r="C414" t="s">
        <v>8741</v>
      </c>
      <c r="D414" t="s">
        <v>13</v>
      </c>
      <c r="E414" t="s">
        <v>8742</v>
      </c>
      <c r="F414" t="s">
        <v>206</v>
      </c>
      <c r="G414" t="s">
        <v>8743</v>
      </c>
      <c r="H414" t="s">
        <v>4929</v>
      </c>
      <c r="I414" t="b">
        <v>1</v>
      </c>
      <c r="J414">
        <v>123</v>
      </c>
      <c r="K414">
        <v>992</v>
      </c>
      <c r="L414">
        <v>31</v>
      </c>
      <c r="M414">
        <f>COUNTIF(H414:$H$2581,H414)</f>
        <v>1</v>
      </c>
    </row>
    <row r="415" spans="1:13" x14ac:dyDescent="0.2">
      <c r="A415">
        <v>1683</v>
      </c>
      <c r="B415" t="s">
        <v>129</v>
      </c>
      <c r="C415" t="s">
        <v>130</v>
      </c>
      <c r="D415" t="s">
        <v>54</v>
      </c>
      <c r="E415" t="s">
        <v>131</v>
      </c>
      <c r="F415" t="s">
        <v>132</v>
      </c>
      <c r="G415" t="s">
        <v>133</v>
      </c>
      <c r="H415" t="s">
        <v>4933</v>
      </c>
      <c r="I415" t="b">
        <v>1</v>
      </c>
      <c r="J415">
        <v>204</v>
      </c>
      <c r="K415">
        <v>1684</v>
      </c>
      <c r="L415">
        <v>45</v>
      </c>
      <c r="M415">
        <f>COUNTIF(H415:$H$2581,H415)</f>
        <v>1</v>
      </c>
    </row>
    <row r="416" spans="1:13" x14ac:dyDescent="0.2">
      <c r="A416">
        <v>1963</v>
      </c>
      <c r="B416" t="s">
        <v>381</v>
      </c>
      <c r="C416" t="s">
        <v>382</v>
      </c>
      <c r="D416" t="s">
        <v>13</v>
      </c>
      <c r="E416" t="s">
        <v>383</v>
      </c>
      <c r="F416" t="s">
        <v>384</v>
      </c>
      <c r="G416" t="s">
        <v>385</v>
      </c>
      <c r="H416" t="s">
        <v>4937</v>
      </c>
      <c r="I416" t="s">
        <v>24</v>
      </c>
      <c r="J416">
        <v>226</v>
      </c>
      <c r="K416">
        <v>1964</v>
      </c>
      <c r="L416">
        <v>1</v>
      </c>
      <c r="M416">
        <f>COUNTIF(H416:$H$2581,H416)</f>
        <v>1</v>
      </c>
    </row>
    <row r="417" spans="1:13" x14ac:dyDescent="0.2">
      <c r="A417">
        <v>701</v>
      </c>
      <c r="B417" t="s">
        <v>730</v>
      </c>
      <c r="C417" t="s">
        <v>1262</v>
      </c>
      <c r="D417" t="s">
        <v>33</v>
      </c>
      <c r="E417" t="s">
        <v>1263</v>
      </c>
      <c r="F417" t="s">
        <v>733</v>
      </c>
      <c r="G417" t="s">
        <v>1264</v>
      </c>
      <c r="H417" t="s">
        <v>4947</v>
      </c>
      <c r="I417" t="s">
        <v>24</v>
      </c>
      <c r="J417">
        <v>103</v>
      </c>
      <c r="K417">
        <v>702</v>
      </c>
      <c r="L417">
        <v>157</v>
      </c>
      <c r="M417">
        <f>COUNTIF(H417:$H$2581,H417)</f>
        <v>1</v>
      </c>
    </row>
    <row r="418" spans="1:13" x14ac:dyDescent="0.2">
      <c r="A418">
        <v>593</v>
      </c>
      <c r="B418" t="s">
        <v>1097</v>
      </c>
      <c r="C418" t="s">
        <v>1746</v>
      </c>
      <c r="D418" t="s">
        <v>33</v>
      </c>
      <c r="E418" t="s">
        <v>1747</v>
      </c>
      <c r="F418" t="s">
        <v>1100</v>
      </c>
      <c r="G418" t="s">
        <v>1748</v>
      </c>
      <c r="H418" t="s">
        <v>4951</v>
      </c>
      <c r="I418" t="b">
        <v>0</v>
      </c>
      <c r="J418">
        <v>90</v>
      </c>
      <c r="K418">
        <v>594</v>
      </c>
      <c r="L418">
        <v>84</v>
      </c>
      <c r="M418">
        <f>COUNTIF(H418:$H$2581,H418)</f>
        <v>1</v>
      </c>
    </row>
    <row r="419" spans="1:13" x14ac:dyDescent="0.2">
      <c r="A419">
        <v>1516</v>
      </c>
      <c r="B419" t="s">
        <v>1929</v>
      </c>
      <c r="C419" t="s">
        <v>1930</v>
      </c>
      <c r="D419" t="s">
        <v>33</v>
      </c>
      <c r="E419" t="s">
        <v>1931</v>
      </c>
      <c r="F419" t="s">
        <v>1932</v>
      </c>
      <c r="G419" t="s">
        <v>1933</v>
      </c>
      <c r="H419" t="s">
        <v>4961</v>
      </c>
      <c r="I419" t="b">
        <v>0</v>
      </c>
      <c r="J419">
        <v>184</v>
      </c>
      <c r="K419">
        <v>1517</v>
      </c>
      <c r="L419">
        <v>10</v>
      </c>
      <c r="M419">
        <f>COUNTIF(H419:$H$2581,H419)</f>
        <v>1</v>
      </c>
    </row>
    <row r="420" spans="1:13" x14ac:dyDescent="0.2">
      <c r="A420">
        <v>689</v>
      </c>
      <c r="B420" t="s">
        <v>1131</v>
      </c>
      <c r="C420" t="s">
        <v>2351</v>
      </c>
      <c r="D420" t="s">
        <v>13</v>
      </c>
      <c r="E420" t="s">
        <v>2352</v>
      </c>
      <c r="F420" s="1" t="s">
        <v>1134</v>
      </c>
      <c r="G420" t="s">
        <v>2353</v>
      </c>
      <c r="H420" t="s">
        <v>4968</v>
      </c>
      <c r="I420" t="b">
        <v>0</v>
      </c>
      <c r="J420">
        <v>102</v>
      </c>
      <c r="K420">
        <v>690</v>
      </c>
      <c r="L420">
        <v>121</v>
      </c>
      <c r="M420">
        <f>COUNTIF(H420:$H$2581,H420)</f>
        <v>1</v>
      </c>
    </row>
    <row r="421" spans="1:13" x14ac:dyDescent="0.2">
      <c r="A421">
        <v>24</v>
      </c>
      <c r="B421" t="s">
        <v>2448</v>
      </c>
      <c r="C421" t="s">
        <v>3251</v>
      </c>
      <c r="D421" t="s">
        <v>54</v>
      </c>
      <c r="E421" s="1" t="s">
        <v>3252</v>
      </c>
      <c r="F421" t="s">
        <v>2451</v>
      </c>
      <c r="G421" t="s">
        <v>3253</v>
      </c>
      <c r="H421" t="s">
        <v>5040</v>
      </c>
      <c r="I421" t="s">
        <v>24</v>
      </c>
      <c r="J421">
        <v>6</v>
      </c>
      <c r="K421">
        <v>25</v>
      </c>
      <c r="L421">
        <v>21</v>
      </c>
      <c r="M421">
        <f>COUNTIF(H421:$H$2581,H421)</f>
        <v>1</v>
      </c>
    </row>
    <row r="422" spans="1:13" x14ac:dyDescent="0.2">
      <c r="A422">
        <v>1159</v>
      </c>
      <c r="B422" t="s">
        <v>3573</v>
      </c>
      <c r="C422" t="s">
        <v>3574</v>
      </c>
      <c r="D422" t="s">
        <v>54</v>
      </c>
      <c r="E422" t="s">
        <v>3575</v>
      </c>
      <c r="F422" t="s">
        <v>3576</v>
      </c>
      <c r="G422" t="s">
        <v>3577</v>
      </c>
      <c r="H422" t="s">
        <v>5044</v>
      </c>
      <c r="I422" t="s">
        <v>24</v>
      </c>
      <c r="J422">
        <v>142</v>
      </c>
      <c r="K422">
        <v>1160</v>
      </c>
      <c r="L422">
        <v>39</v>
      </c>
      <c r="M422">
        <f>COUNTIF(H422:$H$2581,H422)</f>
        <v>1</v>
      </c>
    </row>
    <row r="423" spans="1:13" x14ac:dyDescent="0.2">
      <c r="A423">
        <v>963</v>
      </c>
      <c r="B423" t="s">
        <v>203</v>
      </c>
      <c r="C423" t="s">
        <v>3717</v>
      </c>
      <c r="D423" t="s">
        <v>54</v>
      </c>
      <c r="E423" s="1" t="s">
        <v>3718</v>
      </c>
      <c r="F423" t="s">
        <v>206</v>
      </c>
      <c r="G423" t="s">
        <v>3719</v>
      </c>
      <c r="H423" t="s">
        <v>5048</v>
      </c>
      <c r="I423" t="b">
        <v>1</v>
      </c>
      <c r="J423">
        <v>123</v>
      </c>
      <c r="K423">
        <v>964</v>
      </c>
      <c r="L423">
        <v>22</v>
      </c>
      <c r="M423">
        <f>COUNTIF(H423:$H$2581,H423)</f>
        <v>1</v>
      </c>
    </row>
    <row r="424" spans="1:13" x14ac:dyDescent="0.2">
      <c r="A424">
        <v>2061</v>
      </c>
      <c r="B424" t="s">
        <v>1965</v>
      </c>
      <c r="C424" t="s">
        <v>4569</v>
      </c>
      <c r="D424" t="s">
        <v>13</v>
      </c>
      <c r="E424" t="s">
        <v>4570</v>
      </c>
      <c r="F424" t="s">
        <v>1968</v>
      </c>
      <c r="G424" t="s">
        <v>4571</v>
      </c>
      <c r="H424" t="s">
        <v>5058</v>
      </c>
      <c r="I424" t="b">
        <v>1</v>
      </c>
      <c r="J424">
        <v>240</v>
      </c>
      <c r="K424">
        <v>2062</v>
      </c>
      <c r="L424">
        <v>4</v>
      </c>
      <c r="M424">
        <f>COUNTIF(H424:$H$2581,H424)</f>
        <v>1</v>
      </c>
    </row>
    <row r="425" spans="1:13" x14ac:dyDescent="0.2">
      <c r="A425">
        <v>360</v>
      </c>
      <c r="B425" t="s">
        <v>975</v>
      </c>
      <c r="C425" t="s">
        <v>4969</v>
      </c>
      <c r="D425" t="s">
        <v>13</v>
      </c>
      <c r="E425" s="1" t="s">
        <v>4970</v>
      </c>
      <c r="F425" s="1" t="s">
        <v>978</v>
      </c>
      <c r="G425" t="s">
        <v>4971</v>
      </c>
      <c r="H425" t="s">
        <v>5062</v>
      </c>
      <c r="I425" t="b">
        <v>1</v>
      </c>
      <c r="J425">
        <v>50</v>
      </c>
      <c r="K425">
        <v>361</v>
      </c>
      <c r="L425">
        <v>123</v>
      </c>
      <c r="M425">
        <f>COUNTIF(H425:$H$2581,H425)</f>
        <v>1</v>
      </c>
    </row>
    <row r="426" spans="1:13" x14ac:dyDescent="0.2">
      <c r="A426">
        <v>1194</v>
      </c>
      <c r="B426" t="s">
        <v>2485</v>
      </c>
      <c r="C426" t="s">
        <v>5358</v>
      </c>
      <c r="D426" t="s">
        <v>33</v>
      </c>
      <c r="E426" t="s">
        <v>5359</v>
      </c>
      <c r="F426" t="s">
        <v>2488</v>
      </c>
      <c r="G426" t="s">
        <v>5360</v>
      </c>
      <c r="H426" t="s">
        <v>5072</v>
      </c>
      <c r="I426" t="b">
        <v>0</v>
      </c>
      <c r="J426">
        <v>146</v>
      </c>
      <c r="K426">
        <v>1195</v>
      </c>
      <c r="L426">
        <v>24</v>
      </c>
      <c r="M426">
        <f>COUNTIF(H426:$H$2581,H426)</f>
        <v>1</v>
      </c>
    </row>
    <row r="427" spans="1:13" x14ac:dyDescent="0.2">
      <c r="A427">
        <v>395</v>
      </c>
      <c r="B427" t="s">
        <v>1568</v>
      </c>
      <c r="C427" t="s">
        <v>5494</v>
      </c>
      <c r="D427" t="s">
        <v>13</v>
      </c>
      <c r="E427" t="s">
        <v>5495</v>
      </c>
      <c r="F427" t="s">
        <v>1571</v>
      </c>
      <c r="G427" t="s">
        <v>5496</v>
      </c>
      <c r="H427" t="s">
        <v>5076</v>
      </c>
      <c r="I427" t="s">
        <v>24</v>
      </c>
      <c r="J427">
        <v>55</v>
      </c>
      <c r="K427">
        <v>396</v>
      </c>
      <c r="L427">
        <v>13</v>
      </c>
      <c r="M427">
        <f>COUNTIF(H427:$H$2581,H427)</f>
        <v>1</v>
      </c>
    </row>
    <row r="428" spans="1:13" x14ac:dyDescent="0.2">
      <c r="A428">
        <v>620</v>
      </c>
      <c r="B428" t="s">
        <v>1491</v>
      </c>
      <c r="C428" t="s">
        <v>5579</v>
      </c>
      <c r="D428" t="s">
        <v>33</v>
      </c>
      <c r="E428" t="s">
        <v>5580</v>
      </c>
      <c r="F428" t="s">
        <v>1494</v>
      </c>
      <c r="G428" t="s">
        <v>5581</v>
      </c>
      <c r="H428" t="s">
        <v>5080</v>
      </c>
      <c r="I428" t="b">
        <v>0</v>
      </c>
      <c r="J428">
        <v>91</v>
      </c>
      <c r="K428">
        <v>621</v>
      </c>
      <c r="L428">
        <v>50</v>
      </c>
      <c r="M428">
        <f>COUNTIF(H428:$H$2581,H428)</f>
        <v>1</v>
      </c>
    </row>
    <row r="429" spans="1:13" x14ac:dyDescent="0.2">
      <c r="A429">
        <v>1306</v>
      </c>
      <c r="B429" t="s">
        <v>277</v>
      </c>
      <c r="C429" t="s">
        <v>5763</v>
      </c>
      <c r="D429" t="s">
        <v>54</v>
      </c>
      <c r="E429" t="s">
        <v>5764</v>
      </c>
      <c r="F429" t="s">
        <v>280</v>
      </c>
      <c r="G429" t="s">
        <v>5765</v>
      </c>
      <c r="H429" t="s">
        <v>5084</v>
      </c>
      <c r="I429" t="s">
        <v>24</v>
      </c>
      <c r="J429">
        <v>160</v>
      </c>
      <c r="K429">
        <v>1307</v>
      </c>
      <c r="L429">
        <v>25</v>
      </c>
      <c r="M429">
        <f>COUNTIF(H429:$H$2581,H429)</f>
        <v>1</v>
      </c>
    </row>
    <row r="430" spans="1:13" x14ac:dyDescent="0.2">
      <c r="A430">
        <v>1307</v>
      </c>
      <c r="B430" t="s">
        <v>277</v>
      </c>
      <c r="C430" t="s">
        <v>5922</v>
      </c>
      <c r="D430" t="s">
        <v>13</v>
      </c>
      <c r="E430" t="s">
        <v>5923</v>
      </c>
      <c r="F430" t="s">
        <v>280</v>
      </c>
      <c r="G430" t="s">
        <v>5924</v>
      </c>
      <c r="H430" t="s">
        <v>5090</v>
      </c>
      <c r="I430" t="s">
        <v>24</v>
      </c>
      <c r="J430">
        <v>160</v>
      </c>
      <c r="K430">
        <v>1308</v>
      </c>
      <c r="L430">
        <v>124</v>
      </c>
      <c r="M430">
        <f>COUNTIF(H430:$H$2581,H430)</f>
        <v>1</v>
      </c>
    </row>
    <row r="431" spans="1:13" x14ac:dyDescent="0.2">
      <c r="A431">
        <v>170</v>
      </c>
      <c r="B431" t="s">
        <v>73</v>
      </c>
      <c r="C431" t="s">
        <v>6272</v>
      </c>
      <c r="D431" t="s">
        <v>13</v>
      </c>
      <c r="E431" t="s">
        <v>6273</v>
      </c>
      <c r="F431" t="s">
        <v>76</v>
      </c>
      <c r="G431" t="s">
        <v>6274</v>
      </c>
      <c r="H431" t="s">
        <v>5094</v>
      </c>
      <c r="I431" t="s">
        <v>24</v>
      </c>
      <c r="J431">
        <v>32</v>
      </c>
      <c r="K431">
        <v>171</v>
      </c>
      <c r="L431">
        <v>9</v>
      </c>
      <c r="M431">
        <f>COUNTIF(H431:$H$2581,H431)</f>
        <v>1</v>
      </c>
    </row>
    <row r="432" spans="1:13" x14ac:dyDescent="0.2">
      <c r="A432">
        <v>1487</v>
      </c>
      <c r="B432" t="s">
        <v>1773</v>
      </c>
      <c r="C432" t="s">
        <v>6603</v>
      </c>
      <c r="D432" t="s">
        <v>54</v>
      </c>
      <c r="E432" t="s">
        <v>6604</v>
      </c>
      <c r="F432" t="s">
        <v>1776</v>
      </c>
      <c r="G432" t="s">
        <v>6605</v>
      </c>
      <c r="H432" t="s">
        <v>5098</v>
      </c>
      <c r="I432" t="b">
        <v>0</v>
      </c>
      <c r="J432">
        <v>180</v>
      </c>
      <c r="K432">
        <v>1488</v>
      </c>
      <c r="L432">
        <v>7</v>
      </c>
      <c r="M432">
        <f>COUNTIF(H432:$H$2581,H432)</f>
        <v>1</v>
      </c>
    </row>
    <row r="433" spans="1:13" x14ac:dyDescent="0.2">
      <c r="A433">
        <v>976</v>
      </c>
      <c r="B433" t="s">
        <v>203</v>
      </c>
      <c r="C433" t="s">
        <v>6850</v>
      </c>
      <c r="D433" t="s">
        <v>54</v>
      </c>
      <c r="E433" t="s">
        <v>6851</v>
      </c>
      <c r="F433" t="s">
        <v>206</v>
      </c>
      <c r="G433" t="s">
        <v>6852</v>
      </c>
      <c r="H433" t="s">
        <v>5102</v>
      </c>
      <c r="I433" t="b">
        <v>1</v>
      </c>
      <c r="J433">
        <v>123</v>
      </c>
      <c r="K433">
        <v>977</v>
      </c>
      <c r="L433">
        <v>125</v>
      </c>
      <c r="M433">
        <f>COUNTIF(H433:$H$2581,H433)</f>
        <v>1</v>
      </c>
    </row>
    <row r="434" spans="1:13" x14ac:dyDescent="0.2">
      <c r="A434">
        <v>978</v>
      </c>
      <c r="B434" t="s">
        <v>203</v>
      </c>
      <c r="C434" t="s">
        <v>7061</v>
      </c>
      <c r="D434" t="s">
        <v>13</v>
      </c>
      <c r="E434" t="s">
        <v>7062</v>
      </c>
      <c r="F434" t="s">
        <v>206</v>
      </c>
      <c r="G434" t="s">
        <v>7063</v>
      </c>
      <c r="H434" t="s">
        <v>5112</v>
      </c>
      <c r="I434" t="b">
        <v>1</v>
      </c>
      <c r="J434">
        <v>123</v>
      </c>
      <c r="K434">
        <v>979</v>
      </c>
      <c r="L434">
        <v>14</v>
      </c>
      <c r="M434">
        <f>COUNTIF(H434:$H$2581,H434)</f>
        <v>1</v>
      </c>
    </row>
    <row r="435" spans="1:13" x14ac:dyDescent="0.2">
      <c r="A435">
        <v>1378</v>
      </c>
      <c r="B435" t="s">
        <v>603</v>
      </c>
      <c r="C435" t="s">
        <v>3281</v>
      </c>
      <c r="D435" t="s">
        <v>13</v>
      </c>
      <c r="E435" t="s">
        <v>7796</v>
      </c>
      <c r="F435" t="s">
        <v>606</v>
      </c>
      <c r="G435" t="s">
        <v>7797</v>
      </c>
      <c r="H435" t="s">
        <v>5116</v>
      </c>
      <c r="I435" t="s">
        <v>24</v>
      </c>
      <c r="J435">
        <v>166</v>
      </c>
      <c r="K435">
        <v>1379</v>
      </c>
      <c r="L435">
        <v>27</v>
      </c>
      <c r="M435">
        <f>COUNTIF(H435:$H$2581,H435)</f>
        <v>1</v>
      </c>
    </row>
    <row r="436" spans="1:13" x14ac:dyDescent="0.2">
      <c r="A436">
        <v>987</v>
      </c>
      <c r="B436" t="s">
        <v>203</v>
      </c>
      <c r="C436" t="s">
        <v>8177</v>
      </c>
      <c r="D436" t="s">
        <v>54</v>
      </c>
      <c r="E436" t="s">
        <v>8178</v>
      </c>
      <c r="F436" t="s">
        <v>206</v>
      </c>
      <c r="G436" t="s">
        <v>8179</v>
      </c>
      <c r="H436" t="s">
        <v>5120</v>
      </c>
      <c r="I436" t="b">
        <v>1</v>
      </c>
      <c r="J436">
        <v>123</v>
      </c>
      <c r="K436">
        <v>988</v>
      </c>
      <c r="L436">
        <v>30</v>
      </c>
      <c r="M436">
        <f>COUNTIF(H436:$H$2581,H436)</f>
        <v>1</v>
      </c>
    </row>
    <row r="437" spans="1:13" x14ac:dyDescent="0.2">
      <c r="A437">
        <v>77</v>
      </c>
      <c r="B437" t="s">
        <v>1424</v>
      </c>
      <c r="C437" t="s">
        <v>8546</v>
      </c>
      <c r="D437" t="s">
        <v>54</v>
      </c>
      <c r="E437" t="s">
        <v>8547</v>
      </c>
      <c r="F437" t="s">
        <v>1427</v>
      </c>
      <c r="G437" t="s">
        <v>8548</v>
      </c>
      <c r="H437" t="s">
        <v>5136</v>
      </c>
      <c r="I437" t="b">
        <v>1</v>
      </c>
      <c r="J437">
        <v>12</v>
      </c>
      <c r="K437">
        <v>78</v>
      </c>
      <c r="L437">
        <v>56</v>
      </c>
      <c r="M437">
        <f>COUNTIF(H437:$H$2581,H437)</f>
        <v>1</v>
      </c>
    </row>
    <row r="438" spans="1:13" x14ac:dyDescent="0.2">
      <c r="A438">
        <v>1072</v>
      </c>
      <c r="B438" t="s">
        <v>1884</v>
      </c>
      <c r="C438" t="s">
        <v>8744</v>
      </c>
      <c r="D438" t="s">
        <v>13</v>
      </c>
      <c r="E438" t="s">
        <v>8745</v>
      </c>
      <c r="F438" t="s">
        <v>1887</v>
      </c>
      <c r="G438" t="s">
        <v>8746</v>
      </c>
      <c r="H438" t="s">
        <v>5140</v>
      </c>
      <c r="I438" t="s">
        <v>24</v>
      </c>
      <c r="J438">
        <v>131</v>
      </c>
      <c r="K438">
        <v>1073</v>
      </c>
      <c r="L438">
        <v>31</v>
      </c>
      <c r="M438">
        <f>COUNTIF(H438:$H$2581,H438)</f>
        <v>1</v>
      </c>
    </row>
    <row r="439" spans="1:13" x14ac:dyDescent="0.2">
      <c r="A439">
        <v>1582</v>
      </c>
      <c r="B439" t="s">
        <v>121</v>
      </c>
      <c r="C439" t="s">
        <v>126</v>
      </c>
      <c r="D439" t="s">
        <v>54</v>
      </c>
      <c r="E439" t="s">
        <v>127</v>
      </c>
      <c r="F439" t="s">
        <v>124</v>
      </c>
      <c r="G439" t="s">
        <v>128</v>
      </c>
      <c r="H439" t="s">
        <v>5144</v>
      </c>
      <c r="I439" t="s">
        <v>24</v>
      </c>
      <c r="J439">
        <v>194</v>
      </c>
      <c r="K439">
        <v>1583</v>
      </c>
      <c r="L439">
        <v>45</v>
      </c>
      <c r="M439">
        <f>COUNTIF(H439:$H$2581,H439)</f>
        <v>1</v>
      </c>
    </row>
    <row r="440" spans="1:13" x14ac:dyDescent="0.2">
      <c r="A440">
        <v>1684</v>
      </c>
      <c r="B440" t="s">
        <v>129</v>
      </c>
      <c r="C440" t="s">
        <v>378</v>
      </c>
      <c r="D440" t="s">
        <v>13</v>
      </c>
      <c r="E440" t="s">
        <v>379</v>
      </c>
      <c r="F440" t="s">
        <v>132</v>
      </c>
      <c r="G440" t="s">
        <v>380</v>
      </c>
      <c r="H440" t="s">
        <v>5151</v>
      </c>
      <c r="I440" t="b">
        <v>1</v>
      </c>
      <c r="J440">
        <v>204</v>
      </c>
      <c r="K440">
        <v>1685</v>
      </c>
      <c r="L440">
        <v>1</v>
      </c>
      <c r="M440">
        <f>COUNTIF(H440:$H$2581,H440)</f>
        <v>1</v>
      </c>
    </row>
    <row r="441" spans="1:13" x14ac:dyDescent="0.2">
      <c r="A441">
        <v>945</v>
      </c>
      <c r="B441" t="s">
        <v>203</v>
      </c>
      <c r="C441" t="s">
        <v>1265</v>
      </c>
      <c r="D441" t="s">
        <v>13</v>
      </c>
      <c r="E441" t="s">
        <v>1266</v>
      </c>
      <c r="F441" t="s">
        <v>206</v>
      </c>
      <c r="G441" t="s">
        <v>1267</v>
      </c>
      <c r="H441" t="s">
        <v>5170</v>
      </c>
      <c r="I441" t="b">
        <v>1</v>
      </c>
      <c r="J441">
        <v>123</v>
      </c>
      <c r="K441">
        <v>946</v>
      </c>
      <c r="L441">
        <v>157</v>
      </c>
      <c r="M441">
        <f>COUNTIF(H441:$H$2581,H441)</f>
        <v>1</v>
      </c>
    </row>
    <row r="442" spans="1:13" x14ac:dyDescent="0.2">
      <c r="A442">
        <v>767</v>
      </c>
      <c r="B442" t="s">
        <v>368</v>
      </c>
      <c r="C442" t="s">
        <v>1749</v>
      </c>
      <c r="D442" t="s">
        <v>13</v>
      </c>
      <c r="E442" t="s">
        <v>1750</v>
      </c>
      <c r="F442" t="s">
        <v>371</v>
      </c>
      <c r="G442" t="s">
        <v>1751</v>
      </c>
      <c r="H442" t="s">
        <v>5173</v>
      </c>
      <c r="I442" t="s">
        <v>24</v>
      </c>
      <c r="J442">
        <v>109</v>
      </c>
      <c r="K442">
        <v>768</v>
      </c>
      <c r="L442">
        <v>84</v>
      </c>
      <c r="M442">
        <f>COUNTIF(H442:$H$2581,H442)</f>
        <v>1</v>
      </c>
    </row>
    <row r="443" spans="1:13" x14ac:dyDescent="0.2">
      <c r="A443">
        <v>1528</v>
      </c>
      <c r="B443" t="s">
        <v>715</v>
      </c>
      <c r="C443" t="s">
        <v>1934</v>
      </c>
      <c r="D443" t="s">
        <v>13</v>
      </c>
      <c r="E443" t="s">
        <v>1935</v>
      </c>
      <c r="F443" t="s">
        <v>718</v>
      </c>
      <c r="G443" t="s">
        <v>1936</v>
      </c>
      <c r="H443" t="s">
        <v>5177</v>
      </c>
      <c r="I443" t="s">
        <v>24</v>
      </c>
      <c r="J443">
        <v>186</v>
      </c>
      <c r="K443">
        <v>1529</v>
      </c>
      <c r="L443">
        <v>10</v>
      </c>
      <c r="M443">
        <f>COUNTIF(H443:$H$2581,H443)</f>
        <v>1</v>
      </c>
    </row>
    <row r="444" spans="1:13" x14ac:dyDescent="0.2">
      <c r="A444">
        <v>950</v>
      </c>
      <c r="B444" t="s">
        <v>203</v>
      </c>
      <c r="C444" t="s">
        <v>2354</v>
      </c>
      <c r="D444" t="s">
        <v>13</v>
      </c>
      <c r="E444" t="s">
        <v>2355</v>
      </c>
      <c r="F444" t="s">
        <v>206</v>
      </c>
      <c r="G444" t="s">
        <v>2356</v>
      </c>
      <c r="H444" t="s">
        <v>5181</v>
      </c>
      <c r="I444" t="b">
        <v>1</v>
      </c>
      <c r="J444">
        <v>123</v>
      </c>
      <c r="K444">
        <v>951</v>
      </c>
      <c r="L444">
        <v>121</v>
      </c>
      <c r="M444">
        <f>COUNTIF(H444:$H$2581,H444)</f>
        <v>1</v>
      </c>
    </row>
    <row r="445" spans="1:13" x14ac:dyDescent="0.2">
      <c r="A445">
        <v>358</v>
      </c>
      <c r="B445" t="s">
        <v>975</v>
      </c>
      <c r="C445" t="s">
        <v>3255</v>
      </c>
      <c r="D445" t="s">
        <v>13</v>
      </c>
      <c r="E445" t="s">
        <v>3256</v>
      </c>
      <c r="F445" s="1" t="s">
        <v>978</v>
      </c>
      <c r="G445" t="s">
        <v>3257</v>
      </c>
      <c r="H445" t="s">
        <v>5185</v>
      </c>
      <c r="I445" t="b">
        <v>1</v>
      </c>
      <c r="J445">
        <v>50</v>
      </c>
      <c r="K445">
        <v>359</v>
      </c>
      <c r="L445">
        <v>21</v>
      </c>
      <c r="M445">
        <f>COUNTIF(H445:$H$2581,H445)</f>
        <v>1</v>
      </c>
    </row>
    <row r="446" spans="1:13" x14ac:dyDescent="0.2">
      <c r="A446">
        <v>1183</v>
      </c>
      <c r="B446" t="s">
        <v>1054</v>
      </c>
      <c r="C446" t="s">
        <v>3578</v>
      </c>
      <c r="D446" t="s">
        <v>54</v>
      </c>
      <c r="E446" t="s">
        <v>3579</v>
      </c>
      <c r="F446" t="s">
        <v>1057</v>
      </c>
      <c r="G446" t="s">
        <v>3580</v>
      </c>
      <c r="H446" t="s">
        <v>5200</v>
      </c>
      <c r="I446" t="s">
        <v>24</v>
      </c>
      <c r="J446">
        <v>145</v>
      </c>
      <c r="K446">
        <v>1184</v>
      </c>
      <c r="L446">
        <v>39</v>
      </c>
      <c r="M446">
        <f>COUNTIF(H446:$H$2581,H446)</f>
        <v>1</v>
      </c>
    </row>
    <row r="447" spans="1:13" x14ac:dyDescent="0.2">
      <c r="A447">
        <v>1009</v>
      </c>
      <c r="B447" t="s">
        <v>1268</v>
      </c>
      <c r="C447" t="s">
        <v>3720</v>
      </c>
      <c r="D447" t="s">
        <v>13</v>
      </c>
      <c r="E447" t="s">
        <v>3721</v>
      </c>
      <c r="F447" t="s">
        <v>1271</v>
      </c>
      <c r="G447" t="s">
        <v>3722</v>
      </c>
      <c r="H447" t="s">
        <v>5204</v>
      </c>
      <c r="I447" t="s">
        <v>24</v>
      </c>
      <c r="J447">
        <v>126</v>
      </c>
      <c r="K447">
        <v>1010</v>
      </c>
      <c r="L447">
        <v>22</v>
      </c>
      <c r="M447">
        <f>COUNTIF(H447:$H$2581,H447)</f>
        <v>1</v>
      </c>
    </row>
    <row r="448" spans="1:13" x14ac:dyDescent="0.2">
      <c r="A448">
        <v>2077</v>
      </c>
      <c r="B448" t="s">
        <v>1970</v>
      </c>
      <c r="C448" t="s">
        <v>4572</v>
      </c>
      <c r="D448" t="s">
        <v>54</v>
      </c>
      <c r="E448" t="s">
        <v>4573</v>
      </c>
      <c r="F448" t="s">
        <v>1973</v>
      </c>
      <c r="G448" t="s">
        <v>4574</v>
      </c>
      <c r="H448" t="s">
        <v>5226</v>
      </c>
      <c r="I448" t="s">
        <v>24</v>
      </c>
      <c r="J448">
        <v>241</v>
      </c>
      <c r="K448">
        <v>2078</v>
      </c>
      <c r="L448">
        <v>4</v>
      </c>
      <c r="M448">
        <f>COUNTIF(H448:$H$2581,H448)</f>
        <v>1</v>
      </c>
    </row>
    <row r="449" spans="1:13" x14ac:dyDescent="0.2">
      <c r="A449">
        <v>405</v>
      </c>
      <c r="B449" t="s">
        <v>1244</v>
      </c>
      <c r="C449" t="s">
        <v>4972</v>
      </c>
      <c r="D449" t="s">
        <v>13</v>
      </c>
      <c r="E449" t="s">
        <v>4973</v>
      </c>
      <c r="F449" t="s">
        <v>1247</v>
      </c>
      <c r="G449" t="s">
        <v>4974</v>
      </c>
      <c r="H449" t="s">
        <v>5242</v>
      </c>
      <c r="I449" t="b">
        <v>0</v>
      </c>
      <c r="J449">
        <v>57</v>
      </c>
      <c r="K449">
        <v>406</v>
      </c>
      <c r="L449">
        <v>123</v>
      </c>
      <c r="M449">
        <f>COUNTIF(H449:$H$2581,H449)</f>
        <v>1</v>
      </c>
    </row>
    <row r="450" spans="1:13" x14ac:dyDescent="0.2">
      <c r="A450">
        <v>1205</v>
      </c>
      <c r="B450" t="s">
        <v>1509</v>
      </c>
      <c r="C450" t="s">
        <v>5361</v>
      </c>
      <c r="D450" t="s">
        <v>13</v>
      </c>
      <c r="E450" t="s">
        <v>5362</v>
      </c>
      <c r="F450" t="s">
        <v>1512</v>
      </c>
      <c r="G450" t="s">
        <v>5363</v>
      </c>
      <c r="H450" s="3" t="s">
        <v>5303</v>
      </c>
      <c r="I450" t="b">
        <v>1</v>
      </c>
      <c r="J450">
        <v>147</v>
      </c>
      <c r="K450">
        <v>1206</v>
      </c>
      <c r="L450">
        <v>24</v>
      </c>
      <c r="M450">
        <f>COUNTIF(H450:$H$2581,H450)</f>
        <v>1</v>
      </c>
    </row>
    <row r="451" spans="1:13" x14ac:dyDescent="0.2">
      <c r="A451">
        <v>603</v>
      </c>
      <c r="B451" t="s">
        <v>1097</v>
      </c>
      <c r="C451" t="s">
        <v>5497</v>
      </c>
      <c r="D451" t="s">
        <v>13</v>
      </c>
      <c r="E451" t="s">
        <v>5498</v>
      </c>
      <c r="F451" t="s">
        <v>1100</v>
      </c>
      <c r="G451" t="s">
        <v>5499</v>
      </c>
      <c r="H451" t="s">
        <v>5427</v>
      </c>
      <c r="I451" t="b">
        <v>0</v>
      </c>
      <c r="J451">
        <v>90</v>
      </c>
      <c r="K451">
        <v>604</v>
      </c>
      <c r="L451">
        <v>13</v>
      </c>
      <c r="M451">
        <f>COUNTIF(H451:$H$2581,H451)</f>
        <v>1</v>
      </c>
    </row>
    <row r="452" spans="1:13" x14ac:dyDescent="0.2">
      <c r="A452">
        <v>784</v>
      </c>
      <c r="B452" t="s">
        <v>373</v>
      </c>
      <c r="C452" t="s">
        <v>5582</v>
      </c>
      <c r="D452" t="s">
        <v>54</v>
      </c>
      <c r="E452" t="s">
        <v>5583</v>
      </c>
      <c r="F452" s="1" t="s">
        <v>376</v>
      </c>
      <c r="G452" t="s">
        <v>5584</v>
      </c>
      <c r="H452" t="s">
        <v>5431</v>
      </c>
      <c r="I452" t="s">
        <v>24</v>
      </c>
      <c r="J452">
        <v>111</v>
      </c>
      <c r="K452">
        <v>785</v>
      </c>
      <c r="L452">
        <v>50</v>
      </c>
      <c r="M452">
        <f>COUNTIF(H452:$H$2581,H452)</f>
        <v>1</v>
      </c>
    </row>
    <row r="453" spans="1:13" x14ac:dyDescent="0.2">
      <c r="A453">
        <v>1315</v>
      </c>
      <c r="B453" t="s">
        <v>1915</v>
      </c>
      <c r="C453" t="s">
        <v>5766</v>
      </c>
      <c r="D453" t="s">
        <v>13</v>
      </c>
      <c r="E453" t="s">
        <v>5767</v>
      </c>
      <c r="F453" t="s">
        <v>1918</v>
      </c>
      <c r="G453" t="s">
        <v>5768</v>
      </c>
      <c r="H453" t="s">
        <v>5435</v>
      </c>
      <c r="I453" t="s">
        <v>24</v>
      </c>
      <c r="J453">
        <v>161</v>
      </c>
      <c r="K453">
        <v>1316</v>
      </c>
      <c r="L453">
        <v>25</v>
      </c>
      <c r="M453">
        <f>COUNTIF(H453:$H$2581,H453)</f>
        <v>1</v>
      </c>
    </row>
    <row r="454" spans="1:13" x14ac:dyDescent="0.2">
      <c r="A454">
        <v>1389</v>
      </c>
      <c r="B454" t="s">
        <v>681</v>
      </c>
      <c r="C454" t="s">
        <v>5925</v>
      </c>
      <c r="D454" t="s">
        <v>54</v>
      </c>
      <c r="E454" s="1" t="s">
        <v>5926</v>
      </c>
      <c r="F454" t="s">
        <v>684</v>
      </c>
      <c r="G454" t="s">
        <v>5927</v>
      </c>
      <c r="H454" t="s">
        <v>5475</v>
      </c>
      <c r="I454" t="b">
        <v>0</v>
      </c>
      <c r="J454">
        <v>167</v>
      </c>
      <c r="K454">
        <v>1390</v>
      </c>
      <c r="L454">
        <v>124</v>
      </c>
      <c r="M454">
        <f>COUNTIF(H454:$H$2581,H454)</f>
        <v>1</v>
      </c>
    </row>
    <row r="455" spans="1:13" x14ac:dyDescent="0.2">
      <c r="A455">
        <v>176</v>
      </c>
      <c r="B455" t="s">
        <v>78</v>
      </c>
      <c r="C455" t="s">
        <v>6275</v>
      </c>
      <c r="D455" t="s">
        <v>13</v>
      </c>
      <c r="E455" t="s">
        <v>6276</v>
      </c>
      <c r="F455" t="s">
        <v>81</v>
      </c>
      <c r="G455" t="s">
        <v>6277</v>
      </c>
      <c r="H455" t="s">
        <v>5563</v>
      </c>
      <c r="I455" t="b">
        <v>1</v>
      </c>
      <c r="J455">
        <v>33</v>
      </c>
      <c r="K455">
        <v>177</v>
      </c>
      <c r="L455">
        <v>9</v>
      </c>
      <c r="M455">
        <f>COUNTIF(H455:$H$2581,H455)</f>
        <v>1</v>
      </c>
    </row>
    <row r="456" spans="1:13" x14ac:dyDescent="0.2">
      <c r="A456">
        <v>1636</v>
      </c>
      <c r="B456" t="s">
        <v>720</v>
      </c>
      <c r="C456" t="s">
        <v>6606</v>
      </c>
      <c r="D456" t="s">
        <v>54</v>
      </c>
      <c r="E456" t="s">
        <v>6607</v>
      </c>
      <c r="F456" t="s">
        <v>723</v>
      </c>
      <c r="G456" t="s">
        <v>6608</v>
      </c>
      <c r="H456" t="s">
        <v>5648</v>
      </c>
      <c r="I456" t="b">
        <v>1</v>
      </c>
      <c r="J456">
        <v>197</v>
      </c>
      <c r="K456">
        <v>1637</v>
      </c>
      <c r="L456">
        <v>7</v>
      </c>
      <c r="M456">
        <f>COUNTIF(H456:$H$2581,H456)</f>
        <v>1</v>
      </c>
    </row>
    <row r="457" spans="1:13" x14ac:dyDescent="0.2">
      <c r="A457">
        <v>1014</v>
      </c>
      <c r="B457" t="s">
        <v>1268</v>
      </c>
      <c r="C457" t="s">
        <v>6853</v>
      </c>
      <c r="D457" t="s">
        <v>54</v>
      </c>
      <c r="E457" t="s">
        <v>6854</v>
      </c>
      <c r="F457" t="s">
        <v>1271</v>
      </c>
      <c r="G457" t="s">
        <v>6855</v>
      </c>
      <c r="H457" t="s">
        <v>5652</v>
      </c>
      <c r="I457" t="s">
        <v>24</v>
      </c>
      <c r="J457">
        <v>126</v>
      </c>
      <c r="K457">
        <v>1015</v>
      </c>
      <c r="L457">
        <v>125</v>
      </c>
      <c r="M457">
        <f>COUNTIF(H457:$H$2581,H457)</f>
        <v>1</v>
      </c>
    </row>
    <row r="458" spans="1:13" x14ac:dyDescent="0.2">
      <c r="A458">
        <v>1081</v>
      </c>
      <c r="B458" t="s">
        <v>2230</v>
      </c>
      <c r="C458" t="s">
        <v>7064</v>
      </c>
      <c r="D458" t="s">
        <v>54</v>
      </c>
      <c r="E458" t="s">
        <v>7065</v>
      </c>
      <c r="F458" t="s">
        <v>2233</v>
      </c>
      <c r="G458" t="s">
        <v>7066</v>
      </c>
      <c r="H458" t="s">
        <v>5659</v>
      </c>
      <c r="I458" t="s">
        <v>24</v>
      </c>
      <c r="J458">
        <v>132</v>
      </c>
      <c r="K458">
        <v>1082</v>
      </c>
      <c r="L458">
        <v>14</v>
      </c>
      <c r="M458">
        <f>COUNTIF(H458:$H$2581,H458)</f>
        <v>1</v>
      </c>
    </row>
    <row r="459" spans="1:13" x14ac:dyDescent="0.2">
      <c r="A459">
        <v>1474</v>
      </c>
      <c r="B459" t="s">
        <v>3587</v>
      </c>
      <c r="C459" t="s">
        <v>7798</v>
      </c>
      <c r="D459" t="s">
        <v>13</v>
      </c>
      <c r="E459" t="s">
        <v>7799</v>
      </c>
      <c r="F459" t="s">
        <v>3590</v>
      </c>
      <c r="G459" t="s">
        <v>7800</v>
      </c>
      <c r="H459" t="s">
        <v>5670</v>
      </c>
      <c r="I459" t="s">
        <v>24</v>
      </c>
      <c r="J459">
        <v>179</v>
      </c>
      <c r="K459">
        <v>1475</v>
      </c>
      <c r="L459">
        <v>27</v>
      </c>
      <c r="M459">
        <f>COUNTIF(H459:$H$2581,H459)</f>
        <v>1</v>
      </c>
    </row>
    <row r="460" spans="1:13" x14ac:dyDescent="0.2">
      <c r="A460">
        <v>988</v>
      </c>
      <c r="B460" t="s">
        <v>203</v>
      </c>
      <c r="C460" t="s">
        <v>8180</v>
      </c>
      <c r="D460" t="s">
        <v>13</v>
      </c>
      <c r="E460" t="s">
        <v>8181</v>
      </c>
      <c r="F460" t="s">
        <v>206</v>
      </c>
      <c r="G460" t="s">
        <v>8182</v>
      </c>
      <c r="H460" t="s">
        <v>5677</v>
      </c>
      <c r="I460" t="b">
        <v>1</v>
      </c>
      <c r="J460">
        <v>123</v>
      </c>
      <c r="K460">
        <v>989</v>
      </c>
      <c r="L460">
        <v>30</v>
      </c>
      <c r="M460">
        <f>COUNTIF(H460:$H$2581,H460)</f>
        <v>1</v>
      </c>
    </row>
    <row r="461" spans="1:13" x14ac:dyDescent="0.2">
      <c r="A461">
        <v>328</v>
      </c>
      <c r="B461" t="s">
        <v>98</v>
      </c>
      <c r="C461" t="s">
        <v>8550</v>
      </c>
      <c r="D461" t="s">
        <v>33</v>
      </c>
      <c r="E461" t="s">
        <v>8551</v>
      </c>
      <c r="F461" t="s">
        <v>101</v>
      </c>
      <c r="G461" t="s">
        <v>8552</v>
      </c>
      <c r="H461" t="s">
        <v>5681</v>
      </c>
      <c r="I461" t="s">
        <v>24</v>
      </c>
      <c r="J461">
        <v>46</v>
      </c>
      <c r="K461">
        <v>329</v>
      </c>
      <c r="L461">
        <v>56</v>
      </c>
      <c r="M461">
        <f>COUNTIF(H461:$H$2581,H461)</f>
        <v>1</v>
      </c>
    </row>
    <row r="462" spans="1:13" x14ac:dyDescent="0.2">
      <c r="A462">
        <v>1102</v>
      </c>
      <c r="B462" t="s">
        <v>1075</v>
      </c>
      <c r="C462" t="s">
        <v>8747</v>
      </c>
      <c r="D462" t="s">
        <v>54</v>
      </c>
      <c r="E462" t="s">
        <v>8748</v>
      </c>
      <c r="F462" t="s">
        <v>1078</v>
      </c>
      <c r="G462" t="s">
        <v>8749</v>
      </c>
      <c r="H462" t="s">
        <v>5831</v>
      </c>
      <c r="I462" t="s">
        <v>24</v>
      </c>
      <c r="J462">
        <v>133</v>
      </c>
      <c r="K462">
        <v>1103</v>
      </c>
      <c r="L462">
        <v>31</v>
      </c>
      <c r="M462">
        <f>COUNTIF(H462:$H$2581,H462)</f>
        <v>1</v>
      </c>
    </row>
    <row r="463" spans="1:13" x14ac:dyDescent="0.2">
      <c r="A463">
        <v>1581</v>
      </c>
      <c r="B463" t="s">
        <v>121</v>
      </c>
      <c r="C463" t="s">
        <v>122</v>
      </c>
      <c r="D463" t="s">
        <v>13</v>
      </c>
      <c r="E463" t="s">
        <v>123</v>
      </c>
      <c r="F463" t="s">
        <v>124</v>
      </c>
      <c r="G463" t="s">
        <v>125</v>
      </c>
      <c r="H463" t="s">
        <v>5838</v>
      </c>
      <c r="I463" t="s">
        <v>24</v>
      </c>
      <c r="J463">
        <v>194</v>
      </c>
      <c r="K463">
        <v>1582</v>
      </c>
      <c r="L463">
        <v>45</v>
      </c>
      <c r="M463">
        <f>COUNTIF(H463:$H$2581,H463)</f>
        <v>1</v>
      </c>
    </row>
    <row r="464" spans="1:13" x14ac:dyDescent="0.2">
      <c r="A464">
        <v>779</v>
      </c>
      <c r="B464" t="s">
        <v>373</v>
      </c>
      <c r="C464" t="s">
        <v>374</v>
      </c>
      <c r="D464" t="s">
        <v>54</v>
      </c>
      <c r="E464" t="s">
        <v>375</v>
      </c>
      <c r="F464" s="1" t="s">
        <v>376</v>
      </c>
      <c r="G464" t="s">
        <v>377</v>
      </c>
      <c r="H464" t="s">
        <v>5845</v>
      </c>
      <c r="I464" t="s">
        <v>24</v>
      </c>
      <c r="J464">
        <v>111</v>
      </c>
      <c r="K464">
        <v>780</v>
      </c>
      <c r="L464">
        <v>1</v>
      </c>
      <c r="M464">
        <f>COUNTIF(H464:$H$2581,H464)</f>
        <v>1</v>
      </c>
    </row>
    <row r="465" spans="1:13" x14ac:dyDescent="0.2">
      <c r="A465">
        <v>1006</v>
      </c>
      <c r="B465" t="s">
        <v>1268</v>
      </c>
      <c r="C465" t="s">
        <v>1269</v>
      </c>
      <c r="D465" t="s">
        <v>54</v>
      </c>
      <c r="E465" t="s">
        <v>1270</v>
      </c>
      <c r="F465" t="s">
        <v>1271</v>
      </c>
      <c r="G465" t="s">
        <v>1272</v>
      </c>
      <c r="H465" t="s">
        <v>5849</v>
      </c>
      <c r="I465" t="s">
        <v>24</v>
      </c>
      <c r="J465">
        <v>126</v>
      </c>
      <c r="K465">
        <v>1007</v>
      </c>
      <c r="L465">
        <v>157</v>
      </c>
      <c r="M465">
        <f>COUNTIF(H465:$H$2581,H465)</f>
        <v>1</v>
      </c>
    </row>
    <row r="466" spans="1:13" x14ac:dyDescent="0.2">
      <c r="A466">
        <v>791</v>
      </c>
      <c r="B466" t="s">
        <v>116</v>
      </c>
      <c r="C466" t="s">
        <v>1752</v>
      </c>
      <c r="D466" t="s">
        <v>33</v>
      </c>
      <c r="E466" t="s">
        <v>1753</v>
      </c>
      <c r="F466" t="s">
        <v>119</v>
      </c>
      <c r="G466" t="s">
        <v>1754</v>
      </c>
      <c r="H466" t="s">
        <v>5853</v>
      </c>
      <c r="I466" t="s">
        <v>24</v>
      </c>
      <c r="J466">
        <v>112</v>
      </c>
      <c r="K466">
        <v>792</v>
      </c>
      <c r="L466">
        <v>84</v>
      </c>
      <c r="M466">
        <f>COUNTIF(H466:$H$2581,H466)</f>
        <v>1</v>
      </c>
    </row>
    <row r="467" spans="1:13" x14ac:dyDescent="0.2">
      <c r="A467">
        <v>1567</v>
      </c>
      <c r="B467" t="s">
        <v>1514</v>
      </c>
      <c r="C467" t="s">
        <v>1937</v>
      </c>
      <c r="D467" t="s">
        <v>54</v>
      </c>
      <c r="E467" t="s">
        <v>1938</v>
      </c>
      <c r="F467" t="s">
        <v>1517</v>
      </c>
      <c r="G467" t="s">
        <v>1939</v>
      </c>
      <c r="H467" t="s">
        <v>5991</v>
      </c>
      <c r="I467" t="b">
        <v>0</v>
      </c>
      <c r="J467">
        <v>192</v>
      </c>
      <c r="K467">
        <v>1568</v>
      </c>
      <c r="L467">
        <v>10</v>
      </c>
      <c r="M467">
        <f>COUNTIF(H467:$H$2581,H467)</f>
        <v>1</v>
      </c>
    </row>
    <row r="468" spans="1:13" x14ac:dyDescent="0.2">
      <c r="A468">
        <v>993</v>
      </c>
      <c r="B468" t="s">
        <v>1876</v>
      </c>
      <c r="C468" t="s">
        <v>2357</v>
      </c>
      <c r="D468" t="s">
        <v>54</v>
      </c>
      <c r="E468" t="s">
        <v>2358</v>
      </c>
      <c r="F468" t="s">
        <v>1879</v>
      </c>
      <c r="G468" t="s">
        <v>2359</v>
      </c>
      <c r="H468" t="s">
        <v>5998</v>
      </c>
      <c r="I468" t="s">
        <v>24</v>
      </c>
      <c r="J468">
        <v>124</v>
      </c>
      <c r="K468">
        <v>994</v>
      </c>
      <c r="L468">
        <v>121</v>
      </c>
      <c r="M468">
        <f>COUNTIF(H468:$H$2581,H468)</f>
        <v>1</v>
      </c>
    </row>
    <row r="469" spans="1:13" x14ac:dyDescent="0.2">
      <c r="A469">
        <v>417</v>
      </c>
      <c r="B469" t="s">
        <v>3258</v>
      </c>
      <c r="C469" t="s">
        <v>3259</v>
      </c>
      <c r="D469" t="s">
        <v>33</v>
      </c>
      <c r="E469" t="s">
        <v>3260</v>
      </c>
      <c r="F469" t="s">
        <v>3261</v>
      </c>
      <c r="G469" t="s">
        <v>3262</v>
      </c>
      <c r="H469" t="s">
        <v>6002</v>
      </c>
      <c r="I469" t="b">
        <v>0</v>
      </c>
      <c r="J469">
        <v>61</v>
      </c>
      <c r="K469">
        <v>418</v>
      </c>
      <c r="L469">
        <v>21</v>
      </c>
      <c r="M469">
        <f>COUNTIF(H469:$H$2581,H469)</f>
        <v>1</v>
      </c>
    </row>
    <row r="470" spans="1:13" x14ac:dyDescent="0.2">
      <c r="A470">
        <v>1220</v>
      </c>
      <c r="B470" t="s">
        <v>265</v>
      </c>
      <c r="C470" t="s">
        <v>3581</v>
      </c>
      <c r="D470" t="s">
        <v>54</v>
      </c>
      <c r="E470" t="s">
        <v>3582</v>
      </c>
      <c r="F470" t="s">
        <v>268</v>
      </c>
      <c r="G470" t="s">
        <v>3583</v>
      </c>
      <c r="H470" t="s">
        <v>6006</v>
      </c>
      <c r="I470" t="s">
        <v>24</v>
      </c>
      <c r="J470">
        <v>149</v>
      </c>
      <c r="K470">
        <v>1221</v>
      </c>
      <c r="L470">
        <v>39</v>
      </c>
      <c r="M470">
        <f>COUNTIF(H470:$H$2581,H470)</f>
        <v>1</v>
      </c>
    </row>
    <row r="471" spans="1:13" x14ac:dyDescent="0.2">
      <c r="A471">
        <v>1055</v>
      </c>
      <c r="B471" t="s">
        <v>1884</v>
      </c>
      <c r="C471" t="s">
        <v>3723</v>
      </c>
      <c r="D471" t="s">
        <v>13</v>
      </c>
      <c r="E471" t="s">
        <v>3724</v>
      </c>
      <c r="F471" t="s">
        <v>1887</v>
      </c>
      <c r="G471" t="s">
        <v>3725</v>
      </c>
      <c r="H471" t="s">
        <v>6011</v>
      </c>
      <c r="I471" t="s">
        <v>24</v>
      </c>
      <c r="J471">
        <v>131</v>
      </c>
      <c r="K471">
        <v>1056</v>
      </c>
      <c r="L471">
        <v>22</v>
      </c>
      <c r="M471">
        <f>COUNTIF(H471:$H$2581,H471)</f>
        <v>1</v>
      </c>
    </row>
    <row r="472" spans="1:13" x14ac:dyDescent="0.2">
      <c r="A472">
        <v>26</v>
      </c>
      <c r="B472" t="s">
        <v>2448</v>
      </c>
      <c r="C472" t="s">
        <v>4012</v>
      </c>
      <c r="D472" t="s">
        <v>54</v>
      </c>
      <c r="E472" s="1" t="s">
        <v>4013</v>
      </c>
      <c r="F472" t="s">
        <v>2451</v>
      </c>
      <c r="G472" t="s">
        <v>4014</v>
      </c>
      <c r="H472" t="s">
        <v>6015</v>
      </c>
      <c r="I472" t="s">
        <v>24</v>
      </c>
      <c r="J472">
        <v>6</v>
      </c>
      <c r="K472">
        <v>27</v>
      </c>
      <c r="L472">
        <v>23</v>
      </c>
      <c r="M472">
        <f>COUNTIF(H472:$H$2581,H472)</f>
        <v>1</v>
      </c>
    </row>
    <row r="473" spans="1:13" x14ac:dyDescent="0.2">
      <c r="A473">
        <v>94</v>
      </c>
      <c r="B473" t="s">
        <v>311</v>
      </c>
      <c r="C473" t="s">
        <v>4160</v>
      </c>
      <c r="D473" t="s">
        <v>54</v>
      </c>
      <c r="E473" t="s">
        <v>4161</v>
      </c>
      <c r="F473" s="1" t="s">
        <v>314</v>
      </c>
      <c r="G473" t="s">
        <v>4162</v>
      </c>
      <c r="H473" t="s">
        <v>6025</v>
      </c>
      <c r="I473" t="s">
        <v>24</v>
      </c>
      <c r="J473">
        <v>14</v>
      </c>
      <c r="K473">
        <v>95</v>
      </c>
      <c r="L473">
        <v>64</v>
      </c>
      <c r="M473">
        <f>COUNTIF(H473:$H$2581,H473)</f>
        <v>1</v>
      </c>
    </row>
    <row r="474" spans="1:13" x14ac:dyDescent="0.2">
      <c r="A474">
        <v>2078</v>
      </c>
      <c r="B474" t="s">
        <v>1970</v>
      </c>
      <c r="C474" t="s">
        <v>4575</v>
      </c>
      <c r="D474" t="s">
        <v>13</v>
      </c>
      <c r="E474" t="s">
        <v>4576</v>
      </c>
      <c r="F474" t="s">
        <v>1973</v>
      </c>
      <c r="G474" t="s">
        <v>4577</v>
      </c>
      <c r="H474" t="s">
        <v>6032</v>
      </c>
      <c r="I474" t="s">
        <v>24</v>
      </c>
      <c r="J474">
        <v>241</v>
      </c>
      <c r="K474">
        <v>2079</v>
      </c>
      <c r="L474">
        <v>4</v>
      </c>
      <c r="M474">
        <f>COUNTIF(H474:$H$2581,H474)</f>
        <v>1</v>
      </c>
    </row>
    <row r="475" spans="1:13" x14ac:dyDescent="0.2">
      <c r="A475">
        <v>821</v>
      </c>
      <c r="B475" t="s">
        <v>594</v>
      </c>
      <c r="C475" t="s">
        <v>4975</v>
      </c>
      <c r="D475" t="s">
        <v>54</v>
      </c>
      <c r="E475" t="s">
        <v>4976</v>
      </c>
      <c r="F475" t="s">
        <v>597</v>
      </c>
      <c r="G475" t="s">
        <v>4977</v>
      </c>
      <c r="H475" t="s">
        <v>6039</v>
      </c>
      <c r="I475" t="b">
        <v>1</v>
      </c>
      <c r="J475">
        <v>114</v>
      </c>
      <c r="K475">
        <v>822</v>
      </c>
      <c r="L475">
        <v>123</v>
      </c>
      <c r="M475">
        <f>COUNTIF(H475:$H$2581,H475)</f>
        <v>1</v>
      </c>
    </row>
    <row r="476" spans="1:13" x14ac:dyDescent="0.2">
      <c r="A476">
        <v>43</v>
      </c>
      <c r="B476" t="s">
        <v>2199</v>
      </c>
      <c r="C476" t="s">
        <v>5239</v>
      </c>
      <c r="D476" t="s">
        <v>54</v>
      </c>
      <c r="E476" t="s">
        <v>5240</v>
      </c>
      <c r="F476" t="s">
        <v>2202</v>
      </c>
      <c r="G476" t="s">
        <v>5241</v>
      </c>
      <c r="H476" t="s">
        <v>6055</v>
      </c>
      <c r="I476" t="s">
        <v>24</v>
      </c>
      <c r="J476">
        <v>7</v>
      </c>
      <c r="K476">
        <v>44</v>
      </c>
      <c r="L476">
        <v>35</v>
      </c>
      <c r="M476">
        <f>COUNTIF(H476:$H$2581,H476)</f>
        <v>1</v>
      </c>
    </row>
    <row r="477" spans="1:13" x14ac:dyDescent="0.2">
      <c r="A477">
        <v>1400</v>
      </c>
      <c r="B477" t="s">
        <v>170</v>
      </c>
      <c r="C477" t="s">
        <v>5364</v>
      </c>
      <c r="D477" t="s">
        <v>13</v>
      </c>
      <c r="E477" t="s">
        <v>5365</v>
      </c>
      <c r="F477" t="s">
        <v>173</v>
      </c>
      <c r="G477" t="s">
        <v>5366</v>
      </c>
      <c r="H477" t="s">
        <v>6059</v>
      </c>
      <c r="I477" t="b">
        <v>1</v>
      </c>
      <c r="J477">
        <v>168</v>
      </c>
      <c r="K477">
        <v>1401</v>
      </c>
      <c r="L477">
        <v>24</v>
      </c>
      <c r="M477">
        <f>COUNTIF(H477:$H$2581,H477)</f>
        <v>1</v>
      </c>
    </row>
    <row r="478" spans="1:13" x14ac:dyDescent="0.2">
      <c r="A478">
        <v>653</v>
      </c>
      <c r="B478" t="s">
        <v>5500</v>
      </c>
      <c r="C478" t="s">
        <v>5479</v>
      </c>
      <c r="D478" t="s">
        <v>54</v>
      </c>
      <c r="E478" t="s">
        <v>5501</v>
      </c>
      <c r="F478" t="s">
        <v>5502</v>
      </c>
      <c r="G478" t="s">
        <v>5481</v>
      </c>
      <c r="H478" t="s">
        <v>6063</v>
      </c>
      <c r="I478" t="b">
        <v>1</v>
      </c>
      <c r="J478">
        <v>95</v>
      </c>
      <c r="K478">
        <v>654</v>
      </c>
      <c r="L478">
        <v>13</v>
      </c>
      <c r="M478">
        <f>COUNTIF(H478:$H$2581,H478)</f>
        <v>1</v>
      </c>
    </row>
    <row r="479" spans="1:13" x14ac:dyDescent="0.2">
      <c r="A479">
        <v>822</v>
      </c>
      <c r="B479" t="s">
        <v>594</v>
      </c>
      <c r="C479" t="s">
        <v>5585</v>
      </c>
      <c r="D479" t="s">
        <v>13</v>
      </c>
      <c r="E479" t="s">
        <v>5586</v>
      </c>
      <c r="F479" t="s">
        <v>597</v>
      </c>
      <c r="G479" t="s">
        <v>5587</v>
      </c>
      <c r="H479" t="s">
        <v>6067</v>
      </c>
      <c r="I479" t="b">
        <v>1</v>
      </c>
      <c r="J479">
        <v>114</v>
      </c>
      <c r="K479">
        <v>823</v>
      </c>
      <c r="L479">
        <v>50</v>
      </c>
      <c r="M479">
        <f>COUNTIF(H479:$H$2581,H479)</f>
        <v>1</v>
      </c>
    </row>
    <row r="480" spans="1:13" x14ac:dyDescent="0.2">
      <c r="A480">
        <v>1368</v>
      </c>
      <c r="B480" t="s">
        <v>603</v>
      </c>
      <c r="C480" t="s">
        <v>5769</v>
      </c>
      <c r="D480" t="s">
        <v>13</v>
      </c>
      <c r="E480" t="s">
        <v>5770</v>
      </c>
      <c r="F480" t="s">
        <v>606</v>
      </c>
      <c r="G480" t="s">
        <v>5771</v>
      </c>
      <c r="H480" t="s">
        <v>6071</v>
      </c>
      <c r="I480" t="s">
        <v>24</v>
      </c>
      <c r="J480">
        <v>166</v>
      </c>
      <c r="K480">
        <v>1369</v>
      </c>
      <c r="L480">
        <v>25</v>
      </c>
      <c r="M480">
        <f>COUNTIF(H480:$H$2581,H480)</f>
        <v>1</v>
      </c>
    </row>
    <row r="481" spans="1:13" x14ac:dyDescent="0.2">
      <c r="A481">
        <v>1401</v>
      </c>
      <c r="B481" t="s">
        <v>170</v>
      </c>
      <c r="C481" t="s">
        <v>5928</v>
      </c>
      <c r="D481" t="s">
        <v>13</v>
      </c>
      <c r="E481" t="s">
        <v>5929</v>
      </c>
      <c r="F481" t="s">
        <v>173</v>
      </c>
      <c r="G481" t="s">
        <v>5930</v>
      </c>
      <c r="H481" t="s">
        <v>6084</v>
      </c>
      <c r="I481" t="b">
        <v>1</v>
      </c>
      <c r="J481">
        <v>168</v>
      </c>
      <c r="K481">
        <v>1402</v>
      </c>
      <c r="L481">
        <v>124</v>
      </c>
      <c r="M481">
        <f>COUNTIF(H481:$H$2581,H481)</f>
        <v>1</v>
      </c>
    </row>
    <row r="482" spans="1:13" x14ac:dyDescent="0.2">
      <c r="A482">
        <v>201</v>
      </c>
      <c r="B482" t="s">
        <v>346</v>
      </c>
      <c r="C482" t="s">
        <v>6278</v>
      </c>
      <c r="D482" t="s">
        <v>54</v>
      </c>
      <c r="E482" t="s">
        <v>6279</v>
      </c>
      <c r="F482" t="s">
        <v>349</v>
      </c>
      <c r="G482" t="s">
        <v>6280</v>
      </c>
      <c r="H482" t="s">
        <v>6088</v>
      </c>
      <c r="I482" t="b">
        <v>0</v>
      </c>
      <c r="J482">
        <v>36</v>
      </c>
      <c r="K482">
        <v>202</v>
      </c>
      <c r="L482">
        <v>9</v>
      </c>
      <c r="M482">
        <f>COUNTIF(H482:$H$2581,H482)</f>
        <v>1</v>
      </c>
    </row>
    <row r="483" spans="1:13" x14ac:dyDescent="0.2">
      <c r="A483">
        <v>346</v>
      </c>
      <c r="B483" t="s">
        <v>455</v>
      </c>
      <c r="C483" t="s">
        <v>6378</v>
      </c>
      <c r="D483" t="s">
        <v>13</v>
      </c>
      <c r="E483" t="s">
        <v>6379</v>
      </c>
      <c r="F483" t="s">
        <v>458</v>
      </c>
      <c r="G483" t="s">
        <v>6380</v>
      </c>
      <c r="H483" t="s">
        <v>6095</v>
      </c>
      <c r="I483" t="b">
        <v>0</v>
      </c>
      <c r="J483">
        <v>49</v>
      </c>
      <c r="K483">
        <v>347</v>
      </c>
      <c r="L483">
        <v>161</v>
      </c>
      <c r="M483">
        <f>COUNTIF(H483:$H$2581,H483)</f>
        <v>1</v>
      </c>
    </row>
    <row r="484" spans="1:13" x14ac:dyDescent="0.2">
      <c r="A484">
        <v>1637</v>
      </c>
      <c r="B484" t="s">
        <v>720</v>
      </c>
      <c r="C484" t="s">
        <v>6609</v>
      </c>
      <c r="D484" t="s">
        <v>33</v>
      </c>
      <c r="E484" t="s">
        <v>6610</v>
      </c>
      <c r="F484" t="s">
        <v>723</v>
      </c>
      <c r="G484" t="s">
        <v>6611</v>
      </c>
      <c r="H484" t="s">
        <v>6099</v>
      </c>
      <c r="I484" t="b">
        <v>1</v>
      </c>
      <c r="J484">
        <v>197</v>
      </c>
      <c r="K484">
        <v>1638</v>
      </c>
      <c r="L484">
        <v>7</v>
      </c>
      <c r="M484">
        <f>COUNTIF(H484:$H$2581,H484)</f>
        <v>1</v>
      </c>
    </row>
    <row r="485" spans="1:13" x14ac:dyDescent="0.2">
      <c r="A485">
        <v>1047</v>
      </c>
      <c r="B485" t="s">
        <v>1456</v>
      </c>
      <c r="C485" t="s">
        <v>6856</v>
      </c>
      <c r="D485" t="s">
        <v>13</v>
      </c>
      <c r="E485" t="s">
        <v>6857</v>
      </c>
      <c r="F485" t="s">
        <v>1459</v>
      </c>
      <c r="G485" t="s">
        <v>6858</v>
      </c>
      <c r="H485" t="s">
        <v>6103</v>
      </c>
      <c r="I485" t="s">
        <v>24</v>
      </c>
      <c r="J485">
        <v>130</v>
      </c>
      <c r="K485">
        <v>1048</v>
      </c>
      <c r="L485">
        <v>125</v>
      </c>
      <c r="M485">
        <f>COUNTIF(H485:$H$2581,H485)</f>
        <v>1</v>
      </c>
    </row>
    <row r="486" spans="1:13" x14ac:dyDescent="0.2">
      <c r="A486">
        <v>1096</v>
      </c>
      <c r="B486" t="s">
        <v>1075</v>
      </c>
      <c r="C486" t="s">
        <v>7067</v>
      </c>
      <c r="D486" t="s">
        <v>54</v>
      </c>
      <c r="E486" t="s">
        <v>7068</v>
      </c>
      <c r="F486" t="s">
        <v>1078</v>
      </c>
      <c r="G486" t="s">
        <v>7069</v>
      </c>
      <c r="H486" t="s">
        <v>6107</v>
      </c>
      <c r="I486" t="s">
        <v>24</v>
      </c>
      <c r="J486">
        <v>133</v>
      </c>
      <c r="K486">
        <v>1097</v>
      </c>
      <c r="L486">
        <v>14</v>
      </c>
      <c r="M486">
        <f>COUNTIF(H486:$H$2581,H486)</f>
        <v>1</v>
      </c>
    </row>
    <row r="487" spans="1:13" x14ac:dyDescent="0.2">
      <c r="A487">
        <v>1513</v>
      </c>
      <c r="B487" t="s">
        <v>2438</v>
      </c>
      <c r="C487" t="s">
        <v>7801</v>
      </c>
      <c r="D487" t="s">
        <v>13</v>
      </c>
      <c r="E487" t="s">
        <v>7802</v>
      </c>
      <c r="F487" t="s">
        <v>2441</v>
      </c>
      <c r="G487" t="s">
        <v>7803</v>
      </c>
      <c r="H487" t="s">
        <v>6111</v>
      </c>
      <c r="I487" t="b">
        <v>0</v>
      </c>
      <c r="J487">
        <v>183</v>
      </c>
      <c r="K487">
        <v>1514</v>
      </c>
      <c r="L487">
        <v>27</v>
      </c>
      <c r="M487">
        <f>COUNTIF(H487:$H$2581,H487)</f>
        <v>1</v>
      </c>
    </row>
    <row r="488" spans="1:13" x14ac:dyDescent="0.2">
      <c r="A488">
        <v>1177</v>
      </c>
      <c r="B488" t="s">
        <v>1665</v>
      </c>
      <c r="C488" t="s">
        <v>8183</v>
      </c>
      <c r="D488" t="s">
        <v>13</v>
      </c>
      <c r="E488" t="s">
        <v>8184</v>
      </c>
      <c r="F488" t="s">
        <v>1668</v>
      </c>
      <c r="G488" t="s">
        <v>8185</v>
      </c>
      <c r="H488" t="s">
        <v>6121</v>
      </c>
      <c r="I488" t="b">
        <v>1</v>
      </c>
      <c r="J488">
        <v>144</v>
      </c>
      <c r="K488">
        <v>1178</v>
      </c>
      <c r="L488">
        <v>30</v>
      </c>
      <c r="M488">
        <f>COUNTIF(H488:$H$2581,H488)</f>
        <v>1</v>
      </c>
    </row>
    <row r="489" spans="1:13" x14ac:dyDescent="0.2">
      <c r="A489">
        <v>368</v>
      </c>
      <c r="B489" t="s">
        <v>975</v>
      </c>
      <c r="C489" t="s">
        <v>8553</v>
      </c>
      <c r="D489" t="s">
        <v>13</v>
      </c>
      <c r="E489" t="s">
        <v>8554</v>
      </c>
      <c r="F489" s="1" t="s">
        <v>978</v>
      </c>
      <c r="G489" t="s">
        <v>8555</v>
      </c>
      <c r="H489" t="s">
        <v>6125</v>
      </c>
      <c r="I489" t="b">
        <v>1</v>
      </c>
      <c r="J489">
        <v>50</v>
      </c>
      <c r="K489">
        <v>369</v>
      </c>
      <c r="L489">
        <v>56</v>
      </c>
      <c r="M489">
        <f>COUNTIF(H489:$H$2581,H489)</f>
        <v>1</v>
      </c>
    </row>
    <row r="490" spans="1:13" x14ac:dyDescent="0.2">
      <c r="A490">
        <v>1383</v>
      </c>
      <c r="B490" t="s">
        <v>603</v>
      </c>
      <c r="C490" t="s">
        <v>8750</v>
      </c>
      <c r="D490" t="s">
        <v>54</v>
      </c>
      <c r="E490" s="1" t="s">
        <v>8751</v>
      </c>
      <c r="F490" t="s">
        <v>606</v>
      </c>
      <c r="G490" t="s">
        <v>8752</v>
      </c>
      <c r="H490" t="s">
        <v>6129</v>
      </c>
      <c r="I490" t="s">
        <v>24</v>
      </c>
      <c r="J490">
        <v>166</v>
      </c>
      <c r="K490">
        <v>1384</v>
      </c>
      <c r="L490">
        <v>31</v>
      </c>
      <c r="M490">
        <f>COUNTIF(H490:$H$2581,H490)</f>
        <v>1</v>
      </c>
    </row>
    <row r="491" spans="1:13" x14ac:dyDescent="0.2">
      <c r="A491">
        <v>789</v>
      </c>
      <c r="B491" t="s">
        <v>116</v>
      </c>
      <c r="C491" t="s">
        <v>117</v>
      </c>
      <c r="D491" t="s">
        <v>13</v>
      </c>
      <c r="E491" t="s">
        <v>118</v>
      </c>
      <c r="F491" t="s">
        <v>119</v>
      </c>
      <c r="G491" t="s">
        <v>120</v>
      </c>
      <c r="H491" t="s">
        <v>6133</v>
      </c>
      <c r="I491" t="s">
        <v>24</v>
      </c>
      <c r="J491">
        <v>112</v>
      </c>
      <c r="K491">
        <v>790</v>
      </c>
      <c r="L491">
        <v>45</v>
      </c>
      <c r="M491">
        <f>COUNTIF(H491:$H$2581,H491)</f>
        <v>1</v>
      </c>
    </row>
    <row r="492" spans="1:13" x14ac:dyDescent="0.2">
      <c r="A492">
        <v>765</v>
      </c>
      <c r="B492" t="s">
        <v>368</v>
      </c>
      <c r="C492" t="s">
        <v>369</v>
      </c>
      <c r="D492" t="s">
        <v>54</v>
      </c>
      <c r="E492" t="s">
        <v>370</v>
      </c>
      <c r="F492" t="s">
        <v>371</v>
      </c>
      <c r="G492" t="s">
        <v>372</v>
      </c>
      <c r="H492" t="s">
        <v>6137</v>
      </c>
      <c r="I492" t="s">
        <v>24</v>
      </c>
      <c r="J492">
        <v>109</v>
      </c>
      <c r="K492">
        <v>766</v>
      </c>
      <c r="L492">
        <v>1</v>
      </c>
      <c r="M492">
        <f>COUNTIF(H492:$H$2581,H492)</f>
        <v>1</v>
      </c>
    </row>
    <row r="493" spans="1:13" x14ac:dyDescent="0.2">
      <c r="A493">
        <v>1272</v>
      </c>
      <c r="B493" t="s">
        <v>1273</v>
      </c>
      <c r="C493" t="s">
        <v>1274</v>
      </c>
      <c r="D493" t="s">
        <v>13</v>
      </c>
      <c r="E493" t="s">
        <v>1275</v>
      </c>
      <c r="F493" t="s">
        <v>1276</v>
      </c>
      <c r="G493" t="s">
        <v>1277</v>
      </c>
      <c r="H493" t="s">
        <v>6141</v>
      </c>
      <c r="I493" t="b">
        <v>1</v>
      </c>
      <c r="J493">
        <v>157</v>
      </c>
      <c r="K493">
        <v>1273</v>
      </c>
      <c r="L493">
        <v>157</v>
      </c>
      <c r="M493">
        <f>COUNTIF(H493:$H$2581,H493)</f>
        <v>1</v>
      </c>
    </row>
    <row r="494" spans="1:13" x14ac:dyDescent="0.2">
      <c r="A494">
        <v>813</v>
      </c>
      <c r="B494" t="s">
        <v>594</v>
      </c>
      <c r="C494" t="s">
        <v>1755</v>
      </c>
      <c r="D494" t="s">
        <v>54</v>
      </c>
      <c r="E494" t="s">
        <v>1756</v>
      </c>
      <c r="F494" t="s">
        <v>597</v>
      </c>
      <c r="G494" t="s">
        <v>1757</v>
      </c>
      <c r="H494" t="s">
        <v>6145</v>
      </c>
      <c r="I494" t="b">
        <v>1</v>
      </c>
      <c r="J494">
        <v>114</v>
      </c>
      <c r="K494">
        <v>814</v>
      </c>
      <c r="L494">
        <v>84</v>
      </c>
      <c r="M494">
        <f>COUNTIF(H494:$H$2581,H494)</f>
        <v>1</v>
      </c>
    </row>
    <row r="495" spans="1:13" x14ac:dyDescent="0.2">
      <c r="A495">
        <v>1598</v>
      </c>
      <c r="B495" t="s">
        <v>1548</v>
      </c>
      <c r="C495" t="s">
        <v>1940</v>
      </c>
      <c r="D495" t="s">
        <v>54</v>
      </c>
      <c r="E495" t="s">
        <v>1941</v>
      </c>
      <c r="F495" t="s">
        <v>1551</v>
      </c>
      <c r="G495" t="s">
        <v>1942</v>
      </c>
      <c r="H495" t="s">
        <v>6149</v>
      </c>
      <c r="I495" t="b">
        <v>0</v>
      </c>
      <c r="J495">
        <v>196</v>
      </c>
      <c r="K495">
        <v>1599</v>
      </c>
      <c r="L495">
        <v>10</v>
      </c>
      <c r="M495">
        <f>COUNTIF(H495:$H$2581,H495)</f>
        <v>1</v>
      </c>
    </row>
    <row r="496" spans="1:13" x14ac:dyDescent="0.2">
      <c r="A496">
        <v>1007</v>
      </c>
      <c r="B496" t="s">
        <v>1268</v>
      </c>
      <c r="C496" t="s">
        <v>2360</v>
      </c>
      <c r="D496" t="s">
        <v>13</v>
      </c>
      <c r="E496" t="s">
        <v>2361</v>
      </c>
      <c r="F496" t="s">
        <v>1271</v>
      </c>
      <c r="G496" t="s">
        <v>2362</v>
      </c>
      <c r="H496" t="s">
        <v>6152</v>
      </c>
      <c r="I496" t="s">
        <v>24</v>
      </c>
      <c r="J496">
        <v>126</v>
      </c>
      <c r="K496">
        <v>1008</v>
      </c>
      <c r="L496">
        <v>121</v>
      </c>
      <c r="M496">
        <f>COUNTIF(H496:$H$2581,H496)</f>
        <v>1</v>
      </c>
    </row>
    <row r="497" spans="1:13" x14ac:dyDescent="0.2">
      <c r="A497">
        <v>437</v>
      </c>
      <c r="B497" t="s">
        <v>778</v>
      </c>
      <c r="C497" t="s">
        <v>3263</v>
      </c>
      <c r="D497" t="s">
        <v>54</v>
      </c>
      <c r="E497" t="s">
        <v>3264</v>
      </c>
      <c r="F497" t="s">
        <v>781</v>
      </c>
      <c r="G497" t="s">
        <v>3265</v>
      </c>
      <c r="H497" t="s">
        <v>6156</v>
      </c>
      <c r="I497" t="b">
        <v>0</v>
      </c>
      <c r="J497">
        <v>64</v>
      </c>
      <c r="K497">
        <v>438</v>
      </c>
      <c r="L497">
        <v>21</v>
      </c>
      <c r="M497">
        <f>COUNTIF(H497:$H$2581,H497)</f>
        <v>1</v>
      </c>
    </row>
    <row r="498" spans="1:13" x14ac:dyDescent="0.2">
      <c r="A498">
        <v>1365</v>
      </c>
      <c r="B498" t="s">
        <v>603</v>
      </c>
      <c r="C498" t="s">
        <v>3584</v>
      </c>
      <c r="D498" t="s">
        <v>13</v>
      </c>
      <c r="E498" t="s">
        <v>3585</v>
      </c>
      <c r="F498" t="s">
        <v>606</v>
      </c>
      <c r="G498" t="s">
        <v>3586</v>
      </c>
      <c r="H498" t="s">
        <v>6160</v>
      </c>
      <c r="I498" t="s">
        <v>24</v>
      </c>
      <c r="J498">
        <v>166</v>
      </c>
      <c r="K498">
        <v>1366</v>
      </c>
      <c r="L498">
        <v>39</v>
      </c>
      <c r="M498">
        <f>COUNTIF(H498:$H$2581,H498)</f>
        <v>1</v>
      </c>
    </row>
    <row r="499" spans="1:13" x14ac:dyDescent="0.2">
      <c r="A499">
        <v>1168</v>
      </c>
      <c r="B499" t="s">
        <v>429</v>
      </c>
      <c r="C499" t="s">
        <v>3726</v>
      </c>
      <c r="D499" t="s">
        <v>33</v>
      </c>
      <c r="E499" t="s">
        <v>3727</v>
      </c>
      <c r="F499" t="s">
        <v>432</v>
      </c>
      <c r="G499" t="s">
        <v>3728</v>
      </c>
      <c r="H499" t="s">
        <v>6197</v>
      </c>
      <c r="I499" t="b">
        <v>0</v>
      </c>
      <c r="J499">
        <v>143</v>
      </c>
      <c r="K499">
        <v>1169</v>
      </c>
      <c r="L499">
        <v>22</v>
      </c>
      <c r="M499">
        <f>COUNTIF(H499:$H$2581,H499)</f>
        <v>1</v>
      </c>
    </row>
    <row r="500" spans="1:13" x14ac:dyDescent="0.2">
      <c r="A500">
        <v>561</v>
      </c>
      <c r="B500" t="s">
        <v>2797</v>
      </c>
      <c r="C500" t="s">
        <v>4016</v>
      </c>
      <c r="D500" t="s">
        <v>13</v>
      </c>
      <c r="E500" t="s">
        <v>4017</v>
      </c>
      <c r="F500" t="s">
        <v>2800</v>
      </c>
      <c r="G500" t="s">
        <v>4018</v>
      </c>
      <c r="H500" t="s">
        <v>6201</v>
      </c>
      <c r="I500" t="s">
        <v>24</v>
      </c>
      <c r="J500">
        <v>84</v>
      </c>
      <c r="K500">
        <v>562</v>
      </c>
      <c r="L500">
        <v>23</v>
      </c>
      <c r="M500">
        <f>COUNTIF(H500:$H$2581,H500)</f>
        <v>1</v>
      </c>
    </row>
    <row r="501" spans="1:13" x14ac:dyDescent="0.2">
      <c r="A501">
        <v>100</v>
      </c>
      <c r="B501" t="s">
        <v>535</v>
      </c>
      <c r="C501" t="s">
        <v>4164</v>
      </c>
      <c r="D501" t="s">
        <v>13</v>
      </c>
      <c r="E501" t="s">
        <v>4165</v>
      </c>
      <c r="F501" t="s">
        <v>538</v>
      </c>
      <c r="G501" t="s">
        <v>4166</v>
      </c>
      <c r="H501" t="s">
        <v>6208</v>
      </c>
      <c r="I501" t="s">
        <v>24</v>
      </c>
      <c r="J501">
        <v>16</v>
      </c>
      <c r="K501">
        <v>101</v>
      </c>
      <c r="L501">
        <v>64</v>
      </c>
      <c r="M501">
        <f>COUNTIF(H501:$H$2581,H501)</f>
        <v>1</v>
      </c>
    </row>
    <row r="502" spans="1:13" x14ac:dyDescent="0.2">
      <c r="A502">
        <v>2092</v>
      </c>
      <c r="B502" t="s">
        <v>255</v>
      </c>
      <c r="C502" t="s">
        <v>4578</v>
      </c>
      <c r="D502" t="s">
        <v>13</v>
      </c>
      <c r="E502" t="s">
        <v>4579</v>
      </c>
      <c r="F502" t="s">
        <v>258</v>
      </c>
      <c r="G502" t="s">
        <v>4580</v>
      </c>
      <c r="H502" t="s">
        <v>6212</v>
      </c>
      <c r="I502" t="s">
        <v>24</v>
      </c>
      <c r="J502">
        <v>242</v>
      </c>
      <c r="K502">
        <v>2093</v>
      </c>
      <c r="L502">
        <v>4</v>
      </c>
      <c r="M502">
        <f>COUNTIF(H502:$H$2581,H502)</f>
        <v>1</v>
      </c>
    </row>
    <row r="503" spans="1:13" x14ac:dyDescent="0.2">
      <c r="A503">
        <v>861</v>
      </c>
      <c r="B503" t="s">
        <v>1091</v>
      </c>
      <c r="C503" t="s">
        <v>4978</v>
      </c>
      <c r="D503" t="s">
        <v>54</v>
      </c>
      <c r="E503" t="s">
        <v>4979</v>
      </c>
      <c r="F503" t="s">
        <v>1094</v>
      </c>
      <c r="G503" t="s">
        <v>4980</v>
      </c>
      <c r="H503" t="s">
        <v>6215</v>
      </c>
      <c r="I503" t="b">
        <v>1</v>
      </c>
      <c r="J503">
        <v>118</v>
      </c>
      <c r="K503">
        <v>862</v>
      </c>
      <c r="L503">
        <v>123</v>
      </c>
      <c r="M503">
        <f>COUNTIF(H503:$H$2581,H503)</f>
        <v>1</v>
      </c>
    </row>
    <row r="504" spans="1:13" x14ac:dyDescent="0.2">
      <c r="A504">
        <v>230</v>
      </c>
      <c r="B504" t="s">
        <v>1120</v>
      </c>
      <c r="C504" t="s">
        <v>5243</v>
      </c>
      <c r="D504" t="s">
        <v>13</v>
      </c>
      <c r="E504" t="s">
        <v>5244</v>
      </c>
      <c r="F504" s="1" t="s">
        <v>1123</v>
      </c>
      <c r="G504" t="s">
        <v>5245</v>
      </c>
      <c r="H504" t="s">
        <v>6222</v>
      </c>
      <c r="I504" t="b">
        <v>0</v>
      </c>
      <c r="J504">
        <v>40</v>
      </c>
      <c r="K504">
        <v>231</v>
      </c>
      <c r="L504">
        <v>35</v>
      </c>
      <c r="M504">
        <f>COUNTIF(H504:$H$2581,H504)</f>
        <v>1</v>
      </c>
    </row>
    <row r="505" spans="1:13" x14ac:dyDescent="0.2">
      <c r="A505">
        <v>1413</v>
      </c>
      <c r="B505" t="s">
        <v>1397</v>
      </c>
      <c r="C505" t="s">
        <v>5367</v>
      </c>
      <c r="D505" t="s">
        <v>13</v>
      </c>
      <c r="E505" t="s">
        <v>5368</v>
      </c>
      <c r="F505" t="s">
        <v>1400</v>
      </c>
      <c r="G505" t="s">
        <v>5369</v>
      </c>
      <c r="H505" t="s">
        <v>6226</v>
      </c>
      <c r="I505" t="b">
        <v>1</v>
      </c>
      <c r="J505">
        <v>169</v>
      </c>
      <c r="K505">
        <v>1414</v>
      </c>
      <c r="L505">
        <v>24</v>
      </c>
      <c r="M505">
        <f>COUNTIF(H505:$H$2581,H505)</f>
        <v>1</v>
      </c>
    </row>
    <row r="506" spans="1:13" x14ac:dyDescent="0.2">
      <c r="A506">
        <v>755</v>
      </c>
      <c r="B506" t="s">
        <v>1868</v>
      </c>
      <c r="C506" t="s">
        <v>5503</v>
      </c>
      <c r="D506" t="s">
        <v>13</v>
      </c>
      <c r="E506" t="s">
        <v>5504</v>
      </c>
      <c r="F506" t="s">
        <v>1871</v>
      </c>
      <c r="G506" t="s">
        <v>5505</v>
      </c>
      <c r="H506" t="s">
        <v>6230</v>
      </c>
      <c r="I506" t="s">
        <v>24</v>
      </c>
      <c r="J506">
        <v>107</v>
      </c>
      <c r="K506">
        <v>756</v>
      </c>
      <c r="L506">
        <v>13</v>
      </c>
      <c r="M506">
        <f>COUNTIF(H506:$H$2581,H506)</f>
        <v>1</v>
      </c>
    </row>
    <row r="507" spans="1:13" x14ac:dyDescent="0.2">
      <c r="A507">
        <v>836</v>
      </c>
      <c r="B507" t="s">
        <v>176</v>
      </c>
      <c r="C507" t="s">
        <v>5588</v>
      </c>
      <c r="D507" t="s">
        <v>13</v>
      </c>
      <c r="E507" t="s">
        <v>5589</v>
      </c>
      <c r="F507" t="s">
        <v>179</v>
      </c>
      <c r="G507" t="s">
        <v>5590</v>
      </c>
      <c r="H507" t="s">
        <v>6234</v>
      </c>
      <c r="I507" t="s">
        <v>24</v>
      </c>
      <c r="J507">
        <v>115</v>
      </c>
      <c r="K507">
        <v>837</v>
      </c>
      <c r="L507">
        <v>50</v>
      </c>
      <c r="M507">
        <f>COUNTIF(H507:$H$2581,H507)</f>
        <v>1</v>
      </c>
    </row>
    <row r="508" spans="1:13" x14ac:dyDescent="0.2">
      <c r="A508">
        <v>1469</v>
      </c>
      <c r="B508" t="s">
        <v>736</v>
      </c>
      <c r="C508" t="s">
        <v>5772</v>
      </c>
      <c r="D508" t="s">
        <v>13</v>
      </c>
      <c r="E508" s="1" t="s">
        <v>5773</v>
      </c>
      <c r="F508" t="s">
        <v>739</v>
      </c>
      <c r="G508" t="s">
        <v>5774</v>
      </c>
      <c r="H508" t="s">
        <v>6238</v>
      </c>
      <c r="I508" t="s">
        <v>24</v>
      </c>
      <c r="J508">
        <v>178</v>
      </c>
      <c r="K508">
        <v>1470</v>
      </c>
      <c r="L508">
        <v>25</v>
      </c>
      <c r="M508">
        <f>COUNTIF(H508:$H$2581,H508)</f>
        <v>1</v>
      </c>
    </row>
    <row r="509" spans="1:13" x14ac:dyDescent="0.2">
      <c r="A509">
        <v>1531</v>
      </c>
      <c r="B509" t="s">
        <v>715</v>
      </c>
      <c r="C509" t="s">
        <v>5931</v>
      </c>
      <c r="D509" t="s">
        <v>13</v>
      </c>
      <c r="E509" t="s">
        <v>5932</v>
      </c>
      <c r="F509" t="s">
        <v>718</v>
      </c>
      <c r="G509" t="s">
        <v>5933</v>
      </c>
      <c r="H509" t="s">
        <v>6248</v>
      </c>
      <c r="I509" t="s">
        <v>24</v>
      </c>
      <c r="J509">
        <v>186</v>
      </c>
      <c r="K509">
        <v>1532</v>
      </c>
      <c r="L509">
        <v>124</v>
      </c>
      <c r="M509">
        <f>COUNTIF(H509:$H$2581,H509)</f>
        <v>1</v>
      </c>
    </row>
    <row r="510" spans="1:13" x14ac:dyDescent="0.2">
      <c r="A510">
        <v>212</v>
      </c>
      <c r="B510" t="s">
        <v>88</v>
      </c>
      <c r="C510" t="s">
        <v>6281</v>
      </c>
      <c r="D510" t="s">
        <v>13</v>
      </c>
      <c r="E510" t="s">
        <v>6282</v>
      </c>
      <c r="F510" t="s">
        <v>91</v>
      </c>
      <c r="G510" t="s">
        <v>6283</v>
      </c>
      <c r="H510" t="s">
        <v>6335</v>
      </c>
      <c r="I510" t="s">
        <v>24</v>
      </c>
      <c r="J510">
        <v>37</v>
      </c>
      <c r="K510">
        <v>213</v>
      </c>
      <c r="L510">
        <v>9</v>
      </c>
      <c r="M510">
        <f>COUNTIF(H510:$H$2581,H510)</f>
        <v>1</v>
      </c>
    </row>
    <row r="511" spans="1:13" x14ac:dyDescent="0.2">
      <c r="A511">
        <v>473</v>
      </c>
      <c r="B511" t="s">
        <v>928</v>
      </c>
      <c r="C511" t="s">
        <v>6382</v>
      </c>
      <c r="D511" t="s">
        <v>33</v>
      </c>
      <c r="E511" t="s">
        <v>6383</v>
      </c>
      <c r="F511" t="s">
        <v>931</v>
      </c>
      <c r="G511" t="s">
        <v>6384</v>
      </c>
      <c r="H511" t="s">
        <v>6339</v>
      </c>
      <c r="I511" t="b">
        <v>0</v>
      </c>
      <c r="J511">
        <v>67</v>
      </c>
      <c r="K511">
        <v>474</v>
      </c>
      <c r="L511">
        <v>161</v>
      </c>
      <c r="M511">
        <f>COUNTIF(H511:$H$2581,H511)</f>
        <v>1</v>
      </c>
    </row>
    <row r="512" spans="1:13" x14ac:dyDescent="0.2">
      <c r="A512">
        <v>1662</v>
      </c>
      <c r="B512" t="s">
        <v>287</v>
      </c>
      <c r="C512" t="s">
        <v>6612</v>
      </c>
      <c r="D512" t="s">
        <v>13</v>
      </c>
      <c r="E512" t="s">
        <v>6613</v>
      </c>
      <c r="F512" t="s">
        <v>290</v>
      </c>
      <c r="G512" t="s">
        <v>6614</v>
      </c>
      <c r="H512" t="s">
        <v>6343</v>
      </c>
      <c r="I512" t="b">
        <v>0</v>
      </c>
      <c r="J512">
        <v>200</v>
      </c>
      <c r="K512">
        <v>1663</v>
      </c>
      <c r="L512">
        <v>7</v>
      </c>
      <c r="M512">
        <f>COUNTIF(H512:$H$2581,H512)</f>
        <v>1</v>
      </c>
    </row>
    <row r="513" spans="1:13" x14ac:dyDescent="0.2">
      <c r="A513">
        <v>1190</v>
      </c>
      <c r="B513" t="s">
        <v>1054</v>
      </c>
      <c r="C513" t="s">
        <v>6859</v>
      </c>
      <c r="D513" t="s">
        <v>54</v>
      </c>
      <c r="E513" t="s">
        <v>6860</v>
      </c>
      <c r="F513" t="s">
        <v>1057</v>
      </c>
      <c r="G513" t="s">
        <v>6861</v>
      </c>
      <c r="H513" t="s">
        <v>6353</v>
      </c>
      <c r="I513" t="s">
        <v>24</v>
      </c>
      <c r="J513">
        <v>145</v>
      </c>
      <c r="K513">
        <v>1191</v>
      </c>
      <c r="L513">
        <v>125</v>
      </c>
      <c r="M513">
        <f>COUNTIF(H513:$H$2581,H513)</f>
        <v>1</v>
      </c>
    </row>
    <row r="514" spans="1:13" x14ac:dyDescent="0.2">
      <c r="A514">
        <v>1113</v>
      </c>
      <c r="B514" t="s">
        <v>1103</v>
      </c>
      <c r="C514" t="s">
        <v>7070</v>
      </c>
      <c r="D514" t="s">
        <v>54</v>
      </c>
      <c r="E514" t="s">
        <v>7071</v>
      </c>
      <c r="F514" t="s">
        <v>1106</v>
      </c>
      <c r="G514" t="s">
        <v>7072</v>
      </c>
      <c r="H514" t="s">
        <v>6357</v>
      </c>
      <c r="I514" t="s">
        <v>24</v>
      </c>
      <c r="J514">
        <v>134</v>
      </c>
      <c r="K514">
        <v>1114</v>
      </c>
      <c r="L514">
        <v>14</v>
      </c>
      <c r="M514">
        <f>COUNTIF(H514:$H$2581,H514)</f>
        <v>1</v>
      </c>
    </row>
    <row r="515" spans="1:13" x14ac:dyDescent="0.2">
      <c r="A515">
        <v>1594</v>
      </c>
      <c r="B515" t="s">
        <v>211</v>
      </c>
      <c r="C515" t="s">
        <v>7804</v>
      </c>
      <c r="D515" t="s">
        <v>13</v>
      </c>
      <c r="E515" t="s">
        <v>7805</v>
      </c>
      <c r="F515" t="s">
        <v>214</v>
      </c>
      <c r="G515" t="s">
        <v>7806</v>
      </c>
      <c r="H515" t="s">
        <v>6361</v>
      </c>
      <c r="I515" t="s">
        <v>24</v>
      </c>
      <c r="J515">
        <v>195</v>
      </c>
      <c r="K515">
        <v>1595</v>
      </c>
      <c r="L515">
        <v>27</v>
      </c>
      <c r="M515">
        <f>COUNTIF(H515:$H$2581,H515)</f>
        <v>1</v>
      </c>
    </row>
    <row r="516" spans="1:13" x14ac:dyDescent="0.2">
      <c r="A516">
        <v>1197</v>
      </c>
      <c r="B516" t="s">
        <v>2485</v>
      </c>
      <c r="C516" t="s">
        <v>8186</v>
      </c>
      <c r="D516" t="s">
        <v>33</v>
      </c>
      <c r="E516" t="s">
        <v>8187</v>
      </c>
      <c r="F516" t="s">
        <v>2488</v>
      </c>
      <c r="G516" t="s">
        <v>8188</v>
      </c>
      <c r="H516" t="s">
        <v>6368</v>
      </c>
      <c r="I516" t="b">
        <v>0</v>
      </c>
      <c r="J516">
        <v>146</v>
      </c>
      <c r="K516">
        <v>1198</v>
      </c>
      <c r="L516">
        <v>30</v>
      </c>
      <c r="M516">
        <f>COUNTIF(H516:$H$2581,H516)</f>
        <v>1</v>
      </c>
    </row>
    <row r="517" spans="1:13" x14ac:dyDescent="0.2">
      <c r="A517">
        <v>493</v>
      </c>
      <c r="B517" t="s">
        <v>182</v>
      </c>
      <c r="C517" t="s">
        <v>8556</v>
      </c>
      <c r="D517" t="s">
        <v>13</v>
      </c>
      <c r="E517" t="s">
        <v>8557</v>
      </c>
      <c r="F517" t="s">
        <v>185</v>
      </c>
      <c r="G517" t="s">
        <v>8558</v>
      </c>
      <c r="H517" t="s">
        <v>6381</v>
      </c>
      <c r="I517" t="b">
        <v>1</v>
      </c>
      <c r="J517">
        <v>69</v>
      </c>
      <c r="K517">
        <v>494</v>
      </c>
      <c r="L517">
        <v>56</v>
      </c>
      <c r="M517">
        <f>COUNTIF(H517:$H$2581,H517)</f>
        <v>1</v>
      </c>
    </row>
    <row r="518" spans="1:13" x14ac:dyDescent="0.2">
      <c r="A518">
        <v>1646</v>
      </c>
      <c r="B518" t="s">
        <v>720</v>
      </c>
      <c r="C518" t="s">
        <v>8753</v>
      </c>
      <c r="D518" t="s">
        <v>54</v>
      </c>
      <c r="E518" t="s">
        <v>8754</v>
      </c>
      <c r="F518" t="s">
        <v>723</v>
      </c>
      <c r="G518" t="s">
        <v>8755</v>
      </c>
      <c r="H518" t="s">
        <v>6444</v>
      </c>
      <c r="I518" t="b">
        <v>1</v>
      </c>
      <c r="J518">
        <v>197</v>
      </c>
      <c r="K518">
        <v>1647</v>
      </c>
      <c r="L518">
        <v>31</v>
      </c>
      <c r="M518">
        <f>COUNTIF(H518:$H$2581,H518)</f>
        <v>1</v>
      </c>
    </row>
    <row r="519" spans="1:13" x14ac:dyDescent="0.2">
      <c r="A519">
        <v>775</v>
      </c>
      <c r="B519" t="s">
        <v>111</v>
      </c>
      <c r="C519" t="s">
        <v>112</v>
      </c>
      <c r="D519" t="s">
        <v>33</v>
      </c>
      <c r="E519" t="s">
        <v>113</v>
      </c>
      <c r="F519" t="s">
        <v>114</v>
      </c>
      <c r="G519" t="s">
        <v>115</v>
      </c>
      <c r="H519" t="s">
        <v>6451</v>
      </c>
      <c r="I519" t="s">
        <v>24</v>
      </c>
      <c r="J519">
        <v>110</v>
      </c>
      <c r="K519">
        <v>776</v>
      </c>
      <c r="L519">
        <v>45</v>
      </c>
      <c r="M519">
        <f>COUNTIF(H519:$H$2581,H519)</f>
        <v>1</v>
      </c>
    </row>
    <row r="520" spans="1:13" x14ac:dyDescent="0.2">
      <c r="A520">
        <v>545</v>
      </c>
      <c r="B520" t="s">
        <v>103</v>
      </c>
      <c r="C520" t="s">
        <v>327</v>
      </c>
      <c r="D520" t="s">
        <v>54</v>
      </c>
      <c r="E520" t="s">
        <v>367</v>
      </c>
      <c r="F520" t="s">
        <v>105</v>
      </c>
      <c r="G520" t="s">
        <v>329</v>
      </c>
      <c r="H520" t="s">
        <v>6455</v>
      </c>
      <c r="I520" t="b">
        <v>0</v>
      </c>
      <c r="J520">
        <v>81</v>
      </c>
      <c r="K520">
        <v>546</v>
      </c>
      <c r="L520">
        <v>1</v>
      </c>
      <c r="M520">
        <f>COUNTIF(H520:$H$2581,H520)</f>
        <v>1</v>
      </c>
    </row>
    <row r="521" spans="1:13" x14ac:dyDescent="0.2">
      <c r="A521">
        <v>1563</v>
      </c>
      <c r="B521" t="s">
        <v>519</v>
      </c>
      <c r="C521" t="s">
        <v>1278</v>
      </c>
      <c r="D521" t="s">
        <v>33</v>
      </c>
      <c r="E521" t="s">
        <v>1279</v>
      </c>
      <c r="F521" t="s">
        <v>522</v>
      </c>
      <c r="G521" t="s">
        <v>1280</v>
      </c>
      <c r="H521" t="s">
        <v>6468</v>
      </c>
      <c r="I521" t="b">
        <v>0</v>
      </c>
      <c r="J521">
        <v>191</v>
      </c>
      <c r="K521">
        <v>1564</v>
      </c>
      <c r="L521">
        <v>157</v>
      </c>
      <c r="M521">
        <f>COUNTIF(H521:$H$2581,H521)</f>
        <v>1</v>
      </c>
    </row>
    <row r="522" spans="1:13" x14ac:dyDescent="0.2">
      <c r="A522">
        <v>947</v>
      </c>
      <c r="B522" t="s">
        <v>203</v>
      </c>
      <c r="C522" t="s">
        <v>1758</v>
      </c>
      <c r="D522" t="s">
        <v>54</v>
      </c>
      <c r="E522" t="s">
        <v>1759</v>
      </c>
      <c r="F522" t="s">
        <v>206</v>
      </c>
      <c r="G522" t="s">
        <v>1760</v>
      </c>
      <c r="H522" t="s">
        <v>6472</v>
      </c>
      <c r="I522" t="b">
        <v>1</v>
      </c>
      <c r="J522">
        <v>123</v>
      </c>
      <c r="K522">
        <v>948</v>
      </c>
      <c r="L522">
        <v>84</v>
      </c>
      <c r="M522">
        <f>COUNTIF(H522:$H$2581,H522)</f>
        <v>1</v>
      </c>
    </row>
    <row r="523" spans="1:13" x14ac:dyDescent="0.2">
      <c r="A523">
        <v>1851</v>
      </c>
      <c r="B523" t="s">
        <v>631</v>
      </c>
      <c r="C523" t="s">
        <v>1943</v>
      </c>
      <c r="D523" t="s">
        <v>13</v>
      </c>
      <c r="E523" t="s">
        <v>1944</v>
      </c>
      <c r="F523" t="s">
        <v>634</v>
      </c>
      <c r="G523" t="s">
        <v>1945</v>
      </c>
      <c r="H523" t="s">
        <v>6479</v>
      </c>
      <c r="I523" t="s">
        <v>24</v>
      </c>
      <c r="J523">
        <v>215</v>
      </c>
      <c r="K523">
        <v>1852</v>
      </c>
      <c r="L523">
        <v>10</v>
      </c>
      <c r="M523">
        <f>COUNTIF(H523:$H$2581,H523)</f>
        <v>1</v>
      </c>
    </row>
    <row r="524" spans="1:13" x14ac:dyDescent="0.2">
      <c r="A524">
        <v>1264</v>
      </c>
      <c r="B524" t="s">
        <v>1085</v>
      </c>
      <c r="C524" t="s">
        <v>2363</v>
      </c>
      <c r="D524" t="s">
        <v>13</v>
      </c>
      <c r="E524" t="s">
        <v>2364</v>
      </c>
      <c r="F524" t="s">
        <v>1088</v>
      </c>
      <c r="G524" t="s">
        <v>2365</v>
      </c>
      <c r="H524" t="s">
        <v>6482</v>
      </c>
      <c r="I524" t="s">
        <v>24</v>
      </c>
      <c r="J524">
        <v>156</v>
      </c>
      <c r="K524">
        <v>1265</v>
      </c>
      <c r="L524">
        <v>121</v>
      </c>
      <c r="M524">
        <f>COUNTIF(H524:$H$2581,H524)</f>
        <v>1</v>
      </c>
    </row>
    <row r="525" spans="1:13" x14ac:dyDescent="0.2">
      <c r="A525">
        <v>484</v>
      </c>
      <c r="B525" t="s">
        <v>182</v>
      </c>
      <c r="C525" t="s">
        <v>3266</v>
      </c>
      <c r="D525" t="s">
        <v>13</v>
      </c>
      <c r="E525" t="s">
        <v>3267</v>
      </c>
      <c r="F525" t="s">
        <v>185</v>
      </c>
      <c r="G525" t="s">
        <v>3268</v>
      </c>
      <c r="H525" t="s">
        <v>6671</v>
      </c>
      <c r="I525" t="b">
        <v>1</v>
      </c>
      <c r="J525">
        <v>69</v>
      </c>
      <c r="K525">
        <v>485</v>
      </c>
      <c r="L525">
        <v>21</v>
      </c>
      <c r="M525">
        <f>COUNTIF(H525:$H$2581,H525)</f>
        <v>1</v>
      </c>
    </row>
    <row r="526" spans="1:13" x14ac:dyDescent="0.2">
      <c r="A526">
        <v>1472</v>
      </c>
      <c r="B526" t="s">
        <v>3587</v>
      </c>
      <c r="C526" t="s">
        <v>3588</v>
      </c>
      <c r="D526" t="s">
        <v>13</v>
      </c>
      <c r="E526" t="s">
        <v>3589</v>
      </c>
      <c r="F526" t="s">
        <v>3590</v>
      </c>
      <c r="G526" t="s">
        <v>3591</v>
      </c>
      <c r="H526" t="s">
        <v>6675</v>
      </c>
      <c r="I526" t="s">
        <v>24</v>
      </c>
      <c r="J526">
        <v>179</v>
      </c>
      <c r="K526">
        <v>1473</v>
      </c>
      <c r="L526">
        <v>39</v>
      </c>
      <c r="M526">
        <f>COUNTIF(H526:$H$2581,H526)</f>
        <v>1</v>
      </c>
    </row>
    <row r="527" spans="1:13" x14ac:dyDescent="0.2">
      <c r="A527">
        <v>1204</v>
      </c>
      <c r="B527" t="s">
        <v>1509</v>
      </c>
      <c r="C527" t="s">
        <v>3729</v>
      </c>
      <c r="D527" t="s">
        <v>13</v>
      </c>
      <c r="E527" t="s">
        <v>3730</v>
      </c>
      <c r="F527" t="s">
        <v>1512</v>
      </c>
      <c r="G527" t="s">
        <v>3731</v>
      </c>
      <c r="H527" t="s">
        <v>6679</v>
      </c>
      <c r="I527" t="b">
        <v>1</v>
      </c>
      <c r="J527">
        <v>147</v>
      </c>
      <c r="K527">
        <v>1205</v>
      </c>
      <c r="L527">
        <v>22</v>
      </c>
      <c r="M527">
        <f>COUNTIF(H527:$H$2581,H527)</f>
        <v>1</v>
      </c>
    </row>
    <row r="528" spans="1:13" x14ac:dyDescent="0.2">
      <c r="A528">
        <v>876</v>
      </c>
      <c r="B528" t="s">
        <v>1192</v>
      </c>
      <c r="C528" t="s">
        <v>4019</v>
      </c>
      <c r="D528" t="s">
        <v>54</v>
      </c>
      <c r="E528" t="s">
        <v>4020</v>
      </c>
      <c r="F528" t="s">
        <v>1195</v>
      </c>
      <c r="G528" t="s">
        <v>4021</v>
      </c>
      <c r="H528" t="s">
        <v>6683</v>
      </c>
      <c r="I528" t="s">
        <v>24</v>
      </c>
      <c r="J528">
        <v>119</v>
      </c>
      <c r="K528">
        <v>877</v>
      </c>
      <c r="L528">
        <v>23</v>
      </c>
      <c r="M528">
        <f>COUNTIF(H528:$H$2581,H528)</f>
        <v>1</v>
      </c>
    </row>
    <row r="529" spans="1:13" x14ac:dyDescent="0.2">
      <c r="A529">
        <v>102</v>
      </c>
      <c r="B529" t="s">
        <v>3217</v>
      </c>
      <c r="C529" t="s">
        <v>4167</v>
      </c>
      <c r="D529" t="s">
        <v>13</v>
      </c>
      <c r="E529" t="s">
        <v>4168</v>
      </c>
      <c r="F529" t="s">
        <v>3220</v>
      </c>
      <c r="G529" t="s">
        <v>4169</v>
      </c>
      <c r="H529" t="s">
        <v>6687</v>
      </c>
      <c r="I529" t="b">
        <v>0</v>
      </c>
      <c r="J529">
        <v>17</v>
      </c>
      <c r="K529">
        <v>103</v>
      </c>
      <c r="L529">
        <v>64</v>
      </c>
      <c r="M529">
        <f>COUNTIF(H529:$H$2581,H529)</f>
        <v>1</v>
      </c>
    </row>
    <row r="530" spans="1:13" x14ac:dyDescent="0.2">
      <c r="A530">
        <v>2164</v>
      </c>
      <c r="B530" t="s">
        <v>471</v>
      </c>
      <c r="C530" t="s">
        <v>4581</v>
      </c>
      <c r="D530" t="s">
        <v>13</v>
      </c>
      <c r="E530" t="s">
        <v>4582</v>
      </c>
      <c r="F530" t="s">
        <v>474</v>
      </c>
      <c r="G530" t="s">
        <v>4583</v>
      </c>
      <c r="H530" t="s">
        <v>6694</v>
      </c>
      <c r="I530" t="s">
        <v>24</v>
      </c>
      <c r="J530">
        <v>253</v>
      </c>
      <c r="K530">
        <v>2165</v>
      </c>
      <c r="L530">
        <v>4</v>
      </c>
      <c r="M530">
        <f>COUNTIF(H530:$H$2581,H530)</f>
        <v>1</v>
      </c>
    </row>
    <row r="531" spans="1:13" x14ac:dyDescent="0.2">
      <c r="A531">
        <v>896</v>
      </c>
      <c r="B531" t="s">
        <v>198</v>
      </c>
      <c r="C531" t="s">
        <v>4981</v>
      </c>
      <c r="D531" t="s">
        <v>54</v>
      </c>
      <c r="E531" t="s">
        <v>4982</v>
      </c>
      <c r="F531" t="s">
        <v>201</v>
      </c>
      <c r="G531" t="s">
        <v>4983</v>
      </c>
      <c r="H531" t="s">
        <v>6698</v>
      </c>
      <c r="I531" t="b">
        <v>0</v>
      </c>
      <c r="J531">
        <v>120</v>
      </c>
      <c r="K531">
        <v>897</v>
      </c>
      <c r="L531">
        <v>123</v>
      </c>
      <c r="M531">
        <f>COUNTIF(H531:$H$2581,H531)</f>
        <v>1</v>
      </c>
    </row>
    <row r="532" spans="1:13" x14ac:dyDescent="0.2">
      <c r="A532">
        <v>260</v>
      </c>
      <c r="B532" t="s">
        <v>1503</v>
      </c>
      <c r="C532" t="s">
        <v>5246</v>
      </c>
      <c r="D532" t="s">
        <v>33</v>
      </c>
      <c r="E532" t="s">
        <v>5247</v>
      </c>
      <c r="F532" t="s">
        <v>1506</v>
      </c>
      <c r="G532" t="s">
        <v>5248</v>
      </c>
      <c r="H532" t="s">
        <v>6708</v>
      </c>
      <c r="I532" t="b">
        <v>0</v>
      </c>
      <c r="J532">
        <v>42</v>
      </c>
      <c r="K532">
        <v>261</v>
      </c>
      <c r="L532">
        <v>35</v>
      </c>
      <c r="M532">
        <f>COUNTIF(H532:$H$2581,H532)</f>
        <v>1</v>
      </c>
    </row>
    <row r="533" spans="1:13" x14ac:dyDescent="0.2">
      <c r="A533">
        <v>1484</v>
      </c>
      <c r="B533" t="s">
        <v>1773</v>
      </c>
      <c r="C533" t="s">
        <v>5370</v>
      </c>
      <c r="D533" t="s">
        <v>33</v>
      </c>
      <c r="E533" t="s">
        <v>5371</v>
      </c>
      <c r="F533" t="s">
        <v>1776</v>
      </c>
      <c r="G533" t="s">
        <v>5372</v>
      </c>
      <c r="H533" t="s">
        <v>6727</v>
      </c>
      <c r="I533" t="b">
        <v>0</v>
      </c>
      <c r="J533">
        <v>180</v>
      </c>
      <c r="K533">
        <v>1485</v>
      </c>
      <c r="L533">
        <v>24</v>
      </c>
      <c r="M533">
        <f>COUNTIF(H533:$H$2581,H533)</f>
        <v>1</v>
      </c>
    </row>
    <row r="534" spans="1:13" x14ac:dyDescent="0.2">
      <c r="A534">
        <v>823</v>
      </c>
      <c r="B534" t="s">
        <v>594</v>
      </c>
      <c r="C534" t="s">
        <v>5506</v>
      </c>
      <c r="D534" t="s">
        <v>54</v>
      </c>
      <c r="E534" t="s">
        <v>5507</v>
      </c>
      <c r="F534" t="s">
        <v>597</v>
      </c>
      <c r="G534" t="s">
        <v>5508</v>
      </c>
      <c r="H534" t="s">
        <v>6731</v>
      </c>
      <c r="I534" t="b">
        <v>1</v>
      </c>
      <c r="J534">
        <v>114</v>
      </c>
      <c r="K534">
        <v>824</v>
      </c>
      <c r="L534">
        <v>13</v>
      </c>
      <c r="M534">
        <f>COUNTIF(H534:$H$2581,H534)</f>
        <v>1</v>
      </c>
    </row>
    <row r="535" spans="1:13" x14ac:dyDescent="0.2">
      <c r="A535">
        <v>845</v>
      </c>
      <c r="B535" t="s">
        <v>3157</v>
      </c>
      <c r="C535" t="s">
        <v>5591</v>
      </c>
      <c r="D535" t="s">
        <v>54</v>
      </c>
      <c r="E535" t="s">
        <v>5592</v>
      </c>
      <c r="F535" t="s">
        <v>3160</v>
      </c>
      <c r="G535" t="s">
        <v>5593</v>
      </c>
      <c r="H535" t="s">
        <v>6735</v>
      </c>
      <c r="I535" t="s">
        <v>24</v>
      </c>
      <c r="J535">
        <v>116</v>
      </c>
      <c r="K535">
        <v>846</v>
      </c>
      <c r="L535">
        <v>50</v>
      </c>
      <c r="M535">
        <f>COUNTIF(H535:$H$2581,H535)</f>
        <v>1</v>
      </c>
    </row>
    <row r="536" spans="1:13" x14ac:dyDescent="0.2">
      <c r="A536">
        <v>1486</v>
      </c>
      <c r="B536" t="s">
        <v>1773</v>
      </c>
      <c r="C536" t="s">
        <v>5775</v>
      </c>
      <c r="D536" t="s">
        <v>33</v>
      </c>
      <c r="E536" t="s">
        <v>5776</v>
      </c>
      <c r="F536" t="s">
        <v>1776</v>
      </c>
      <c r="G536" t="s">
        <v>5777</v>
      </c>
      <c r="H536" t="s">
        <v>6742</v>
      </c>
      <c r="I536" t="b">
        <v>0</v>
      </c>
      <c r="J536">
        <v>180</v>
      </c>
      <c r="K536">
        <v>1487</v>
      </c>
      <c r="L536">
        <v>25</v>
      </c>
      <c r="M536">
        <f>COUNTIF(H536:$H$2581,H536)</f>
        <v>1</v>
      </c>
    </row>
    <row r="537" spans="1:13" x14ac:dyDescent="0.2">
      <c r="A537">
        <v>1554</v>
      </c>
      <c r="B537" t="s">
        <v>4488</v>
      </c>
      <c r="C537" t="s">
        <v>5934</v>
      </c>
      <c r="D537" t="s">
        <v>13</v>
      </c>
      <c r="E537" t="s">
        <v>5935</v>
      </c>
      <c r="F537" t="s">
        <v>4491</v>
      </c>
      <c r="G537" t="s">
        <v>5936</v>
      </c>
      <c r="H537" t="s">
        <v>6746</v>
      </c>
      <c r="I537" t="b">
        <v>0</v>
      </c>
      <c r="J537">
        <v>189</v>
      </c>
      <c r="K537">
        <v>1555</v>
      </c>
      <c r="L537">
        <v>124</v>
      </c>
      <c r="M537">
        <f>COUNTIF(H537:$H$2581,H537)</f>
        <v>1</v>
      </c>
    </row>
    <row r="538" spans="1:13" x14ac:dyDescent="0.2">
      <c r="A538">
        <v>215</v>
      </c>
      <c r="B538" t="s">
        <v>6284</v>
      </c>
      <c r="C538" t="s">
        <v>6268</v>
      </c>
      <c r="D538" t="s">
        <v>13</v>
      </c>
      <c r="E538" t="s">
        <v>6285</v>
      </c>
      <c r="F538" t="s">
        <v>6286</v>
      </c>
      <c r="G538" t="s">
        <v>6271</v>
      </c>
      <c r="H538" t="s">
        <v>6750</v>
      </c>
      <c r="I538" t="b">
        <v>1</v>
      </c>
      <c r="J538">
        <v>39</v>
      </c>
      <c r="K538">
        <v>216</v>
      </c>
      <c r="L538">
        <v>9</v>
      </c>
      <c r="M538">
        <f>COUNTIF(H538:$H$2581,H538)</f>
        <v>1</v>
      </c>
    </row>
    <row r="539" spans="1:13" x14ac:dyDescent="0.2">
      <c r="A539">
        <v>515</v>
      </c>
      <c r="B539" t="s">
        <v>486</v>
      </c>
      <c r="C539" t="s">
        <v>6385</v>
      </c>
      <c r="D539" t="s">
        <v>13</v>
      </c>
      <c r="E539" t="s">
        <v>6386</v>
      </c>
      <c r="F539" t="s">
        <v>489</v>
      </c>
      <c r="G539" t="s">
        <v>6387</v>
      </c>
      <c r="H539" t="s">
        <v>6760</v>
      </c>
      <c r="I539" t="b">
        <v>0</v>
      </c>
      <c r="J539">
        <v>74</v>
      </c>
      <c r="K539">
        <v>516</v>
      </c>
      <c r="L539">
        <v>161</v>
      </c>
      <c r="M539">
        <f>COUNTIF(H539:$H$2581,H539)</f>
        <v>1</v>
      </c>
    </row>
    <row r="540" spans="1:13" x14ac:dyDescent="0.2">
      <c r="A540">
        <v>1777</v>
      </c>
      <c r="B540" t="s">
        <v>216</v>
      </c>
      <c r="C540" t="s">
        <v>6615</v>
      </c>
      <c r="D540" t="s">
        <v>13</v>
      </c>
      <c r="E540" t="s">
        <v>6616</v>
      </c>
      <c r="F540" t="s">
        <v>219</v>
      </c>
      <c r="G540" t="s">
        <v>6617</v>
      </c>
      <c r="H540" t="s">
        <v>6764</v>
      </c>
      <c r="I540" t="b">
        <v>1</v>
      </c>
      <c r="J540">
        <v>209</v>
      </c>
      <c r="K540">
        <v>1778</v>
      </c>
      <c r="L540">
        <v>7</v>
      </c>
      <c r="M540">
        <f>COUNTIF(H540:$H$2581,H540)</f>
        <v>1</v>
      </c>
    </row>
    <row r="541" spans="1:13" x14ac:dyDescent="0.2">
      <c r="A541">
        <v>1196</v>
      </c>
      <c r="B541" t="s">
        <v>2485</v>
      </c>
      <c r="C541" t="s">
        <v>6862</v>
      </c>
      <c r="D541" t="s">
        <v>13</v>
      </c>
      <c r="E541" t="s">
        <v>6863</v>
      </c>
      <c r="F541" t="s">
        <v>2488</v>
      </c>
      <c r="G541" t="s">
        <v>6864</v>
      </c>
      <c r="H541" t="s">
        <v>6816</v>
      </c>
      <c r="I541" t="b">
        <v>0</v>
      </c>
      <c r="J541">
        <v>146</v>
      </c>
      <c r="K541">
        <v>1197</v>
      </c>
      <c r="L541">
        <v>125</v>
      </c>
      <c r="M541">
        <f>COUNTIF(H541:$H$2581,H541)</f>
        <v>1</v>
      </c>
    </row>
    <row r="542" spans="1:13" x14ac:dyDescent="0.2">
      <c r="A542">
        <v>1403</v>
      </c>
      <c r="B542" t="s">
        <v>170</v>
      </c>
      <c r="C542" t="s">
        <v>7073</v>
      </c>
      <c r="D542" t="s">
        <v>13</v>
      </c>
      <c r="E542" t="s">
        <v>7074</v>
      </c>
      <c r="F542" t="s">
        <v>173</v>
      </c>
      <c r="G542" t="s">
        <v>7075</v>
      </c>
      <c r="H542" t="s">
        <v>6820</v>
      </c>
      <c r="I542" t="b">
        <v>1</v>
      </c>
      <c r="J542">
        <v>168</v>
      </c>
      <c r="K542">
        <v>1404</v>
      </c>
      <c r="L542">
        <v>14</v>
      </c>
      <c r="M542">
        <f>COUNTIF(H542:$H$2581,H542)</f>
        <v>1</v>
      </c>
    </row>
    <row r="543" spans="1:13" x14ac:dyDescent="0.2">
      <c r="A543">
        <v>1672</v>
      </c>
      <c r="B543" t="s">
        <v>1059</v>
      </c>
      <c r="C543" t="s">
        <v>7807</v>
      </c>
      <c r="D543" t="s">
        <v>54</v>
      </c>
      <c r="E543" t="s">
        <v>7808</v>
      </c>
      <c r="F543" t="s">
        <v>1062</v>
      </c>
      <c r="G543" t="s">
        <v>7809</v>
      </c>
      <c r="H543" t="s">
        <v>6827</v>
      </c>
      <c r="I543" t="b">
        <v>1</v>
      </c>
      <c r="J543">
        <v>201</v>
      </c>
      <c r="K543">
        <v>1673</v>
      </c>
      <c r="L543">
        <v>27</v>
      </c>
      <c r="M543">
        <f>COUNTIF(H543:$H$2581,H543)</f>
        <v>1</v>
      </c>
    </row>
    <row r="544" spans="1:13" x14ac:dyDescent="0.2">
      <c r="A544">
        <v>1345</v>
      </c>
      <c r="B544" t="s">
        <v>2235</v>
      </c>
      <c r="C544" t="s">
        <v>8189</v>
      </c>
      <c r="D544" t="s">
        <v>33</v>
      </c>
      <c r="E544" t="s">
        <v>8190</v>
      </c>
      <c r="F544" t="s">
        <v>2238</v>
      </c>
      <c r="G544" t="s">
        <v>8191</v>
      </c>
      <c r="H544" t="s">
        <v>6831</v>
      </c>
      <c r="I544" t="b">
        <v>0</v>
      </c>
      <c r="J544">
        <v>163</v>
      </c>
      <c r="K544">
        <v>1346</v>
      </c>
      <c r="L544">
        <v>30</v>
      </c>
      <c r="M544">
        <f>COUNTIF(H544:$H$2581,H544)</f>
        <v>1</v>
      </c>
    </row>
    <row r="545" spans="1:13" x14ac:dyDescent="0.2">
      <c r="A545">
        <v>574</v>
      </c>
      <c r="B545" t="s">
        <v>2797</v>
      </c>
      <c r="C545" t="s">
        <v>8559</v>
      </c>
      <c r="D545" t="s">
        <v>33</v>
      </c>
      <c r="E545" t="s">
        <v>8560</v>
      </c>
      <c r="F545" t="s">
        <v>2800</v>
      </c>
      <c r="G545" t="s">
        <v>8561</v>
      </c>
      <c r="H545" t="s">
        <v>6835</v>
      </c>
      <c r="I545" t="s">
        <v>24</v>
      </c>
      <c r="J545">
        <v>84</v>
      </c>
      <c r="K545">
        <v>575</v>
      </c>
      <c r="L545">
        <v>56</v>
      </c>
      <c r="M545">
        <f>COUNTIF(H545:$H$2581,H545)</f>
        <v>1</v>
      </c>
    </row>
    <row r="546" spans="1:13" x14ac:dyDescent="0.2">
      <c r="A546">
        <v>1647</v>
      </c>
      <c r="B546" t="s">
        <v>720</v>
      </c>
      <c r="C546" t="s">
        <v>8756</v>
      </c>
      <c r="D546" t="s">
        <v>33</v>
      </c>
      <c r="E546" t="s">
        <v>8757</v>
      </c>
      <c r="F546" t="s">
        <v>723</v>
      </c>
      <c r="G546" t="s">
        <v>8758</v>
      </c>
      <c r="H546" t="s">
        <v>6918</v>
      </c>
      <c r="I546" t="b">
        <v>1</v>
      </c>
      <c r="J546">
        <v>197</v>
      </c>
      <c r="K546">
        <v>1648</v>
      </c>
      <c r="L546">
        <v>31</v>
      </c>
      <c r="M546">
        <f>COUNTIF(H546:$H$2581,H546)</f>
        <v>1</v>
      </c>
    </row>
    <row r="547" spans="1:13" x14ac:dyDescent="0.2">
      <c r="A547">
        <v>652</v>
      </c>
      <c r="B547" t="s">
        <v>106</v>
      </c>
      <c r="C547" t="s">
        <v>107</v>
      </c>
      <c r="D547" t="s">
        <v>54</v>
      </c>
      <c r="E547" t="s">
        <v>108</v>
      </c>
      <c r="F547" t="s">
        <v>109</v>
      </c>
      <c r="G547" t="s">
        <v>110</v>
      </c>
      <c r="H547" t="s">
        <v>6922</v>
      </c>
      <c r="I547" t="b">
        <v>0</v>
      </c>
      <c r="J547">
        <v>94</v>
      </c>
      <c r="K547">
        <v>653</v>
      </c>
      <c r="L547">
        <v>45</v>
      </c>
      <c r="M547">
        <f>COUNTIF(H547:$H$2581,H547)</f>
        <v>1</v>
      </c>
    </row>
    <row r="548" spans="1:13" x14ac:dyDescent="0.2">
      <c r="A548">
        <v>494</v>
      </c>
      <c r="B548" t="s">
        <v>362</v>
      </c>
      <c r="C548" t="s">
        <v>363</v>
      </c>
      <c r="D548" t="s">
        <v>13</v>
      </c>
      <c r="E548" t="s">
        <v>364</v>
      </c>
      <c r="F548" t="s">
        <v>365</v>
      </c>
      <c r="G548" t="s">
        <v>366</v>
      </c>
      <c r="H548" t="s">
        <v>6926</v>
      </c>
      <c r="I548" t="b">
        <v>1</v>
      </c>
      <c r="J548">
        <v>70</v>
      </c>
      <c r="K548">
        <v>495</v>
      </c>
      <c r="L548">
        <v>1</v>
      </c>
      <c r="M548">
        <f>COUNTIF(H548:$H$2581,H548)</f>
        <v>1</v>
      </c>
    </row>
    <row r="549" spans="1:13" x14ac:dyDescent="0.2">
      <c r="A549">
        <v>2486</v>
      </c>
      <c r="B549" t="s">
        <v>589</v>
      </c>
      <c r="C549" t="s">
        <v>590</v>
      </c>
      <c r="D549" t="s">
        <v>54</v>
      </c>
      <c r="E549" t="s">
        <v>591</v>
      </c>
      <c r="F549" t="s">
        <v>592</v>
      </c>
      <c r="G549" t="s">
        <v>593</v>
      </c>
      <c r="H549" t="s">
        <v>6930</v>
      </c>
      <c r="I549" t="s">
        <v>24</v>
      </c>
      <c r="J549">
        <v>288</v>
      </c>
      <c r="K549">
        <v>2487</v>
      </c>
      <c r="L549">
        <v>46</v>
      </c>
      <c r="M549">
        <f>COUNTIF(H549:$H$2581,H549)</f>
        <v>1</v>
      </c>
    </row>
    <row r="550" spans="1:13" x14ac:dyDescent="0.2">
      <c r="A550">
        <v>1614</v>
      </c>
      <c r="B550" t="s">
        <v>720</v>
      </c>
      <c r="C550" t="s">
        <v>1281</v>
      </c>
      <c r="D550" t="s">
        <v>54</v>
      </c>
      <c r="E550" t="s">
        <v>1282</v>
      </c>
      <c r="F550" t="s">
        <v>723</v>
      </c>
      <c r="G550" t="s">
        <v>1283</v>
      </c>
      <c r="H550" t="s">
        <v>6934</v>
      </c>
      <c r="I550" t="b">
        <v>1</v>
      </c>
      <c r="J550">
        <v>197</v>
      </c>
      <c r="K550">
        <v>1615</v>
      </c>
      <c r="L550">
        <v>157</v>
      </c>
      <c r="M550">
        <f>COUNTIF(H550:$H$2581,H550)</f>
        <v>1</v>
      </c>
    </row>
    <row r="551" spans="1:13" x14ac:dyDescent="0.2">
      <c r="A551">
        <v>1087</v>
      </c>
      <c r="B551" t="s">
        <v>1075</v>
      </c>
      <c r="C551" t="s">
        <v>1761</v>
      </c>
      <c r="D551" t="s">
        <v>54</v>
      </c>
      <c r="E551" t="s">
        <v>1762</v>
      </c>
      <c r="F551" t="s">
        <v>1078</v>
      </c>
      <c r="G551" t="s">
        <v>1763</v>
      </c>
      <c r="H551" t="s">
        <v>6941</v>
      </c>
      <c r="I551" t="s">
        <v>24</v>
      </c>
      <c r="J551">
        <v>133</v>
      </c>
      <c r="K551">
        <v>1088</v>
      </c>
      <c r="L551">
        <v>84</v>
      </c>
      <c r="M551">
        <f>COUNTIF(H551:$H$2581,H551)</f>
        <v>1</v>
      </c>
    </row>
    <row r="552" spans="1:13" x14ac:dyDescent="0.2">
      <c r="A552">
        <v>1921</v>
      </c>
      <c r="B552" t="s">
        <v>439</v>
      </c>
      <c r="C552" t="s">
        <v>1946</v>
      </c>
      <c r="D552" t="s">
        <v>13</v>
      </c>
      <c r="E552" s="1" t="s">
        <v>1947</v>
      </c>
      <c r="F552" t="s">
        <v>442</v>
      </c>
      <c r="G552" t="s">
        <v>1948</v>
      </c>
      <c r="H552" t="s">
        <v>6957</v>
      </c>
      <c r="I552" t="b">
        <v>0</v>
      </c>
      <c r="J552">
        <v>224</v>
      </c>
      <c r="K552">
        <v>1922</v>
      </c>
      <c r="L552">
        <v>10</v>
      </c>
      <c r="M552">
        <f>COUNTIF(H552:$H$2581,H552)</f>
        <v>1</v>
      </c>
    </row>
    <row r="553" spans="1:13" x14ac:dyDescent="0.2">
      <c r="A553">
        <v>1275</v>
      </c>
      <c r="B553" t="s">
        <v>1273</v>
      </c>
      <c r="C553" t="s">
        <v>2366</v>
      </c>
      <c r="D553" t="s">
        <v>13</v>
      </c>
      <c r="E553" t="s">
        <v>2367</v>
      </c>
      <c r="F553" t="s">
        <v>1276</v>
      </c>
      <c r="G553" t="s">
        <v>2368</v>
      </c>
      <c r="H553" t="s">
        <v>6963</v>
      </c>
      <c r="I553" t="b">
        <v>1</v>
      </c>
      <c r="J553">
        <v>157</v>
      </c>
      <c r="K553">
        <v>1276</v>
      </c>
      <c r="L553">
        <v>121</v>
      </c>
      <c r="M553">
        <f>COUNTIF(H553:$H$2581,H553)</f>
        <v>1</v>
      </c>
    </row>
    <row r="554" spans="1:13" x14ac:dyDescent="0.2">
      <c r="A554">
        <v>20</v>
      </c>
      <c r="B554" t="s">
        <v>2448</v>
      </c>
      <c r="C554" t="s">
        <v>2805</v>
      </c>
      <c r="D554" t="s">
        <v>54</v>
      </c>
      <c r="E554" t="s">
        <v>2806</v>
      </c>
      <c r="F554" t="s">
        <v>2451</v>
      </c>
      <c r="G554" t="s">
        <v>2807</v>
      </c>
      <c r="H554" t="s">
        <v>6967</v>
      </c>
      <c r="I554" t="s">
        <v>24</v>
      </c>
      <c r="J554">
        <v>6</v>
      </c>
      <c r="K554">
        <v>21</v>
      </c>
      <c r="L554">
        <v>17</v>
      </c>
      <c r="M554">
        <f>COUNTIF(H554:$H$2581,H554)</f>
        <v>1</v>
      </c>
    </row>
    <row r="555" spans="1:13" x14ac:dyDescent="0.2">
      <c r="A555">
        <v>724</v>
      </c>
      <c r="B555" t="s">
        <v>1349</v>
      </c>
      <c r="C555" t="s">
        <v>3269</v>
      </c>
      <c r="D555" t="s">
        <v>13</v>
      </c>
      <c r="E555" t="s">
        <v>3270</v>
      </c>
      <c r="F555" t="s">
        <v>1352</v>
      </c>
      <c r="G555" t="s">
        <v>3271</v>
      </c>
      <c r="H555" t="s">
        <v>6971</v>
      </c>
      <c r="I555" t="b">
        <v>1</v>
      </c>
      <c r="J555">
        <v>104</v>
      </c>
      <c r="K555">
        <v>725</v>
      </c>
      <c r="L555">
        <v>21</v>
      </c>
      <c r="M555">
        <f>COUNTIF(H555:$H$2581,H555)</f>
        <v>1</v>
      </c>
    </row>
    <row r="556" spans="1:13" x14ac:dyDescent="0.2">
      <c r="A556">
        <v>1589</v>
      </c>
      <c r="B556" t="s">
        <v>211</v>
      </c>
      <c r="C556" t="s">
        <v>3592</v>
      </c>
      <c r="D556" t="s">
        <v>54</v>
      </c>
      <c r="E556" t="s">
        <v>3593</v>
      </c>
      <c r="F556" t="s">
        <v>214</v>
      </c>
      <c r="G556" t="s">
        <v>3594</v>
      </c>
      <c r="H556" t="s">
        <v>6975</v>
      </c>
      <c r="I556" t="s">
        <v>24</v>
      </c>
      <c r="J556">
        <v>195</v>
      </c>
      <c r="K556">
        <v>1590</v>
      </c>
      <c r="L556">
        <v>39</v>
      </c>
      <c r="M556">
        <f>COUNTIF(H556:$H$2581,H556)</f>
        <v>1</v>
      </c>
    </row>
    <row r="557" spans="1:13" x14ac:dyDescent="0.2">
      <c r="A557">
        <v>1236</v>
      </c>
      <c r="B557" t="s">
        <v>1461</v>
      </c>
      <c r="C557" t="s">
        <v>3732</v>
      </c>
      <c r="D557" t="s">
        <v>33</v>
      </c>
      <c r="E557" t="s">
        <v>3733</v>
      </c>
      <c r="F557" t="s">
        <v>1464</v>
      </c>
      <c r="G557" t="s">
        <v>3734</v>
      </c>
      <c r="H557" t="s">
        <v>6979</v>
      </c>
      <c r="I557" t="b">
        <v>0</v>
      </c>
      <c r="J557">
        <v>152</v>
      </c>
      <c r="K557">
        <v>1237</v>
      </c>
      <c r="L557">
        <v>22</v>
      </c>
      <c r="M557">
        <f>COUNTIF(H557:$H$2581,H557)</f>
        <v>1</v>
      </c>
    </row>
    <row r="558" spans="1:13" x14ac:dyDescent="0.2">
      <c r="A558">
        <v>613</v>
      </c>
      <c r="B558" t="s">
        <v>1491</v>
      </c>
      <c r="C558" t="s">
        <v>3809</v>
      </c>
      <c r="D558" t="s">
        <v>54</v>
      </c>
      <c r="E558" t="s">
        <v>3810</v>
      </c>
      <c r="F558" t="s">
        <v>1494</v>
      </c>
      <c r="G558" t="s">
        <v>3811</v>
      </c>
      <c r="H558" t="s">
        <v>7013</v>
      </c>
      <c r="I558" t="b">
        <v>0</v>
      </c>
      <c r="J558">
        <v>91</v>
      </c>
      <c r="K558">
        <v>614</v>
      </c>
      <c r="L558">
        <v>270</v>
      </c>
      <c r="M558">
        <f>COUNTIF(H558:$H$2581,H558)</f>
        <v>1</v>
      </c>
    </row>
    <row r="559" spans="1:13" x14ac:dyDescent="0.2">
      <c r="A559">
        <v>964</v>
      </c>
      <c r="B559" t="s">
        <v>203</v>
      </c>
      <c r="C559" t="s">
        <v>4022</v>
      </c>
      <c r="D559" t="s">
        <v>13</v>
      </c>
      <c r="E559" t="s">
        <v>4023</v>
      </c>
      <c r="F559" t="s">
        <v>206</v>
      </c>
      <c r="G559" t="s">
        <v>4024</v>
      </c>
      <c r="H559" t="s">
        <v>7017</v>
      </c>
      <c r="I559" t="b">
        <v>1</v>
      </c>
      <c r="J559">
        <v>123</v>
      </c>
      <c r="K559">
        <v>965</v>
      </c>
      <c r="L559">
        <v>23</v>
      </c>
      <c r="M559">
        <f>COUNTIF(H559:$H$2581,H559)</f>
        <v>1</v>
      </c>
    </row>
    <row r="560" spans="1:13" x14ac:dyDescent="0.2">
      <c r="A560">
        <v>112</v>
      </c>
      <c r="B560" t="s">
        <v>42</v>
      </c>
      <c r="C560" t="s">
        <v>4170</v>
      </c>
      <c r="D560" t="s">
        <v>13</v>
      </c>
      <c r="E560" t="s">
        <v>4171</v>
      </c>
      <c r="F560" t="s">
        <v>45</v>
      </c>
      <c r="G560" t="s">
        <v>4172</v>
      </c>
      <c r="H560" t="s">
        <v>7021</v>
      </c>
      <c r="I560" t="b">
        <v>1</v>
      </c>
      <c r="J560">
        <v>19</v>
      </c>
      <c r="K560">
        <v>113</v>
      </c>
      <c r="L560">
        <v>64</v>
      </c>
      <c r="M560">
        <f>COUNTIF(H560:$H$2581,H560)</f>
        <v>1</v>
      </c>
    </row>
    <row r="561" spans="1:13" x14ac:dyDescent="0.2">
      <c r="A561">
        <v>2200</v>
      </c>
      <c r="B561" t="s">
        <v>1803</v>
      </c>
      <c r="C561" t="s">
        <v>4584</v>
      </c>
      <c r="D561" t="s">
        <v>33</v>
      </c>
      <c r="E561" t="s">
        <v>4585</v>
      </c>
      <c r="F561" t="s">
        <v>1806</v>
      </c>
      <c r="G561" t="s">
        <v>4586</v>
      </c>
      <c r="H561" t="s">
        <v>7130</v>
      </c>
      <c r="I561" t="b">
        <v>0</v>
      </c>
      <c r="J561">
        <v>258</v>
      </c>
      <c r="K561">
        <v>2201</v>
      </c>
      <c r="L561">
        <v>4</v>
      </c>
      <c r="M561">
        <f>COUNTIF(H561:$H$2581,H561)</f>
        <v>1</v>
      </c>
    </row>
    <row r="562" spans="1:13" x14ac:dyDescent="0.2">
      <c r="A562">
        <v>42</v>
      </c>
      <c r="B562" t="s">
        <v>2199</v>
      </c>
      <c r="C562" t="s">
        <v>4874</v>
      </c>
      <c r="D562" t="s">
        <v>54</v>
      </c>
      <c r="E562" t="s">
        <v>4875</v>
      </c>
      <c r="F562" t="s">
        <v>2202</v>
      </c>
      <c r="G562" t="s">
        <v>4876</v>
      </c>
      <c r="H562" t="s">
        <v>7137</v>
      </c>
      <c r="I562" t="s">
        <v>24</v>
      </c>
      <c r="J562">
        <v>7</v>
      </c>
      <c r="K562">
        <v>43</v>
      </c>
      <c r="L562">
        <v>34</v>
      </c>
      <c r="M562">
        <f>COUNTIF(H562:$H$2581,H562)</f>
        <v>1</v>
      </c>
    </row>
    <row r="563" spans="1:13" x14ac:dyDescent="0.2">
      <c r="A563">
        <v>920</v>
      </c>
      <c r="B563" t="s">
        <v>271</v>
      </c>
      <c r="C563" t="s">
        <v>4984</v>
      </c>
      <c r="D563" t="s">
        <v>54</v>
      </c>
      <c r="E563" t="s">
        <v>4985</v>
      </c>
      <c r="F563" t="s">
        <v>274</v>
      </c>
      <c r="G563" t="s">
        <v>4986</v>
      </c>
      <c r="H563" t="s">
        <v>7177</v>
      </c>
      <c r="I563" t="s">
        <v>24</v>
      </c>
      <c r="J563">
        <v>121</v>
      </c>
      <c r="K563">
        <v>921</v>
      </c>
      <c r="L563">
        <v>123</v>
      </c>
      <c r="M563">
        <f>COUNTIF(H563:$H$2581,H563)</f>
        <v>1</v>
      </c>
    </row>
    <row r="564" spans="1:13" x14ac:dyDescent="0.2">
      <c r="A564">
        <v>415</v>
      </c>
      <c r="B564" t="s">
        <v>1857</v>
      </c>
      <c r="C564" t="s">
        <v>5249</v>
      </c>
      <c r="D564" t="s">
        <v>13</v>
      </c>
      <c r="E564" t="s">
        <v>5250</v>
      </c>
      <c r="F564" t="s">
        <v>1860</v>
      </c>
      <c r="G564" t="s">
        <v>5251</v>
      </c>
      <c r="H564" t="s">
        <v>7181</v>
      </c>
      <c r="I564" t="s">
        <v>24</v>
      </c>
      <c r="J564">
        <v>60</v>
      </c>
      <c r="K564">
        <v>416</v>
      </c>
      <c r="L564">
        <v>35</v>
      </c>
      <c r="M564">
        <f>COUNTIF(H564:$H$2581,H564)</f>
        <v>1</v>
      </c>
    </row>
    <row r="565" spans="1:13" x14ac:dyDescent="0.2">
      <c r="A565">
        <v>1536</v>
      </c>
      <c r="B565" t="s">
        <v>466</v>
      </c>
      <c r="C565" t="s">
        <v>5373</v>
      </c>
      <c r="D565" t="s">
        <v>13</v>
      </c>
      <c r="E565" t="s">
        <v>5374</v>
      </c>
      <c r="F565" t="s">
        <v>469</v>
      </c>
      <c r="G565" t="s">
        <v>5375</v>
      </c>
      <c r="H565" t="s">
        <v>7185</v>
      </c>
      <c r="I565" t="s">
        <v>24</v>
      </c>
      <c r="J565">
        <v>187</v>
      </c>
      <c r="K565">
        <v>1537</v>
      </c>
      <c r="L565">
        <v>24</v>
      </c>
      <c r="M565">
        <f>COUNTIF(H565:$H$2581,H565)</f>
        <v>1</v>
      </c>
    </row>
    <row r="566" spans="1:13" x14ac:dyDescent="0.2">
      <c r="A566">
        <v>880</v>
      </c>
      <c r="B566" t="s">
        <v>1192</v>
      </c>
      <c r="C566" t="s">
        <v>5509</v>
      </c>
      <c r="D566" t="s">
        <v>54</v>
      </c>
      <c r="E566" t="s">
        <v>5510</v>
      </c>
      <c r="F566" t="s">
        <v>1195</v>
      </c>
      <c r="G566" t="s">
        <v>5511</v>
      </c>
      <c r="H566" t="s">
        <v>7189</v>
      </c>
      <c r="I566" t="s">
        <v>24</v>
      </c>
      <c r="J566">
        <v>119</v>
      </c>
      <c r="K566">
        <v>881</v>
      </c>
      <c r="L566">
        <v>13</v>
      </c>
      <c r="M566">
        <f>COUNTIF(H566:$H$2581,H566)</f>
        <v>1</v>
      </c>
    </row>
    <row r="567" spans="1:13" x14ac:dyDescent="0.2">
      <c r="A567">
        <v>863</v>
      </c>
      <c r="B567" t="s">
        <v>1091</v>
      </c>
      <c r="C567" t="s">
        <v>5594</v>
      </c>
      <c r="D567" t="s">
        <v>13</v>
      </c>
      <c r="E567" t="s">
        <v>5595</v>
      </c>
      <c r="F567" t="s">
        <v>1094</v>
      </c>
      <c r="G567" t="s">
        <v>5596</v>
      </c>
      <c r="H567" t="s">
        <v>7193</v>
      </c>
      <c r="I567" t="b">
        <v>1</v>
      </c>
      <c r="J567">
        <v>118</v>
      </c>
      <c r="K567">
        <v>864</v>
      </c>
      <c r="L567">
        <v>50</v>
      </c>
      <c r="M567">
        <f>COUNTIF(H567:$H$2581,H567)</f>
        <v>1</v>
      </c>
    </row>
    <row r="568" spans="1:13" x14ac:dyDescent="0.2">
      <c r="A568">
        <v>1500</v>
      </c>
      <c r="B568" t="s">
        <v>807</v>
      </c>
      <c r="C568" t="s">
        <v>5778</v>
      </c>
      <c r="D568" t="s">
        <v>13</v>
      </c>
      <c r="E568" t="s">
        <v>5779</v>
      </c>
      <c r="F568" t="s">
        <v>810</v>
      </c>
      <c r="G568" t="s">
        <v>5780</v>
      </c>
      <c r="H568" t="s">
        <v>7223</v>
      </c>
      <c r="I568" t="b">
        <v>1</v>
      </c>
      <c r="J568">
        <v>182</v>
      </c>
      <c r="K568">
        <v>1501</v>
      </c>
      <c r="L568">
        <v>25</v>
      </c>
      <c r="M568">
        <f>COUNTIF(H568:$H$2581,H568)</f>
        <v>1</v>
      </c>
    </row>
    <row r="569" spans="1:13" x14ac:dyDescent="0.2">
      <c r="A569">
        <v>1592</v>
      </c>
      <c r="B569" t="s">
        <v>211</v>
      </c>
      <c r="C569" t="s">
        <v>5937</v>
      </c>
      <c r="D569" t="s">
        <v>54</v>
      </c>
      <c r="E569" t="s">
        <v>5938</v>
      </c>
      <c r="F569" t="s">
        <v>214</v>
      </c>
      <c r="G569" t="s">
        <v>5939</v>
      </c>
      <c r="H569" t="s">
        <v>7227</v>
      </c>
      <c r="I569" t="s">
        <v>24</v>
      </c>
      <c r="J569">
        <v>195</v>
      </c>
      <c r="K569">
        <v>1593</v>
      </c>
      <c r="L569">
        <v>124</v>
      </c>
      <c r="M569">
        <f>COUNTIF(H569:$H$2581,H569)</f>
        <v>1</v>
      </c>
    </row>
    <row r="570" spans="1:13" x14ac:dyDescent="0.2">
      <c r="A570">
        <v>326</v>
      </c>
      <c r="B570" t="s">
        <v>98</v>
      </c>
      <c r="C570" t="s">
        <v>6287</v>
      </c>
      <c r="D570" t="s">
        <v>33</v>
      </c>
      <c r="E570" t="s">
        <v>6288</v>
      </c>
      <c r="F570" t="s">
        <v>101</v>
      </c>
      <c r="G570" t="s">
        <v>6289</v>
      </c>
      <c r="H570" t="s">
        <v>7231</v>
      </c>
      <c r="I570" t="s">
        <v>24</v>
      </c>
      <c r="J570">
        <v>46</v>
      </c>
      <c r="K570">
        <v>327</v>
      </c>
      <c r="L570">
        <v>9</v>
      </c>
      <c r="M570">
        <f>COUNTIF(H570:$H$2581,H570)</f>
        <v>1</v>
      </c>
    </row>
    <row r="571" spans="1:13" x14ac:dyDescent="0.2">
      <c r="A571">
        <v>587</v>
      </c>
      <c r="B571" t="s">
        <v>6388</v>
      </c>
      <c r="C571" t="s">
        <v>6389</v>
      </c>
      <c r="D571" t="s">
        <v>33</v>
      </c>
      <c r="E571" t="s">
        <v>6390</v>
      </c>
      <c r="F571" t="s">
        <v>6391</v>
      </c>
      <c r="G571" t="s">
        <v>6392</v>
      </c>
      <c r="H571" t="s">
        <v>7235</v>
      </c>
      <c r="I571" t="b">
        <v>0</v>
      </c>
      <c r="J571">
        <v>88</v>
      </c>
      <c r="K571">
        <v>588</v>
      </c>
      <c r="L571">
        <v>161</v>
      </c>
      <c r="M571">
        <f>COUNTIF(H571:$H$2581,H571)</f>
        <v>1</v>
      </c>
    </row>
    <row r="572" spans="1:13" x14ac:dyDescent="0.2">
      <c r="A572">
        <v>1800</v>
      </c>
      <c r="B572" t="s">
        <v>1287</v>
      </c>
      <c r="C572" t="s">
        <v>6618</v>
      </c>
      <c r="D572" t="s">
        <v>13</v>
      </c>
      <c r="E572" t="s">
        <v>6619</v>
      </c>
      <c r="F572" t="s">
        <v>1290</v>
      </c>
      <c r="G572" t="s">
        <v>6620</v>
      </c>
      <c r="H572" t="s">
        <v>7245</v>
      </c>
      <c r="I572" t="s">
        <v>24</v>
      </c>
      <c r="J572">
        <v>210</v>
      </c>
      <c r="K572">
        <v>1801</v>
      </c>
      <c r="L572">
        <v>7</v>
      </c>
      <c r="M572">
        <f>COUNTIF(H572:$H$2581,H572)</f>
        <v>1</v>
      </c>
    </row>
    <row r="573" spans="1:13" x14ac:dyDescent="0.2">
      <c r="A573">
        <v>235</v>
      </c>
      <c r="B573" t="s">
        <v>1120</v>
      </c>
      <c r="C573" t="s">
        <v>6761</v>
      </c>
      <c r="D573" t="s">
        <v>13</v>
      </c>
      <c r="E573" t="s">
        <v>6762</v>
      </c>
      <c r="F573" s="1" t="s">
        <v>1123</v>
      </c>
      <c r="G573" t="s">
        <v>6763</v>
      </c>
      <c r="H573" t="s">
        <v>7252</v>
      </c>
      <c r="I573" t="b">
        <v>0</v>
      </c>
      <c r="J573">
        <v>40</v>
      </c>
      <c r="K573">
        <v>236</v>
      </c>
      <c r="L573">
        <v>106</v>
      </c>
      <c r="M573">
        <f>COUNTIF(H573:$H$2581,H573)</f>
        <v>1</v>
      </c>
    </row>
    <row r="574" spans="1:13" x14ac:dyDescent="0.2">
      <c r="A574">
        <v>1271</v>
      </c>
      <c r="B574" t="s">
        <v>1085</v>
      </c>
      <c r="C574" t="s">
        <v>6865</v>
      </c>
      <c r="D574" t="s">
        <v>54</v>
      </c>
      <c r="E574" t="s">
        <v>6866</v>
      </c>
      <c r="F574" t="s">
        <v>1088</v>
      </c>
      <c r="G574" t="s">
        <v>6867</v>
      </c>
      <c r="H574" t="s">
        <v>7268</v>
      </c>
      <c r="I574" t="s">
        <v>24</v>
      </c>
      <c r="J574">
        <v>156</v>
      </c>
      <c r="K574">
        <v>1272</v>
      </c>
      <c r="L574">
        <v>125</v>
      </c>
      <c r="M574">
        <f>COUNTIF(H574:$H$2581,H574)</f>
        <v>1</v>
      </c>
    </row>
    <row r="575" spans="1:13" x14ac:dyDescent="0.2">
      <c r="A575">
        <v>1501</v>
      </c>
      <c r="B575" t="s">
        <v>807</v>
      </c>
      <c r="C575" t="s">
        <v>7076</v>
      </c>
      <c r="D575" t="s">
        <v>13</v>
      </c>
      <c r="E575" s="1" t="s">
        <v>7077</v>
      </c>
      <c r="F575" t="s">
        <v>810</v>
      </c>
      <c r="G575" t="s">
        <v>7078</v>
      </c>
      <c r="H575" t="s">
        <v>7272</v>
      </c>
      <c r="I575" t="b">
        <v>1</v>
      </c>
      <c r="J575">
        <v>182</v>
      </c>
      <c r="K575">
        <v>1502</v>
      </c>
      <c r="L575">
        <v>14</v>
      </c>
      <c r="M575">
        <f>COUNTIF(H575:$H$2581,H575)</f>
        <v>1</v>
      </c>
    </row>
    <row r="576" spans="1:13" x14ac:dyDescent="0.2">
      <c r="A576">
        <v>1680</v>
      </c>
      <c r="B576" t="s">
        <v>1112</v>
      </c>
      <c r="C576" t="s">
        <v>7810</v>
      </c>
      <c r="D576" t="s">
        <v>13</v>
      </c>
      <c r="E576" t="s">
        <v>7811</v>
      </c>
      <c r="F576" t="s">
        <v>1115</v>
      </c>
      <c r="G576" t="s">
        <v>7812</v>
      </c>
      <c r="H576" t="s">
        <v>7279</v>
      </c>
      <c r="I576" t="b">
        <v>1</v>
      </c>
      <c r="J576">
        <v>202</v>
      </c>
      <c r="K576">
        <v>1681</v>
      </c>
      <c r="L576">
        <v>27</v>
      </c>
      <c r="M576">
        <f>COUNTIF(H576:$H$2581,H576)</f>
        <v>1</v>
      </c>
    </row>
    <row r="577" spans="1:13" x14ac:dyDescent="0.2">
      <c r="A577">
        <v>290</v>
      </c>
      <c r="B577" t="s">
        <v>2105</v>
      </c>
      <c r="C577" t="s">
        <v>8015</v>
      </c>
      <c r="D577" t="s">
        <v>54</v>
      </c>
      <c r="E577" t="s">
        <v>8016</v>
      </c>
      <c r="F577" t="s">
        <v>2108</v>
      </c>
      <c r="G577" t="s">
        <v>8017</v>
      </c>
      <c r="H577" t="s">
        <v>7286</v>
      </c>
      <c r="I577" t="s">
        <v>24</v>
      </c>
      <c r="J577">
        <v>44</v>
      </c>
      <c r="K577">
        <v>291</v>
      </c>
      <c r="L577">
        <v>128</v>
      </c>
      <c r="M577">
        <f>COUNTIF(H577:$H$2581,H577)</f>
        <v>1</v>
      </c>
    </row>
    <row r="578" spans="1:13" x14ac:dyDescent="0.2">
      <c r="A578">
        <v>1379</v>
      </c>
      <c r="B578" t="s">
        <v>603</v>
      </c>
      <c r="C578" t="s">
        <v>8192</v>
      </c>
      <c r="D578" t="s">
        <v>54</v>
      </c>
      <c r="E578" t="s">
        <v>8193</v>
      </c>
      <c r="F578" t="s">
        <v>606</v>
      </c>
      <c r="G578" t="s">
        <v>8194</v>
      </c>
      <c r="H578" t="s">
        <v>7290</v>
      </c>
      <c r="I578" t="s">
        <v>24</v>
      </c>
      <c r="J578">
        <v>166</v>
      </c>
      <c r="K578">
        <v>1380</v>
      </c>
      <c r="L578">
        <v>30</v>
      </c>
      <c r="M578">
        <f>COUNTIF(H578:$H$2581,H578)</f>
        <v>1</v>
      </c>
    </row>
    <row r="579" spans="1:13" x14ac:dyDescent="0.2">
      <c r="A579">
        <v>590</v>
      </c>
      <c r="B579" t="s">
        <v>8562</v>
      </c>
      <c r="C579" t="s">
        <v>8563</v>
      </c>
      <c r="D579" t="s">
        <v>54</v>
      </c>
      <c r="E579" t="s">
        <v>8564</v>
      </c>
      <c r="F579" t="s">
        <v>8565</v>
      </c>
      <c r="G579" t="s">
        <v>8566</v>
      </c>
      <c r="H579" t="s">
        <v>7294</v>
      </c>
      <c r="I579" t="b">
        <v>1</v>
      </c>
      <c r="J579">
        <v>89</v>
      </c>
      <c r="K579">
        <v>591</v>
      </c>
      <c r="L579">
        <v>56</v>
      </c>
      <c r="M579">
        <f>COUNTIF(H579:$H$2581,H579)</f>
        <v>1</v>
      </c>
    </row>
    <row r="580" spans="1:13" x14ac:dyDescent="0.2">
      <c r="A580">
        <v>1734</v>
      </c>
      <c r="B580" t="s">
        <v>725</v>
      </c>
      <c r="C580" t="s">
        <v>8759</v>
      </c>
      <c r="D580" t="s">
        <v>13</v>
      </c>
      <c r="E580" t="s">
        <v>8760</v>
      </c>
      <c r="F580" t="s">
        <v>728</v>
      </c>
      <c r="G580" t="s">
        <v>8761</v>
      </c>
      <c r="H580" t="s">
        <v>7298</v>
      </c>
      <c r="I580" t="b">
        <v>1</v>
      </c>
      <c r="J580">
        <v>205</v>
      </c>
      <c r="K580">
        <v>1735</v>
      </c>
      <c r="L580">
        <v>31</v>
      </c>
      <c r="M580">
        <f>COUNTIF(H580:$H$2581,H580)</f>
        <v>1</v>
      </c>
    </row>
    <row r="581" spans="1:13" x14ac:dyDescent="0.2">
      <c r="A581">
        <v>544</v>
      </c>
      <c r="B581" t="s">
        <v>103</v>
      </c>
      <c r="C581" t="s">
        <v>53</v>
      </c>
      <c r="D581" t="s">
        <v>54</v>
      </c>
      <c r="E581" t="s">
        <v>104</v>
      </c>
      <c r="F581" t="s">
        <v>105</v>
      </c>
      <c r="G581" t="s">
        <v>57</v>
      </c>
      <c r="H581" t="s">
        <v>7314</v>
      </c>
      <c r="I581" t="b">
        <v>0</v>
      </c>
      <c r="J581">
        <v>81</v>
      </c>
      <c r="K581">
        <v>545</v>
      </c>
      <c r="L581">
        <v>45</v>
      </c>
      <c r="M581">
        <f>COUNTIF(H581:$H$2581,H581)</f>
        <v>1</v>
      </c>
    </row>
    <row r="582" spans="1:13" x14ac:dyDescent="0.2">
      <c r="A582">
        <v>463</v>
      </c>
      <c r="B582" t="s">
        <v>357</v>
      </c>
      <c r="C582" t="s">
        <v>358</v>
      </c>
      <c r="D582" t="s">
        <v>54</v>
      </c>
      <c r="E582" t="s">
        <v>359</v>
      </c>
      <c r="F582" t="s">
        <v>360</v>
      </c>
      <c r="G582" t="s">
        <v>361</v>
      </c>
      <c r="H582" t="s">
        <v>7318</v>
      </c>
      <c r="I582" t="s">
        <v>24</v>
      </c>
      <c r="J582">
        <v>66</v>
      </c>
      <c r="K582">
        <v>464</v>
      </c>
      <c r="L582">
        <v>1</v>
      </c>
      <c r="M582">
        <f>COUNTIF(H582:$H$2581,H582)</f>
        <v>1</v>
      </c>
    </row>
    <row r="583" spans="1:13" x14ac:dyDescent="0.2">
      <c r="A583">
        <v>2130</v>
      </c>
      <c r="B583" t="s">
        <v>142</v>
      </c>
      <c r="C583" t="s">
        <v>586</v>
      </c>
      <c r="D583" t="s">
        <v>13</v>
      </c>
      <c r="E583" t="s">
        <v>587</v>
      </c>
      <c r="F583" t="s">
        <v>145</v>
      </c>
      <c r="G583" t="s">
        <v>588</v>
      </c>
      <c r="H583" t="s">
        <v>7328</v>
      </c>
      <c r="I583" t="b">
        <v>1</v>
      </c>
      <c r="J583">
        <v>247</v>
      </c>
      <c r="K583">
        <v>2131</v>
      </c>
      <c r="L583">
        <v>46</v>
      </c>
      <c r="M583">
        <f>COUNTIF(H583:$H$2581,H583)</f>
        <v>1</v>
      </c>
    </row>
    <row r="584" spans="1:13" x14ac:dyDescent="0.2">
      <c r="A584">
        <v>1702</v>
      </c>
      <c r="B584" t="s">
        <v>725</v>
      </c>
      <c r="C584" t="s">
        <v>1284</v>
      </c>
      <c r="D584" t="s">
        <v>54</v>
      </c>
      <c r="E584" t="s">
        <v>1285</v>
      </c>
      <c r="F584" t="s">
        <v>728</v>
      </c>
      <c r="G584" t="s">
        <v>1286</v>
      </c>
      <c r="H584" t="s">
        <v>7332</v>
      </c>
      <c r="I584" t="b">
        <v>1</v>
      </c>
      <c r="J584">
        <v>205</v>
      </c>
      <c r="K584">
        <v>1703</v>
      </c>
      <c r="L584">
        <v>157</v>
      </c>
      <c r="M584">
        <f>COUNTIF(H584:$H$2581,H584)</f>
        <v>1</v>
      </c>
    </row>
    <row r="585" spans="1:13" x14ac:dyDescent="0.2">
      <c r="A585">
        <v>1232</v>
      </c>
      <c r="B585" t="s">
        <v>1461</v>
      </c>
      <c r="C585" t="s">
        <v>1764</v>
      </c>
      <c r="D585" t="s">
        <v>33</v>
      </c>
      <c r="E585" t="s">
        <v>1765</v>
      </c>
      <c r="F585" t="s">
        <v>1464</v>
      </c>
      <c r="G585" t="s">
        <v>1766</v>
      </c>
      <c r="H585" t="s">
        <v>7336</v>
      </c>
      <c r="I585" t="b">
        <v>0</v>
      </c>
      <c r="J585">
        <v>152</v>
      </c>
      <c r="K585">
        <v>1233</v>
      </c>
      <c r="L585">
        <v>84</v>
      </c>
      <c r="M585">
        <f>COUNTIF(H585:$H$2581,H585)</f>
        <v>1</v>
      </c>
    </row>
    <row r="586" spans="1:13" x14ac:dyDescent="0.2">
      <c r="A586">
        <v>1922</v>
      </c>
      <c r="B586" t="s">
        <v>439</v>
      </c>
      <c r="C586" t="s">
        <v>1949</v>
      </c>
      <c r="D586" t="s">
        <v>33</v>
      </c>
      <c r="E586" t="s">
        <v>1950</v>
      </c>
      <c r="F586" t="s">
        <v>442</v>
      </c>
      <c r="G586" t="s">
        <v>1951</v>
      </c>
      <c r="H586" t="s">
        <v>7340</v>
      </c>
      <c r="I586" t="b">
        <v>0</v>
      </c>
      <c r="J586">
        <v>224</v>
      </c>
      <c r="K586">
        <v>1923</v>
      </c>
      <c r="L586">
        <v>10</v>
      </c>
      <c r="M586">
        <f>COUNTIF(H586:$H$2581,H586)</f>
        <v>1</v>
      </c>
    </row>
    <row r="587" spans="1:13" x14ac:dyDescent="0.2">
      <c r="A587">
        <v>1301</v>
      </c>
      <c r="B587" t="s">
        <v>277</v>
      </c>
      <c r="C587" t="s">
        <v>2369</v>
      </c>
      <c r="D587" t="s">
        <v>54</v>
      </c>
      <c r="E587" t="s">
        <v>2370</v>
      </c>
      <c r="F587" t="s">
        <v>280</v>
      </c>
      <c r="G587" t="s">
        <v>2371</v>
      </c>
      <c r="H587" t="s">
        <v>7344</v>
      </c>
      <c r="I587" t="s">
        <v>24</v>
      </c>
      <c r="J587">
        <v>160</v>
      </c>
      <c r="K587">
        <v>1302</v>
      </c>
      <c r="L587">
        <v>121</v>
      </c>
      <c r="M587">
        <f>COUNTIF(H587:$H$2581,H587)</f>
        <v>1</v>
      </c>
    </row>
    <row r="588" spans="1:13" x14ac:dyDescent="0.2">
      <c r="A588">
        <v>357</v>
      </c>
      <c r="B588" t="s">
        <v>975</v>
      </c>
      <c r="C588" t="s">
        <v>2809</v>
      </c>
      <c r="D588" t="s">
        <v>13</v>
      </c>
      <c r="E588" t="s">
        <v>2810</v>
      </c>
      <c r="F588" s="1" t="s">
        <v>978</v>
      </c>
      <c r="G588" t="s">
        <v>2811</v>
      </c>
      <c r="H588" t="s">
        <v>7348</v>
      </c>
      <c r="I588" t="b">
        <v>1</v>
      </c>
      <c r="J588">
        <v>50</v>
      </c>
      <c r="K588">
        <v>358</v>
      </c>
      <c r="L588">
        <v>17</v>
      </c>
      <c r="M588">
        <f>COUNTIF(H588:$H$2581,H588)</f>
        <v>1</v>
      </c>
    </row>
    <row r="589" spans="1:13" x14ac:dyDescent="0.2">
      <c r="A589">
        <v>875</v>
      </c>
      <c r="B589" t="s">
        <v>1192</v>
      </c>
      <c r="C589" t="s">
        <v>3272</v>
      </c>
      <c r="D589" t="s">
        <v>54</v>
      </c>
      <c r="E589" t="s">
        <v>3273</v>
      </c>
      <c r="F589" t="s">
        <v>1195</v>
      </c>
      <c r="G589" t="s">
        <v>3274</v>
      </c>
      <c r="H589" t="s">
        <v>7352</v>
      </c>
      <c r="I589" t="s">
        <v>24</v>
      </c>
      <c r="J589">
        <v>119</v>
      </c>
      <c r="K589">
        <v>876</v>
      </c>
      <c r="L589">
        <v>21</v>
      </c>
      <c r="M589">
        <f>COUNTIF(H589:$H$2581,H589)</f>
        <v>1</v>
      </c>
    </row>
    <row r="590" spans="1:13" x14ac:dyDescent="0.2">
      <c r="A590">
        <v>1622</v>
      </c>
      <c r="B590" t="s">
        <v>720</v>
      </c>
      <c r="C590" t="s">
        <v>3595</v>
      </c>
      <c r="D590" t="s">
        <v>54</v>
      </c>
      <c r="E590" t="s">
        <v>3596</v>
      </c>
      <c r="F590" t="s">
        <v>723</v>
      </c>
      <c r="G590" t="s">
        <v>3597</v>
      </c>
      <c r="H590" t="s">
        <v>7356</v>
      </c>
      <c r="I590" t="b">
        <v>1</v>
      </c>
      <c r="J590">
        <v>197</v>
      </c>
      <c r="K590">
        <v>1623</v>
      </c>
      <c r="L590">
        <v>39</v>
      </c>
      <c r="M590">
        <f>COUNTIF(H590:$H$2581,H590)</f>
        <v>1</v>
      </c>
    </row>
    <row r="591" spans="1:13" x14ac:dyDescent="0.2">
      <c r="A591">
        <v>1252</v>
      </c>
      <c r="B591" t="s">
        <v>709</v>
      </c>
      <c r="C591" t="s">
        <v>3735</v>
      </c>
      <c r="D591" t="s">
        <v>54</v>
      </c>
      <c r="E591" s="1" t="s">
        <v>3736</v>
      </c>
      <c r="F591" t="s">
        <v>712</v>
      </c>
      <c r="G591" t="s">
        <v>3737</v>
      </c>
      <c r="H591" t="s">
        <v>7360</v>
      </c>
      <c r="I591" t="b">
        <v>0</v>
      </c>
      <c r="J591">
        <v>154</v>
      </c>
      <c r="K591">
        <v>1253</v>
      </c>
      <c r="L591">
        <v>22</v>
      </c>
      <c r="M591">
        <f>COUNTIF(H591:$H$2581,H591)</f>
        <v>1</v>
      </c>
    </row>
    <row r="592" spans="1:13" x14ac:dyDescent="0.2">
      <c r="A592">
        <v>796</v>
      </c>
      <c r="B592" t="s">
        <v>116</v>
      </c>
      <c r="C592" t="s">
        <v>3813</v>
      </c>
      <c r="D592" t="s">
        <v>33</v>
      </c>
      <c r="E592" t="s">
        <v>3814</v>
      </c>
      <c r="F592" t="s">
        <v>119</v>
      </c>
      <c r="G592" t="s">
        <v>3815</v>
      </c>
      <c r="H592" t="s">
        <v>7406</v>
      </c>
      <c r="I592" t="s">
        <v>24</v>
      </c>
      <c r="J592">
        <v>112</v>
      </c>
      <c r="K592">
        <v>797</v>
      </c>
      <c r="L592">
        <v>270</v>
      </c>
      <c r="M592">
        <f>COUNTIF(H592:$H$2581,H592)</f>
        <v>1</v>
      </c>
    </row>
    <row r="593" spans="1:13" x14ac:dyDescent="0.2">
      <c r="A593">
        <v>1091</v>
      </c>
      <c r="B593" t="s">
        <v>1075</v>
      </c>
      <c r="C593" t="s">
        <v>4025</v>
      </c>
      <c r="D593" t="s">
        <v>13</v>
      </c>
      <c r="E593" t="s">
        <v>4026</v>
      </c>
      <c r="F593" t="s">
        <v>1078</v>
      </c>
      <c r="G593" t="s">
        <v>4027</v>
      </c>
      <c r="H593" t="s">
        <v>7412</v>
      </c>
      <c r="I593" t="s">
        <v>24</v>
      </c>
      <c r="J593">
        <v>133</v>
      </c>
      <c r="K593">
        <v>1092</v>
      </c>
      <c r="L593">
        <v>23</v>
      </c>
      <c r="M593">
        <f>COUNTIF(H593:$H$2581,H593)</f>
        <v>1</v>
      </c>
    </row>
    <row r="594" spans="1:13" x14ac:dyDescent="0.2">
      <c r="A594">
        <v>123</v>
      </c>
      <c r="B594" t="s">
        <v>52</v>
      </c>
      <c r="C594" t="s">
        <v>4173</v>
      </c>
      <c r="D594" t="s">
        <v>54</v>
      </c>
      <c r="E594" t="s">
        <v>4174</v>
      </c>
      <c r="F594" t="s">
        <v>56</v>
      </c>
      <c r="G594" t="s">
        <v>4175</v>
      </c>
      <c r="H594" t="s">
        <v>7416</v>
      </c>
      <c r="I594" t="b">
        <v>0</v>
      </c>
      <c r="J594">
        <v>22</v>
      </c>
      <c r="K594">
        <v>124</v>
      </c>
      <c r="L594">
        <v>64</v>
      </c>
      <c r="M594">
        <f>COUNTIF(H594:$H$2581,H594)</f>
        <v>1</v>
      </c>
    </row>
    <row r="595" spans="1:13" x14ac:dyDescent="0.2">
      <c r="A595">
        <v>2284</v>
      </c>
      <c r="B595" t="s">
        <v>1070</v>
      </c>
      <c r="C595" t="s">
        <v>4587</v>
      </c>
      <c r="D595" t="s">
        <v>13</v>
      </c>
      <c r="E595" t="s">
        <v>4588</v>
      </c>
      <c r="F595" t="s">
        <v>1073</v>
      </c>
      <c r="G595" t="s">
        <v>4589</v>
      </c>
      <c r="H595" t="s">
        <v>7420</v>
      </c>
      <c r="I595" t="b">
        <v>1</v>
      </c>
      <c r="J595">
        <v>268</v>
      </c>
      <c r="K595">
        <v>2285</v>
      </c>
      <c r="L595">
        <v>4</v>
      </c>
      <c r="M595">
        <f>COUNTIF(H595:$H$2581,H595)</f>
        <v>1</v>
      </c>
    </row>
    <row r="596" spans="1:13" x14ac:dyDescent="0.2">
      <c r="A596">
        <v>345</v>
      </c>
      <c r="B596" t="s">
        <v>455</v>
      </c>
      <c r="C596" t="s">
        <v>4878</v>
      </c>
      <c r="D596" t="s">
        <v>13</v>
      </c>
      <c r="E596" t="s">
        <v>4879</v>
      </c>
      <c r="F596" t="s">
        <v>458</v>
      </c>
      <c r="G596" t="s">
        <v>4880</v>
      </c>
      <c r="H596" t="s">
        <v>7424</v>
      </c>
      <c r="I596" t="b">
        <v>0</v>
      </c>
      <c r="J596">
        <v>49</v>
      </c>
      <c r="K596">
        <v>346</v>
      </c>
      <c r="L596">
        <v>34</v>
      </c>
      <c r="M596">
        <f>COUNTIF(H596:$H$2581,H596)</f>
        <v>1</v>
      </c>
    </row>
    <row r="597" spans="1:13" x14ac:dyDescent="0.2">
      <c r="A597">
        <v>921</v>
      </c>
      <c r="B597" t="s">
        <v>271</v>
      </c>
      <c r="C597" t="s">
        <v>4987</v>
      </c>
      <c r="D597" t="s">
        <v>54</v>
      </c>
      <c r="E597" t="s">
        <v>4988</v>
      </c>
      <c r="F597" t="s">
        <v>274</v>
      </c>
      <c r="G597" t="s">
        <v>4989</v>
      </c>
      <c r="H597" t="s">
        <v>7428</v>
      </c>
      <c r="I597" t="s">
        <v>24</v>
      </c>
      <c r="J597">
        <v>121</v>
      </c>
      <c r="K597">
        <v>922</v>
      </c>
      <c r="L597">
        <v>123</v>
      </c>
      <c r="M597">
        <f>COUNTIF(H597:$H$2581,H597)</f>
        <v>1</v>
      </c>
    </row>
    <row r="598" spans="1:13" x14ac:dyDescent="0.2">
      <c r="A598">
        <v>443</v>
      </c>
      <c r="B598" t="s">
        <v>778</v>
      </c>
      <c r="C598" t="s">
        <v>5252</v>
      </c>
      <c r="D598" t="s">
        <v>13</v>
      </c>
      <c r="E598" t="s">
        <v>5253</v>
      </c>
      <c r="F598" t="s">
        <v>781</v>
      </c>
      <c r="G598" t="s">
        <v>5254</v>
      </c>
      <c r="H598" t="s">
        <v>7432</v>
      </c>
      <c r="I598" t="b">
        <v>0</v>
      </c>
      <c r="J598">
        <v>64</v>
      </c>
      <c r="K598">
        <v>444</v>
      </c>
      <c r="L598">
        <v>35</v>
      </c>
      <c r="M598">
        <f>COUNTIF(H598:$H$2581,H598)</f>
        <v>1</v>
      </c>
    </row>
    <row r="599" spans="1:13" x14ac:dyDescent="0.2">
      <c r="A599">
        <v>1548</v>
      </c>
      <c r="B599" t="s">
        <v>282</v>
      </c>
      <c r="C599" t="s">
        <v>5376</v>
      </c>
      <c r="D599" t="s">
        <v>13</v>
      </c>
      <c r="E599" t="s">
        <v>5377</v>
      </c>
      <c r="F599" t="s">
        <v>285</v>
      </c>
      <c r="G599" t="s">
        <v>5378</v>
      </c>
      <c r="H599" t="s">
        <v>7436</v>
      </c>
      <c r="I599" t="b">
        <v>0</v>
      </c>
      <c r="J599">
        <v>188</v>
      </c>
      <c r="K599">
        <v>1549</v>
      </c>
      <c r="L599">
        <v>24</v>
      </c>
      <c r="M599">
        <f>COUNTIF(H599:$H$2581,H599)</f>
        <v>1</v>
      </c>
    </row>
    <row r="600" spans="1:13" x14ac:dyDescent="0.2">
      <c r="A600">
        <v>1012</v>
      </c>
      <c r="B600" t="s">
        <v>1268</v>
      </c>
      <c r="C600" t="s">
        <v>5512</v>
      </c>
      <c r="D600" t="s">
        <v>13</v>
      </c>
      <c r="E600" t="s">
        <v>5513</v>
      </c>
      <c r="F600" t="s">
        <v>1271</v>
      </c>
      <c r="G600" t="s">
        <v>5514</v>
      </c>
      <c r="H600" t="s">
        <v>7440</v>
      </c>
      <c r="I600" t="s">
        <v>24</v>
      </c>
      <c r="J600">
        <v>126</v>
      </c>
      <c r="K600">
        <v>1013</v>
      </c>
      <c r="L600">
        <v>13</v>
      </c>
      <c r="M600">
        <f>COUNTIF(H600:$H$2581,H600)</f>
        <v>1</v>
      </c>
    </row>
    <row r="601" spans="1:13" x14ac:dyDescent="0.2">
      <c r="A601">
        <v>899</v>
      </c>
      <c r="B601" t="s">
        <v>198</v>
      </c>
      <c r="C601" t="s">
        <v>5597</v>
      </c>
      <c r="D601" t="s">
        <v>33</v>
      </c>
      <c r="E601" t="s">
        <v>5598</v>
      </c>
      <c r="F601" t="s">
        <v>201</v>
      </c>
      <c r="G601" t="s">
        <v>5599</v>
      </c>
      <c r="H601" t="s">
        <v>7444</v>
      </c>
      <c r="I601" t="b">
        <v>0</v>
      </c>
      <c r="J601">
        <v>120</v>
      </c>
      <c r="K601">
        <v>900</v>
      </c>
      <c r="L601">
        <v>50</v>
      </c>
      <c r="M601">
        <f>COUNTIF(H601:$H$2581,H601)</f>
        <v>1</v>
      </c>
    </row>
    <row r="602" spans="1:13" x14ac:dyDescent="0.2">
      <c r="A602">
        <v>1519</v>
      </c>
      <c r="B602" t="s">
        <v>1929</v>
      </c>
      <c r="C602" t="s">
        <v>5781</v>
      </c>
      <c r="D602" t="s">
        <v>33</v>
      </c>
      <c r="E602" t="s">
        <v>5782</v>
      </c>
      <c r="F602" t="s">
        <v>1932</v>
      </c>
      <c r="G602" t="s">
        <v>5783</v>
      </c>
      <c r="H602" t="s">
        <v>7478</v>
      </c>
      <c r="I602" t="b">
        <v>0</v>
      </c>
      <c r="J602">
        <v>184</v>
      </c>
      <c r="K602">
        <v>1520</v>
      </c>
      <c r="L602">
        <v>25</v>
      </c>
      <c r="M602">
        <f>COUNTIF(H602:$H$2581,H602)</f>
        <v>1</v>
      </c>
    </row>
    <row r="603" spans="1:13" x14ac:dyDescent="0.2">
      <c r="A603">
        <v>1606</v>
      </c>
      <c r="B603" t="s">
        <v>1548</v>
      </c>
      <c r="C603" t="s">
        <v>5940</v>
      </c>
      <c r="D603" t="s">
        <v>13</v>
      </c>
      <c r="E603" t="s">
        <v>5941</v>
      </c>
      <c r="F603" t="s">
        <v>1551</v>
      </c>
      <c r="G603" t="s">
        <v>5942</v>
      </c>
      <c r="H603" t="s">
        <v>7509</v>
      </c>
      <c r="I603" t="b">
        <v>0</v>
      </c>
      <c r="J603">
        <v>196</v>
      </c>
      <c r="K603">
        <v>1607</v>
      </c>
      <c r="L603">
        <v>124</v>
      </c>
      <c r="M603">
        <f>COUNTIF(H603:$H$2581,H603)</f>
        <v>1</v>
      </c>
    </row>
    <row r="604" spans="1:13" x14ac:dyDescent="0.2">
      <c r="A604">
        <v>552</v>
      </c>
      <c r="B604" t="s">
        <v>103</v>
      </c>
      <c r="C604" t="s">
        <v>6264</v>
      </c>
      <c r="D604" t="s">
        <v>54</v>
      </c>
      <c r="E604" t="s">
        <v>6290</v>
      </c>
      <c r="F604" t="s">
        <v>105</v>
      </c>
      <c r="G604" t="s">
        <v>6266</v>
      </c>
      <c r="H604" t="s">
        <v>7546</v>
      </c>
      <c r="I604" t="b">
        <v>0</v>
      </c>
      <c r="J604">
        <v>81</v>
      </c>
      <c r="K604">
        <v>553</v>
      </c>
      <c r="L604">
        <v>9</v>
      </c>
      <c r="M604">
        <f>COUNTIF(H604:$H$2581,H604)</f>
        <v>1</v>
      </c>
    </row>
    <row r="605" spans="1:13" x14ac:dyDescent="0.2">
      <c r="A605">
        <v>900</v>
      </c>
      <c r="B605" t="s">
        <v>198</v>
      </c>
      <c r="C605" t="s">
        <v>6393</v>
      </c>
      <c r="D605" t="s">
        <v>33</v>
      </c>
      <c r="E605" t="s">
        <v>6394</v>
      </c>
      <c r="F605" t="s">
        <v>201</v>
      </c>
      <c r="G605" t="s">
        <v>6395</v>
      </c>
      <c r="H605" t="s">
        <v>7550</v>
      </c>
      <c r="I605" t="b">
        <v>0</v>
      </c>
      <c r="J605">
        <v>120</v>
      </c>
      <c r="K605">
        <v>901</v>
      </c>
      <c r="L605">
        <v>161</v>
      </c>
      <c r="M605">
        <f>COUNTIF(H605:$H$2581,H605)</f>
        <v>1</v>
      </c>
    </row>
    <row r="606" spans="1:13" x14ac:dyDescent="0.2">
      <c r="A606">
        <v>1853</v>
      </c>
      <c r="B606" t="s">
        <v>631</v>
      </c>
      <c r="C606" t="s">
        <v>6621</v>
      </c>
      <c r="D606" t="s">
        <v>13</v>
      </c>
      <c r="E606" s="1" t="s">
        <v>6622</v>
      </c>
      <c r="F606" t="s">
        <v>634</v>
      </c>
      <c r="G606" t="s">
        <v>6623</v>
      </c>
      <c r="H606" t="s">
        <v>7588</v>
      </c>
      <c r="I606" t="s">
        <v>24</v>
      </c>
      <c r="J606">
        <v>215</v>
      </c>
      <c r="K606">
        <v>1854</v>
      </c>
      <c r="L606">
        <v>7</v>
      </c>
      <c r="M606">
        <f>COUNTIF(H606:$H$2581,H606)</f>
        <v>1</v>
      </c>
    </row>
    <row r="607" spans="1:13" x14ac:dyDescent="0.2">
      <c r="A607">
        <v>642</v>
      </c>
      <c r="B607" t="s">
        <v>237</v>
      </c>
      <c r="C607" t="s">
        <v>6765</v>
      </c>
      <c r="D607" t="s">
        <v>13</v>
      </c>
      <c r="E607" t="s">
        <v>6766</v>
      </c>
      <c r="F607" t="s">
        <v>240</v>
      </c>
      <c r="G607" t="s">
        <v>6767</v>
      </c>
      <c r="H607" t="s">
        <v>7592</v>
      </c>
      <c r="I607" t="b">
        <v>1</v>
      </c>
      <c r="J607">
        <v>92</v>
      </c>
      <c r="K607">
        <v>643</v>
      </c>
      <c r="L607">
        <v>106</v>
      </c>
      <c r="M607">
        <f>COUNTIF(H607:$H$2581,H607)</f>
        <v>1</v>
      </c>
    </row>
    <row r="608" spans="1:13" x14ac:dyDescent="0.2">
      <c r="A608">
        <v>1448</v>
      </c>
      <c r="B608" t="s">
        <v>2882</v>
      </c>
      <c r="C608" t="s">
        <v>6868</v>
      </c>
      <c r="D608" t="s">
        <v>13</v>
      </c>
      <c r="E608" t="s">
        <v>6869</v>
      </c>
      <c r="F608" t="s">
        <v>2885</v>
      </c>
      <c r="G608" t="s">
        <v>6870</v>
      </c>
      <c r="H608" t="s">
        <v>7596</v>
      </c>
      <c r="I608" t="b">
        <v>1</v>
      </c>
      <c r="J608">
        <v>175</v>
      </c>
      <c r="K608">
        <v>1449</v>
      </c>
      <c r="L608">
        <v>125</v>
      </c>
      <c r="M608">
        <f>COUNTIF(H608:$H$2581,H608)</f>
        <v>1</v>
      </c>
    </row>
    <row r="609" spans="1:13" x14ac:dyDescent="0.2">
      <c r="A609">
        <v>1576</v>
      </c>
      <c r="B609" t="s">
        <v>744</v>
      </c>
      <c r="C609" t="s">
        <v>7079</v>
      </c>
      <c r="D609" t="s">
        <v>13</v>
      </c>
      <c r="E609" t="s">
        <v>7080</v>
      </c>
      <c r="F609" t="s">
        <v>747</v>
      </c>
      <c r="G609" t="s">
        <v>7081</v>
      </c>
      <c r="H609" t="s">
        <v>7600</v>
      </c>
      <c r="I609" t="b">
        <v>0</v>
      </c>
      <c r="J609">
        <v>193</v>
      </c>
      <c r="K609">
        <v>1577</v>
      </c>
      <c r="L609">
        <v>14</v>
      </c>
      <c r="M609">
        <f>COUNTIF(H609:$H$2581,H609)</f>
        <v>1</v>
      </c>
    </row>
    <row r="610" spans="1:13" x14ac:dyDescent="0.2">
      <c r="A610">
        <v>569</v>
      </c>
      <c r="B610" t="s">
        <v>2797</v>
      </c>
      <c r="C610" t="s">
        <v>7357</v>
      </c>
      <c r="D610" t="s">
        <v>54</v>
      </c>
      <c r="E610" t="s">
        <v>7358</v>
      </c>
      <c r="F610" t="s">
        <v>2800</v>
      </c>
      <c r="G610" t="s">
        <v>7359</v>
      </c>
      <c r="H610" t="s">
        <v>7604</v>
      </c>
      <c r="I610" t="s">
        <v>24</v>
      </c>
      <c r="J610">
        <v>84</v>
      </c>
      <c r="K610">
        <v>570</v>
      </c>
      <c r="L610">
        <v>250</v>
      </c>
      <c r="M610">
        <f>COUNTIF(H610:$H$2581,H610)</f>
        <v>1</v>
      </c>
    </row>
    <row r="611" spans="1:13" x14ac:dyDescent="0.2">
      <c r="A611">
        <v>1785</v>
      </c>
      <c r="B611" t="s">
        <v>216</v>
      </c>
      <c r="C611" t="s">
        <v>7813</v>
      </c>
      <c r="D611" t="s">
        <v>13</v>
      </c>
      <c r="E611" t="s">
        <v>7814</v>
      </c>
      <c r="F611" t="s">
        <v>219</v>
      </c>
      <c r="G611" t="s">
        <v>7815</v>
      </c>
      <c r="H611" t="s">
        <v>7608</v>
      </c>
      <c r="I611" t="b">
        <v>1</v>
      </c>
      <c r="J611">
        <v>209</v>
      </c>
      <c r="K611">
        <v>1786</v>
      </c>
      <c r="L611">
        <v>27</v>
      </c>
      <c r="M611">
        <f>COUNTIF(H611:$H$2581,H611)</f>
        <v>1</v>
      </c>
    </row>
    <row r="612" spans="1:13" x14ac:dyDescent="0.2">
      <c r="A612">
        <v>380</v>
      </c>
      <c r="B612" t="s">
        <v>1659</v>
      </c>
      <c r="C612" t="s">
        <v>8019</v>
      </c>
      <c r="D612" t="s">
        <v>33</v>
      </c>
      <c r="E612" t="s">
        <v>8020</v>
      </c>
      <c r="F612" t="s">
        <v>1662</v>
      </c>
      <c r="G612" t="s">
        <v>8021</v>
      </c>
      <c r="H612" t="s">
        <v>7618</v>
      </c>
      <c r="I612" t="b">
        <v>0</v>
      </c>
      <c r="J612">
        <v>52</v>
      </c>
      <c r="K612">
        <v>381</v>
      </c>
      <c r="L612">
        <v>128</v>
      </c>
      <c r="M612">
        <f>COUNTIF(H612:$H$2581,H612)</f>
        <v>1</v>
      </c>
    </row>
    <row r="613" spans="1:13" x14ac:dyDescent="0.2">
      <c r="A613">
        <v>1380</v>
      </c>
      <c r="B613" t="s">
        <v>603</v>
      </c>
      <c r="C613" t="s">
        <v>8195</v>
      </c>
      <c r="D613" t="s">
        <v>13</v>
      </c>
      <c r="E613" t="s">
        <v>8196</v>
      </c>
      <c r="F613" t="s">
        <v>606</v>
      </c>
      <c r="G613" t="s">
        <v>8197</v>
      </c>
      <c r="H613" t="s">
        <v>7622</v>
      </c>
      <c r="I613" t="s">
        <v>24</v>
      </c>
      <c r="J613">
        <v>166</v>
      </c>
      <c r="K613">
        <v>1381</v>
      </c>
      <c r="L613">
        <v>30</v>
      </c>
      <c r="M613">
        <f>COUNTIF(H613:$H$2581,H613)</f>
        <v>1</v>
      </c>
    </row>
    <row r="614" spans="1:13" x14ac:dyDescent="0.2">
      <c r="A614">
        <v>647</v>
      </c>
      <c r="B614" t="s">
        <v>237</v>
      </c>
      <c r="C614" t="s">
        <v>8567</v>
      </c>
      <c r="D614" t="s">
        <v>13</v>
      </c>
      <c r="E614" t="s">
        <v>8568</v>
      </c>
      <c r="F614" t="s">
        <v>240</v>
      </c>
      <c r="G614" t="s">
        <v>8569</v>
      </c>
      <c r="H614" t="s">
        <v>7626</v>
      </c>
      <c r="I614" t="b">
        <v>1</v>
      </c>
      <c r="J614">
        <v>92</v>
      </c>
      <c r="K614">
        <v>648</v>
      </c>
      <c r="L614">
        <v>56</v>
      </c>
      <c r="M614">
        <f>COUNTIF(H614:$H$2581,H614)</f>
        <v>1</v>
      </c>
    </row>
    <row r="615" spans="1:13" x14ac:dyDescent="0.2">
      <c r="A615">
        <v>1735</v>
      </c>
      <c r="B615" t="s">
        <v>725</v>
      </c>
      <c r="C615" t="s">
        <v>8762</v>
      </c>
      <c r="D615" t="s">
        <v>54</v>
      </c>
      <c r="E615" t="s">
        <v>8763</v>
      </c>
      <c r="F615" t="s">
        <v>728</v>
      </c>
      <c r="G615" t="s">
        <v>8764</v>
      </c>
      <c r="H615" t="s">
        <v>7630</v>
      </c>
      <c r="I615" t="b">
        <v>1</v>
      </c>
      <c r="J615">
        <v>205</v>
      </c>
      <c r="K615">
        <v>1736</v>
      </c>
      <c r="L615">
        <v>31</v>
      </c>
      <c r="M615">
        <f>COUNTIF(H615:$H$2581,H615)</f>
        <v>1</v>
      </c>
    </row>
    <row r="616" spans="1:13" x14ac:dyDescent="0.2">
      <c r="A616">
        <v>315</v>
      </c>
      <c r="B616" t="s">
        <v>98</v>
      </c>
      <c r="C616" t="s">
        <v>99</v>
      </c>
      <c r="D616" t="s">
        <v>54</v>
      </c>
      <c r="E616" t="s">
        <v>100</v>
      </c>
      <c r="F616" t="s">
        <v>101</v>
      </c>
      <c r="G616" t="s">
        <v>102</v>
      </c>
      <c r="H616" t="s">
        <v>7634</v>
      </c>
      <c r="I616" t="s">
        <v>24</v>
      </c>
      <c r="J616">
        <v>46</v>
      </c>
      <c r="K616">
        <v>316</v>
      </c>
      <c r="L616">
        <v>45</v>
      </c>
      <c r="M616">
        <f>COUNTIF(H616:$H$2581,H616)</f>
        <v>1</v>
      </c>
    </row>
    <row r="617" spans="1:13" x14ac:dyDescent="0.2">
      <c r="A617">
        <v>316</v>
      </c>
      <c r="B617" t="s">
        <v>98</v>
      </c>
      <c r="C617" t="s">
        <v>354</v>
      </c>
      <c r="D617" t="s">
        <v>54</v>
      </c>
      <c r="E617" t="s">
        <v>355</v>
      </c>
      <c r="F617" t="s">
        <v>101</v>
      </c>
      <c r="G617" t="s">
        <v>356</v>
      </c>
      <c r="H617" t="s">
        <v>7637</v>
      </c>
      <c r="I617" t="s">
        <v>24</v>
      </c>
      <c r="J617">
        <v>46</v>
      </c>
      <c r="K617">
        <v>317</v>
      </c>
      <c r="L617">
        <v>1</v>
      </c>
      <c r="M617">
        <f>COUNTIF(H617:$H$2581,H617)</f>
        <v>1</v>
      </c>
    </row>
    <row r="618" spans="1:13" x14ac:dyDescent="0.2">
      <c r="A618">
        <v>2125</v>
      </c>
      <c r="B618" t="s">
        <v>581</v>
      </c>
      <c r="C618" t="s">
        <v>582</v>
      </c>
      <c r="D618" t="s">
        <v>54</v>
      </c>
      <c r="E618" t="s">
        <v>583</v>
      </c>
      <c r="F618" s="1" t="s">
        <v>584</v>
      </c>
      <c r="G618" t="s">
        <v>585</v>
      </c>
      <c r="H618" t="s">
        <v>7647</v>
      </c>
      <c r="I618" t="b">
        <v>1</v>
      </c>
      <c r="J618">
        <v>246</v>
      </c>
      <c r="K618">
        <v>2126</v>
      </c>
      <c r="L618">
        <v>46</v>
      </c>
      <c r="M618">
        <f>COUNTIF(H618:$H$2581,H618)</f>
        <v>1</v>
      </c>
    </row>
    <row r="619" spans="1:13" x14ac:dyDescent="0.2">
      <c r="A619">
        <v>1791</v>
      </c>
      <c r="B619" t="s">
        <v>1287</v>
      </c>
      <c r="C619" t="s">
        <v>1288</v>
      </c>
      <c r="D619" t="s">
        <v>13</v>
      </c>
      <c r="E619" t="s">
        <v>1289</v>
      </c>
      <c r="F619" t="s">
        <v>1290</v>
      </c>
      <c r="G619" t="s">
        <v>1291</v>
      </c>
      <c r="H619" t="s">
        <v>7654</v>
      </c>
      <c r="I619" t="s">
        <v>24</v>
      </c>
      <c r="J619">
        <v>210</v>
      </c>
      <c r="K619">
        <v>1792</v>
      </c>
      <c r="L619">
        <v>157</v>
      </c>
      <c r="M619">
        <f>COUNTIF(H619:$H$2581,H619)</f>
        <v>1</v>
      </c>
    </row>
    <row r="620" spans="1:13" x14ac:dyDescent="0.2">
      <c r="A620">
        <v>1274</v>
      </c>
      <c r="B620" t="s">
        <v>1273</v>
      </c>
      <c r="C620" t="s">
        <v>1767</v>
      </c>
      <c r="D620" t="s">
        <v>13</v>
      </c>
      <c r="E620" s="1" t="s">
        <v>1768</v>
      </c>
      <c r="F620" t="s">
        <v>1276</v>
      </c>
      <c r="G620" t="s">
        <v>1769</v>
      </c>
      <c r="H620" t="s">
        <v>7661</v>
      </c>
      <c r="I620" t="b">
        <v>1</v>
      </c>
      <c r="J620">
        <v>157</v>
      </c>
      <c r="K620">
        <v>1275</v>
      </c>
      <c r="L620">
        <v>84</v>
      </c>
      <c r="M620">
        <f>COUNTIF(H620:$H$2581,H620)</f>
        <v>1</v>
      </c>
    </row>
    <row r="621" spans="1:13" x14ac:dyDescent="0.2">
      <c r="A621">
        <v>1985</v>
      </c>
      <c r="B621" t="s">
        <v>1952</v>
      </c>
      <c r="C621" t="s">
        <v>1953</v>
      </c>
      <c r="D621" t="s">
        <v>13</v>
      </c>
      <c r="E621" t="s">
        <v>1954</v>
      </c>
      <c r="F621" t="s">
        <v>1955</v>
      </c>
      <c r="G621" t="s">
        <v>1956</v>
      </c>
      <c r="H621" t="s">
        <v>7665</v>
      </c>
      <c r="I621" t="s">
        <v>24</v>
      </c>
      <c r="J621">
        <v>229</v>
      </c>
      <c r="K621">
        <v>1986</v>
      </c>
      <c r="L621">
        <v>10</v>
      </c>
      <c r="M621">
        <f>COUNTIF(H621:$H$2581,H621)</f>
        <v>1</v>
      </c>
    </row>
    <row r="622" spans="1:13" x14ac:dyDescent="0.2">
      <c r="A622">
        <v>1396</v>
      </c>
      <c r="B622" t="s">
        <v>170</v>
      </c>
      <c r="C622" t="s">
        <v>2372</v>
      </c>
      <c r="D622" t="s">
        <v>13</v>
      </c>
      <c r="E622" t="s">
        <v>2373</v>
      </c>
      <c r="F622" t="s">
        <v>173</v>
      </c>
      <c r="G622" t="s">
        <v>2374</v>
      </c>
      <c r="H622" t="s">
        <v>7669</v>
      </c>
      <c r="I622" t="b">
        <v>1</v>
      </c>
      <c r="J622">
        <v>168</v>
      </c>
      <c r="K622">
        <v>1397</v>
      </c>
      <c r="L622">
        <v>121</v>
      </c>
      <c r="M622">
        <f>COUNTIF(H622:$H$2581,H622)</f>
        <v>1</v>
      </c>
    </row>
    <row r="623" spans="1:13" x14ac:dyDescent="0.2">
      <c r="A623">
        <v>377</v>
      </c>
      <c r="B623" t="s">
        <v>1659</v>
      </c>
      <c r="C623" t="s">
        <v>2812</v>
      </c>
      <c r="D623" t="s">
        <v>13</v>
      </c>
      <c r="E623" t="s">
        <v>2813</v>
      </c>
      <c r="F623" t="s">
        <v>1662</v>
      </c>
      <c r="G623" t="s">
        <v>2814</v>
      </c>
      <c r="H623" t="s">
        <v>7673</v>
      </c>
      <c r="I623" t="b">
        <v>0</v>
      </c>
      <c r="J623">
        <v>52</v>
      </c>
      <c r="K623">
        <v>378</v>
      </c>
      <c r="L623">
        <v>17</v>
      </c>
      <c r="M623">
        <f>COUNTIF(H623:$H$2581,H623)</f>
        <v>1</v>
      </c>
    </row>
    <row r="624" spans="1:13" x14ac:dyDescent="0.2">
      <c r="A624">
        <v>1053</v>
      </c>
      <c r="B624" t="s">
        <v>1884</v>
      </c>
      <c r="C624" t="s">
        <v>3275</v>
      </c>
      <c r="D624" t="s">
        <v>13</v>
      </c>
      <c r="E624" t="s">
        <v>3276</v>
      </c>
      <c r="F624" t="s">
        <v>1887</v>
      </c>
      <c r="G624" t="s">
        <v>3277</v>
      </c>
      <c r="H624" t="s">
        <v>7680</v>
      </c>
      <c r="I624" t="s">
        <v>24</v>
      </c>
      <c r="J624">
        <v>131</v>
      </c>
      <c r="K624">
        <v>1054</v>
      </c>
      <c r="L624">
        <v>21</v>
      </c>
      <c r="M624">
        <f>COUNTIF(H624:$H$2581,H624)</f>
        <v>1</v>
      </c>
    </row>
    <row r="625" spans="1:13" x14ac:dyDescent="0.2">
      <c r="A625">
        <v>537</v>
      </c>
      <c r="B625" t="s">
        <v>188</v>
      </c>
      <c r="C625" t="s">
        <v>3420</v>
      </c>
      <c r="D625" t="s">
        <v>54</v>
      </c>
      <c r="E625" t="s">
        <v>3421</v>
      </c>
      <c r="F625" t="s">
        <v>191</v>
      </c>
      <c r="G625" t="s">
        <v>3422</v>
      </c>
      <c r="H625" t="s">
        <v>7721</v>
      </c>
      <c r="I625" t="b">
        <v>0</v>
      </c>
      <c r="J625">
        <v>80</v>
      </c>
      <c r="K625">
        <v>538</v>
      </c>
      <c r="L625">
        <v>240</v>
      </c>
      <c r="M625">
        <f>COUNTIF(H625:$H$2581,H625)</f>
        <v>1</v>
      </c>
    </row>
    <row r="626" spans="1:13" x14ac:dyDescent="0.2">
      <c r="A626">
        <v>1650</v>
      </c>
      <c r="B626" t="s">
        <v>3361</v>
      </c>
      <c r="C626" t="s">
        <v>3598</v>
      </c>
      <c r="D626" t="s">
        <v>13</v>
      </c>
      <c r="E626" t="s">
        <v>3599</v>
      </c>
      <c r="F626" t="s">
        <v>3364</v>
      </c>
      <c r="G626" t="s">
        <v>3600</v>
      </c>
      <c r="H626" t="s">
        <v>7725</v>
      </c>
      <c r="I626" t="b">
        <v>0</v>
      </c>
      <c r="J626">
        <v>198</v>
      </c>
      <c r="K626">
        <v>1651</v>
      </c>
      <c r="L626">
        <v>39</v>
      </c>
      <c r="M626">
        <f>COUNTIF(H626:$H$2581,H626)</f>
        <v>1</v>
      </c>
    </row>
    <row r="627" spans="1:13" x14ac:dyDescent="0.2">
      <c r="A627">
        <v>1284</v>
      </c>
      <c r="B627" t="s">
        <v>1221</v>
      </c>
      <c r="C627" t="s">
        <v>3738</v>
      </c>
      <c r="D627" t="s">
        <v>13</v>
      </c>
      <c r="E627" t="s">
        <v>3739</v>
      </c>
      <c r="F627" t="s">
        <v>1224</v>
      </c>
      <c r="G627" t="s">
        <v>3740</v>
      </c>
      <c r="H627" t="s">
        <v>7729</v>
      </c>
      <c r="I627" t="b">
        <v>1</v>
      </c>
      <c r="J627">
        <v>158</v>
      </c>
      <c r="K627">
        <v>1285</v>
      </c>
      <c r="L627">
        <v>22</v>
      </c>
      <c r="M627">
        <f>COUNTIF(H627:$H$2581,H627)</f>
        <v>1</v>
      </c>
    </row>
    <row r="628" spans="1:13" x14ac:dyDescent="0.2">
      <c r="A628">
        <v>851</v>
      </c>
      <c r="B628" t="s">
        <v>193</v>
      </c>
      <c r="C628" t="s">
        <v>3816</v>
      </c>
      <c r="D628" t="s">
        <v>54</v>
      </c>
      <c r="E628" t="s">
        <v>3817</v>
      </c>
      <c r="F628" t="s">
        <v>196</v>
      </c>
      <c r="G628" t="s">
        <v>3818</v>
      </c>
      <c r="H628" t="s">
        <v>7864</v>
      </c>
      <c r="I628" t="s">
        <v>24</v>
      </c>
      <c r="J628">
        <v>117</v>
      </c>
      <c r="K628">
        <v>852</v>
      </c>
      <c r="L628">
        <v>270</v>
      </c>
      <c r="M628">
        <f>COUNTIF(H628:$H$2581,H628)</f>
        <v>1</v>
      </c>
    </row>
    <row r="629" spans="1:13" x14ac:dyDescent="0.2">
      <c r="A629">
        <v>1323</v>
      </c>
      <c r="B629" t="s">
        <v>1157</v>
      </c>
      <c r="C629" t="s">
        <v>4028</v>
      </c>
      <c r="D629" t="s">
        <v>54</v>
      </c>
      <c r="E629" t="s">
        <v>4029</v>
      </c>
      <c r="F629" t="s">
        <v>1160</v>
      </c>
      <c r="G629" t="s">
        <v>4030</v>
      </c>
      <c r="H629" t="s">
        <v>7868</v>
      </c>
      <c r="I629" t="b">
        <v>0</v>
      </c>
      <c r="J629">
        <v>162</v>
      </c>
      <c r="K629">
        <v>1324</v>
      </c>
      <c r="L629">
        <v>23</v>
      </c>
      <c r="M629">
        <f>COUNTIF(H629:$H$2581,H629)</f>
        <v>1</v>
      </c>
    </row>
    <row r="630" spans="1:13" x14ac:dyDescent="0.2">
      <c r="A630">
        <v>136</v>
      </c>
      <c r="B630" t="s">
        <v>58</v>
      </c>
      <c r="C630" t="s">
        <v>4176</v>
      </c>
      <c r="D630" t="s">
        <v>54</v>
      </c>
      <c r="E630" t="s">
        <v>4177</v>
      </c>
      <c r="F630" t="s">
        <v>61</v>
      </c>
      <c r="G630" t="s">
        <v>4178</v>
      </c>
      <c r="H630" t="s">
        <v>7872</v>
      </c>
      <c r="I630" t="b">
        <v>0</v>
      </c>
      <c r="J630">
        <v>24</v>
      </c>
      <c r="K630">
        <v>137</v>
      </c>
      <c r="L630">
        <v>64</v>
      </c>
      <c r="M630">
        <f>COUNTIF(H630:$H$2581,H630)</f>
        <v>1</v>
      </c>
    </row>
    <row r="631" spans="1:13" x14ac:dyDescent="0.2">
      <c r="A631">
        <v>2285</v>
      </c>
      <c r="B631" t="s">
        <v>1070</v>
      </c>
      <c r="C631" t="s">
        <v>4590</v>
      </c>
      <c r="D631" t="s">
        <v>13</v>
      </c>
      <c r="E631" t="s">
        <v>4591</v>
      </c>
      <c r="F631" t="s">
        <v>1073</v>
      </c>
      <c r="G631" t="s">
        <v>4592</v>
      </c>
      <c r="H631" t="s">
        <v>7876</v>
      </c>
      <c r="I631" t="b">
        <v>1</v>
      </c>
      <c r="J631">
        <v>268</v>
      </c>
      <c r="K631">
        <v>2286</v>
      </c>
      <c r="L631">
        <v>4</v>
      </c>
      <c r="M631">
        <f>COUNTIF(H631:$H$2581,H631)</f>
        <v>1</v>
      </c>
    </row>
    <row r="632" spans="1:13" x14ac:dyDescent="0.2">
      <c r="A632">
        <v>441</v>
      </c>
      <c r="B632" t="s">
        <v>778</v>
      </c>
      <c r="C632" t="s">
        <v>4881</v>
      </c>
      <c r="D632" t="s">
        <v>54</v>
      </c>
      <c r="E632" t="s">
        <v>4882</v>
      </c>
      <c r="F632" t="s">
        <v>781</v>
      </c>
      <c r="G632" t="s">
        <v>4883</v>
      </c>
      <c r="H632" t="s">
        <v>7880</v>
      </c>
      <c r="I632" t="b">
        <v>0</v>
      </c>
      <c r="J632">
        <v>64</v>
      </c>
      <c r="K632">
        <v>442</v>
      </c>
      <c r="L632">
        <v>34</v>
      </c>
      <c r="M632">
        <f>COUNTIF(H632:$H$2581,H632)</f>
        <v>1</v>
      </c>
    </row>
    <row r="633" spans="1:13" x14ac:dyDescent="0.2">
      <c r="A633">
        <v>1061</v>
      </c>
      <c r="B633" t="s">
        <v>1884</v>
      </c>
      <c r="C633" t="s">
        <v>4990</v>
      </c>
      <c r="D633" t="s">
        <v>54</v>
      </c>
      <c r="E633" t="s">
        <v>4991</v>
      </c>
      <c r="F633" t="s">
        <v>1887</v>
      </c>
      <c r="G633" t="s">
        <v>4992</v>
      </c>
      <c r="H633" t="s">
        <v>7899</v>
      </c>
      <c r="I633" t="s">
        <v>24</v>
      </c>
      <c r="J633">
        <v>131</v>
      </c>
      <c r="K633">
        <v>1062</v>
      </c>
      <c r="L633">
        <v>123</v>
      </c>
      <c r="M633">
        <f>COUNTIF(H633:$H$2581,H633)</f>
        <v>1</v>
      </c>
    </row>
    <row r="634" spans="1:13" x14ac:dyDescent="0.2">
      <c r="A634">
        <v>525</v>
      </c>
      <c r="B634" t="s">
        <v>881</v>
      </c>
      <c r="C634" t="s">
        <v>5255</v>
      </c>
      <c r="D634" t="s">
        <v>13</v>
      </c>
      <c r="E634" t="s">
        <v>5256</v>
      </c>
      <c r="F634" t="s">
        <v>884</v>
      </c>
      <c r="G634" t="s">
        <v>5257</v>
      </c>
      <c r="H634" t="s">
        <v>7906</v>
      </c>
      <c r="I634" t="s">
        <v>24</v>
      </c>
      <c r="J634">
        <v>77</v>
      </c>
      <c r="K634">
        <v>526</v>
      </c>
      <c r="L634">
        <v>35</v>
      </c>
      <c r="M634">
        <f>COUNTIF(H634:$H$2581,H634)</f>
        <v>1</v>
      </c>
    </row>
    <row r="635" spans="1:13" x14ac:dyDescent="0.2">
      <c r="A635">
        <v>1678</v>
      </c>
      <c r="B635" t="s">
        <v>1112</v>
      </c>
      <c r="C635" t="s">
        <v>5379</v>
      </c>
      <c r="D635" t="s">
        <v>13</v>
      </c>
      <c r="E635" t="s">
        <v>5380</v>
      </c>
      <c r="F635" t="s">
        <v>1115</v>
      </c>
      <c r="G635" t="s">
        <v>5381</v>
      </c>
      <c r="H635" t="s">
        <v>7949</v>
      </c>
      <c r="I635" t="b">
        <v>1</v>
      </c>
      <c r="J635">
        <v>202</v>
      </c>
      <c r="K635">
        <v>1679</v>
      </c>
      <c r="L635">
        <v>24</v>
      </c>
      <c r="M635">
        <f>COUNTIF(H635:$H$2581,H635)</f>
        <v>1</v>
      </c>
    </row>
    <row r="636" spans="1:13" x14ac:dyDescent="0.2">
      <c r="A636">
        <v>1020</v>
      </c>
      <c r="B636" t="s">
        <v>3182</v>
      </c>
      <c r="C636" t="s">
        <v>5515</v>
      </c>
      <c r="D636" t="s">
        <v>54</v>
      </c>
      <c r="E636" t="s">
        <v>5516</v>
      </c>
      <c r="F636" t="s">
        <v>3185</v>
      </c>
      <c r="G636" t="s">
        <v>5517</v>
      </c>
      <c r="H636" t="s">
        <v>7953</v>
      </c>
      <c r="I636" t="s">
        <v>24</v>
      </c>
      <c r="J636">
        <v>127</v>
      </c>
      <c r="K636">
        <v>1021</v>
      </c>
      <c r="L636">
        <v>13</v>
      </c>
      <c r="M636">
        <f>COUNTIF(H636:$H$2581,H636)</f>
        <v>1</v>
      </c>
    </row>
    <row r="637" spans="1:13" x14ac:dyDescent="0.2">
      <c r="A637">
        <v>922</v>
      </c>
      <c r="B637" t="s">
        <v>271</v>
      </c>
      <c r="C637" t="s">
        <v>5600</v>
      </c>
      <c r="D637" t="s">
        <v>54</v>
      </c>
      <c r="E637" t="s">
        <v>5601</v>
      </c>
      <c r="F637" t="s">
        <v>274</v>
      </c>
      <c r="G637" t="s">
        <v>5602</v>
      </c>
      <c r="H637" t="s">
        <v>7957</v>
      </c>
      <c r="I637" t="s">
        <v>24</v>
      </c>
      <c r="J637">
        <v>121</v>
      </c>
      <c r="K637">
        <v>923</v>
      </c>
      <c r="L637">
        <v>50</v>
      </c>
      <c r="M637">
        <f>COUNTIF(H637:$H$2581,H637)</f>
        <v>1</v>
      </c>
    </row>
    <row r="638" spans="1:13" x14ac:dyDescent="0.2">
      <c r="A638">
        <v>1740</v>
      </c>
      <c r="B638" t="s">
        <v>1497</v>
      </c>
      <c r="C638" t="s">
        <v>5784</v>
      </c>
      <c r="D638" t="s">
        <v>33</v>
      </c>
      <c r="E638" t="s">
        <v>5785</v>
      </c>
      <c r="F638" t="s">
        <v>1500</v>
      </c>
      <c r="G638" t="s">
        <v>5786</v>
      </c>
      <c r="H638" t="s">
        <v>7961</v>
      </c>
      <c r="I638" t="b">
        <v>0</v>
      </c>
      <c r="J638">
        <v>206</v>
      </c>
      <c r="K638">
        <v>1741</v>
      </c>
      <c r="L638">
        <v>25</v>
      </c>
      <c r="M638">
        <f>COUNTIF(H638:$H$2581,H638)</f>
        <v>1</v>
      </c>
    </row>
    <row r="639" spans="1:13" x14ac:dyDescent="0.2">
      <c r="A639">
        <v>1631</v>
      </c>
      <c r="B639" t="s">
        <v>720</v>
      </c>
      <c r="C639" t="s">
        <v>5943</v>
      </c>
      <c r="D639" t="s">
        <v>13</v>
      </c>
      <c r="E639" t="s">
        <v>5944</v>
      </c>
      <c r="F639" t="s">
        <v>723</v>
      </c>
      <c r="G639" t="s">
        <v>5945</v>
      </c>
      <c r="H639" t="s">
        <v>8000</v>
      </c>
      <c r="I639" t="b">
        <v>1</v>
      </c>
      <c r="J639">
        <v>197</v>
      </c>
      <c r="K639">
        <v>1632</v>
      </c>
      <c r="L639">
        <v>124</v>
      </c>
      <c r="M639">
        <f>COUNTIF(H639:$H$2581,H639)</f>
        <v>1</v>
      </c>
    </row>
    <row r="640" spans="1:13" x14ac:dyDescent="0.2">
      <c r="A640">
        <v>583</v>
      </c>
      <c r="B640" t="s">
        <v>3533</v>
      </c>
      <c r="C640" t="s">
        <v>6291</v>
      </c>
      <c r="D640" t="s">
        <v>54</v>
      </c>
      <c r="E640" t="s">
        <v>6292</v>
      </c>
      <c r="F640" t="s">
        <v>3536</v>
      </c>
      <c r="G640" t="s">
        <v>6293</v>
      </c>
      <c r="H640" t="s">
        <v>8010</v>
      </c>
      <c r="I640" t="s">
        <v>24</v>
      </c>
      <c r="J640">
        <v>87</v>
      </c>
      <c r="K640">
        <v>584</v>
      </c>
      <c r="L640">
        <v>9</v>
      </c>
      <c r="M640">
        <f>COUNTIF(H640:$H$2581,H640)</f>
        <v>1</v>
      </c>
    </row>
    <row r="641" spans="1:13" x14ac:dyDescent="0.2">
      <c r="A641">
        <v>974</v>
      </c>
      <c r="B641" t="s">
        <v>203</v>
      </c>
      <c r="C641" t="s">
        <v>6396</v>
      </c>
      <c r="D641" t="s">
        <v>54</v>
      </c>
      <c r="E641" t="s">
        <v>6397</v>
      </c>
      <c r="F641" t="s">
        <v>206</v>
      </c>
      <c r="G641" t="s">
        <v>6398</v>
      </c>
      <c r="H641" t="s">
        <v>8014</v>
      </c>
      <c r="I641" t="b">
        <v>1</v>
      </c>
      <c r="J641">
        <v>123</v>
      </c>
      <c r="K641">
        <v>975</v>
      </c>
      <c r="L641">
        <v>161</v>
      </c>
      <c r="M641">
        <f>COUNTIF(H641:$H$2581,H641)</f>
        <v>1</v>
      </c>
    </row>
    <row r="642" spans="1:13" x14ac:dyDescent="0.2">
      <c r="A642">
        <v>1859</v>
      </c>
      <c r="B642" t="s">
        <v>1295</v>
      </c>
      <c r="C642" t="s">
        <v>6624</v>
      </c>
      <c r="D642" t="s">
        <v>13</v>
      </c>
      <c r="E642" t="s">
        <v>6625</v>
      </c>
      <c r="F642" t="s">
        <v>1297</v>
      </c>
      <c r="G642" t="s">
        <v>6626</v>
      </c>
      <c r="H642" t="s">
        <v>8018</v>
      </c>
      <c r="I642" t="s">
        <v>24</v>
      </c>
      <c r="J642">
        <v>216</v>
      </c>
      <c r="K642">
        <v>1860</v>
      </c>
      <c r="L642">
        <v>7</v>
      </c>
      <c r="M642">
        <f>COUNTIF(H642:$H$2581,H642)</f>
        <v>1</v>
      </c>
    </row>
    <row r="643" spans="1:13" x14ac:dyDescent="0.2">
      <c r="A643">
        <v>686</v>
      </c>
      <c r="B643" t="s">
        <v>3704</v>
      </c>
      <c r="C643" t="s">
        <v>6768</v>
      </c>
      <c r="D643" t="s">
        <v>54</v>
      </c>
      <c r="E643" t="s">
        <v>6769</v>
      </c>
      <c r="F643" t="s">
        <v>3707</v>
      </c>
      <c r="G643" t="s">
        <v>6770</v>
      </c>
      <c r="H643" t="s">
        <v>8072</v>
      </c>
      <c r="I643" t="s">
        <v>24</v>
      </c>
      <c r="J643">
        <v>101</v>
      </c>
      <c r="K643">
        <v>687</v>
      </c>
      <c r="L643">
        <v>106</v>
      </c>
      <c r="M643">
        <f>COUNTIF(H643:$H$2581,H643)</f>
        <v>1</v>
      </c>
    </row>
    <row r="644" spans="1:13" x14ac:dyDescent="0.2">
      <c r="A644">
        <v>1638</v>
      </c>
      <c r="B644" t="s">
        <v>720</v>
      </c>
      <c r="C644" t="s">
        <v>6871</v>
      </c>
      <c r="D644" t="s">
        <v>13</v>
      </c>
      <c r="E644" t="s">
        <v>6872</v>
      </c>
      <c r="F644" t="s">
        <v>723</v>
      </c>
      <c r="G644" t="s">
        <v>6873</v>
      </c>
      <c r="H644" t="s">
        <v>8076</v>
      </c>
      <c r="I644" t="b">
        <v>1</v>
      </c>
      <c r="J644">
        <v>197</v>
      </c>
      <c r="K644">
        <v>1639</v>
      </c>
      <c r="L644">
        <v>125</v>
      </c>
      <c r="M644">
        <f>COUNTIF(H644:$H$2581,H644)</f>
        <v>1</v>
      </c>
    </row>
    <row r="645" spans="1:13" x14ac:dyDescent="0.2">
      <c r="A645">
        <v>1639</v>
      </c>
      <c r="B645" t="s">
        <v>720</v>
      </c>
      <c r="C645" t="s">
        <v>7082</v>
      </c>
      <c r="D645" t="s">
        <v>54</v>
      </c>
      <c r="E645" t="s">
        <v>7083</v>
      </c>
      <c r="F645" t="s">
        <v>723</v>
      </c>
      <c r="G645" t="s">
        <v>7084</v>
      </c>
      <c r="H645" t="s">
        <v>8080</v>
      </c>
      <c r="I645" t="b">
        <v>1</v>
      </c>
      <c r="J645">
        <v>197</v>
      </c>
      <c r="K645">
        <v>1640</v>
      </c>
      <c r="L645">
        <v>14</v>
      </c>
      <c r="M645">
        <f>COUNTIF(H645:$H$2581,H645)</f>
        <v>1</v>
      </c>
    </row>
    <row r="646" spans="1:13" x14ac:dyDescent="0.2">
      <c r="A646">
        <v>645</v>
      </c>
      <c r="B646" t="s">
        <v>237</v>
      </c>
      <c r="C646" t="s">
        <v>7361</v>
      </c>
      <c r="D646" t="s">
        <v>54</v>
      </c>
      <c r="E646" t="s">
        <v>7362</v>
      </c>
      <c r="F646" t="s">
        <v>240</v>
      </c>
      <c r="G646" t="s">
        <v>7363</v>
      </c>
      <c r="H646" t="s">
        <v>8099</v>
      </c>
      <c r="I646" t="b">
        <v>1</v>
      </c>
      <c r="J646">
        <v>92</v>
      </c>
      <c r="K646">
        <v>646</v>
      </c>
      <c r="L646">
        <v>250</v>
      </c>
      <c r="M646">
        <f>COUNTIF(H646:$H$2581,H646)</f>
        <v>1</v>
      </c>
    </row>
    <row r="647" spans="1:13" x14ac:dyDescent="0.2">
      <c r="A647">
        <v>1808</v>
      </c>
      <c r="B647" t="s">
        <v>1287</v>
      </c>
      <c r="C647" t="s">
        <v>7816</v>
      </c>
      <c r="D647" t="s">
        <v>13</v>
      </c>
      <c r="E647" t="s">
        <v>7817</v>
      </c>
      <c r="F647" t="s">
        <v>1290</v>
      </c>
      <c r="G647" t="s">
        <v>7818</v>
      </c>
      <c r="H647" t="s">
        <v>8136</v>
      </c>
      <c r="I647" t="s">
        <v>24</v>
      </c>
      <c r="J647">
        <v>210</v>
      </c>
      <c r="K647">
        <v>1809</v>
      </c>
      <c r="L647">
        <v>27</v>
      </c>
      <c r="M647">
        <f>COUNTIF(H647:$H$2581,H647)</f>
        <v>1</v>
      </c>
    </row>
    <row r="648" spans="1:13" x14ac:dyDescent="0.2">
      <c r="A648">
        <v>508</v>
      </c>
      <c r="B648" t="s">
        <v>2129</v>
      </c>
      <c r="C648" t="s">
        <v>8022</v>
      </c>
      <c r="D648" t="s">
        <v>33</v>
      </c>
      <c r="E648" t="s">
        <v>8023</v>
      </c>
      <c r="F648" t="s">
        <v>2132</v>
      </c>
      <c r="G648" t="s">
        <v>8024</v>
      </c>
      <c r="H648" t="s">
        <v>8140</v>
      </c>
      <c r="I648" t="b">
        <v>0</v>
      </c>
      <c r="J648">
        <v>72</v>
      </c>
      <c r="K648">
        <v>509</v>
      </c>
      <c r="L648">
        <v>128</v>
      </c>
      <c r="M648">
        <f>COUNTIF(H648:$H$2581,H648)</f>
        <v>1</v>
      </c>
    </row>
    <row r="649" spans="1:13" x14ac:dyDescent="0.2">
      <c r="A649">
        <v>1381</v>
      </c>
      <c r="B649" t="s">
        <v>603</v>
      </c>
      <c r="C649" t="s">
        <v>8198</v>
      </c>
      <c r="D649" t="s">
        <v>33</v>
      </c>
      <c r="E649" t="s">
        <v>8199</v>
      </c>
      <c r="F649" t="s">
        <v>606</v>
      </c>
      <c r="G649" t="s">
        <v>8200</v>
      </c>
      <c r="H649" t="s">
        <v>8246</v>
      </c>
      <c r="I649" t="s">
        <v>24</v>
      </c>
      <c r="J649">
        <v>166</v>
      </c>
      <c r="K649">
        <v>1382</v>
      </c>
      <c r="L649">
        <v>30</v>
      </c>
      <c r="M649">
        <f>COUNTIF(H649:$H$2581,H649)</f>
        <v>1</v>
      </c>
    </row>
    <row r="650" spans="1:13" x14ac:dyDescent="0.2">
      <c r="A650">
        <v>802</v>
      </c>
      <c r="B650" t="s">
        <v>116</v>
      </c>
      <c r="C650" t="s">
        <v>8570</v>
      </c>
      <c r="D650" t="s">
        <v>54</v>
      </c>
      <c r="E650" t="s">
        <v>8571</v>
      </c>
      <c r="F650" t="s">
        <v>119</v>
      </c>
      <c r="G650" t="s">
        <v>8572</v>
      </c>
      <c r="H650" t="s">
        <v>8250</v>
      </c>
      <c r="I650" t="s">
        <v>24</v>
      </c>
      <c r="J650">
        <v>112</v>
      </c>
      <c r="K650">
        <v>803</v>
      </c>
      <c r="L650">
        <v>56</v>
      </c>
      <c r="M650">
        <f>COUNTIF(H650:$H$2581,H650)</f>
        <v>1</v>
      </c>
    </row>
    <row r="651" spans="1:13" x14ac:dyDescent="0.2">
      <c r="A651">
        <v>1789</v>
      </c>
      <c r="B651" t="s">
        <v>216</v>
      </c>
      <c r="C651" t="s">
        <v>8765</v>
      </c>
      <c r="D651" t="s">
        <v>13</v>
      </c>
      <c r="E651" t="s">
        <v>8766</v>
      </c>
      <c r="F651" t="s">
        <v>219</v>
      </c>
      <c r="G651" t="s">
        <v>8767</v>
      </c>
      <c r="H651" t="s">
        <v>8257</v>
      </c>
      <c r="I651" t="b">
        <v>1</v>
      </c>
      <c r="J651">
        <v>209</v>
      </c>
      <c r="K651">
        <v>1790</v>
      </c>
      <c r="L651">
        <v>31</v>
      </c>
      <c r="M651">
        <f>COUNTIF(H651:$H$2581,H651)</f>
        <v>1</v>
      </c>
    </row>
    <row r="652" spans="1:13" x14ac:dyDescent="0.2">
      <c r="A652">
        <v>214</v>
      </c>
      <c r="B652" t="s">
        <v>93</v>
      </c>
      <c r="C652" t="s">
        <v>94</v>
      </c>
      <c r="D652" t="s">
        <v>13</v>
      </c>
      <c r="E652" t="s">
        <v>95</v>
      </c>
      <c r="F652" t="s">
        <v>96</v>
      </c>
      <c r="G652" t="s">
        <v>97</v>
      </c>
      <c r="H652" t="s">
        <v>8264</v>
      </c>
      <c r="I652" t="b">
        <v>1</v>
      </c>
      <c r="J652">
        <v>38</v>
      </c>
      <c r="K652">
        <v>215</v>
      </c>
      <c r="L652">
        <v>45</v>
      </c>
      <c r="M652">
        <f>COUNTIF(H652:$H$2581,H652)</f>
        <v>1</v>
      </c>
    </row>
    <row r="653" spans="1:13" x14ac:dyDescent="0.2">
      <c r="A653">
        <v>207</v>
      </c>
      <c r="B653" t="s">
        <v>88</v>
      </c>
      <c r="C653" t="s">
        <v>351</v>
      </c>
      <c r="D653" t="s">
        <v>13</v>
      </c>
      <c r="E653" t="s">
        <v>352</v>
      </c>
      <c r="F653" t="s">
        <v>91</v>
      </c>
      <c r="G653" t="s">
        <v>353</v>
      </c>
      <c r="H653" t="s">
        <v>8268</v>
      </c>
      <c r="I653" t="s">
        <v>24</v>
      </c>
      <c r="J653">
        <v>37</v>
      </c>
      <c r="K653">
        <v>208</v>
      </c>
      <c r="L653">
        <v>1</v>
      </c>
      <c r="M653">
        <f>COUNTIF(H653:$H$2581,H653)</f>
        <v>1</v>
      </c>
    </row>
    <row r="654" spans="1:13" x14ac:dyDescent="0.2">
      <c r="A654">
        <v>2118</v>
      </c>
      <c r="B654" t="s">
        <v>576</v>
      </c>
      <c r="C654" t="s">
        <v>577</v>
      </c>
      <c r="D654" t="s">
        <v>54</v>
      </c>
      <c r="E654" t="s">
        <v>578</v>
      </c>
      <c r="F654" t="s">
        <v>579</v>
      </c>
      <c r="G654" t="s">
        <v>580</v>
      </c>
      <c r="H654" t="s">
        <v>8272</v>
      </c>
      <c r="I654" t="s">
        <v>24</v>
      </c>
      <c r="J654">
        <v>244</v>
      </c>
      <c r="K654">
        <v>2119</v>
      </c>
      <c r="L654">
        <v>46</v>
      </c>
      <c r="M654">
        <f>COUNTIF(H654:$H$2581,H654)</f>
        <v>1</v>
      </c>
    </row>
    <row r="655" spans="1:13" x14ac:dyDescent="0.2">
      <c r="A655">
        <v>1849</v>
      </c>
      <c r="B655" t="s">
        <v>631</v>
      </c>
      <c r="C655" t="s">
        <v>1292</v>
      </c>
      <c r="D655" t="s">
        <v>54</v>
      </c>
      <c r="E655" t="s">
        <v>1293</v>
      </c>
      <c r="F655" t="s">
        <v>634</v>
      </c>
      <c r="G655" t="s">
        <v>1294</v>
      </c>
      <c r="H655" t="s">
        <v>8276</v>
      </c>
      <c r="I655" t="s">
        <v>24</v>
      </c>
      <c r="J655">
        <v>215</v>
      </c>
      <c r="K655">
        <v>1850</v>
      </c>
      <c r="L655">
        <v>157</v>
      </c>
      <c r="M655">
        <f>COUNTIF(H655:$H$2581,H655)</f>
        <v>1</v>
      </c>
    </row>
    <row r="656" spans="1:13" x14ac:dyDescent="0.2">
      <c r="A656">
        <v>1405</v>
      </c>
      <c r="B656" t="s">
        <v>1397</v>
      </c>
      <c r="C656" t="s">
        <v>1770</v>
      </c>
      <c r="D656" t="s">
        <v>13</v>
      </c>
      <c r="E656" t="s">
        <v>1771</v>
      </c>
      <c r="F656" t="s">
        <v>1400</v>
      </c>
      <c r="G656" t="s">
        <v>1772</v>
      </c>
      <c r="H656" t="s">
        <v>8280</v>
      </c>
      <c r="I656" t="b">
        <v>1</v>
      </c>
      <c r="J656">
        <v>169</v>
      </c>
      <c r="K656">
        <v>1406</v>
      </c>
      <c r="L656">
        <v>84</v>
      </c>
      <c r="M656">
        <f>COUNTIF(H656:$H$2581,H656)</f>
        <v>1</v>
      </c>
    </row>
    <row r="657" spans="1:13" x14ac:dyDescent="0.2">
      <c r="A657">
        <v>1993</v>
      </c>
      <c r="B657" t="s">
        <v>1957</v>
      </c>
      <c r="C657" t="s">
        <v>1958</v>
      </c>
      <c r="D657" t="s">
        <v>13</v>
      </c>
      <c r="E657" t="s">
        <v>1959</v>
      </c>
      <c r="F657" t="s">
        <v>1960</v>
      </c>
      <c r="G657" t="s">
        <v>1961</v>
      </c>
      <c r="H657" t="s">
        <v>8284</v>
      </c>
      <c r="I657" t="s">
        <v>24</v>
      </c>
      <c r="J657">
        <v>231</v>
      </c>
      <c r="K657">
        <v>1994</v>
      </c>
      <c r="L657">
        <v>10</v>
      </c>
      <c r="M657">
        <f>COUNTIF(H657:$H$2581,H657)</f>
        <v>1</v>
      </c>
    </row>
    <row r="658" spans="1:13" x14ac:dyDescent="0.2">
      <c r="A658">
        <v>276</v>
      </c>
      <c r="B658" t="s">
        <v>2105</v>
      </c>
      <c r="C658" t="s">
        <v>2282</v>
      </c>
      <c r="D658" t="s">
        <v>54</v>
      </c>
      <c r="E658" t="s">
        <v>2283</v>
      </c>
      <c r="F658" t="s">
        <v>2108</v>
      </c>
      <c r="G658" t="s">
        <v>2284</v>
      </c>
      <c r="H658" t="s">
        <v>8288</v>
      </c>
      <c r="I658" t="s">
        <v>24</v>
      </c>
      <c r="J658">
        <v>44</v>
      </c>
      <c r="K658">
        <v>277</v>
      </c>
      <c r="L658">
        <v>120</v>
      </c>
      <c r="M658">
        <f>COUNTIF(H658:$H$2581,H658)</f>
        <v>1</v>
      </c>
    </row>
    <row r="659" spans="1:13" x14ac:dyDescent="0.2">
      <c r="A659">
        <v>1493</v>
      </c>
      <c r="B659" t="s">
        <v>807</v>
      </c>
      <c r="C659" t="s">
        <v>2375</v>
      </c>
      <c r="D659" t="s">
        <v>54</v>
      </c>
      <c r="E659" t="s">
        <v>2376</v>
      </c>
      <c r="F659" t="s">
        <v>810</v>
      </c>
      <c r="G659" t="s">
        <v>2377</v>
      </c>
      <c r="H659" t="s">
        <v>8292</v>
      </c>
      <c r="I659" t="b">
        <v>1</v>
      </c>
      <c r="J659">
        <v>182</v>
      </c>
      <c r="K659">
        <v>1494</v>
      </c>
      <c r="L659">
        <v>121</v>
      </c>
      <c r="M659">
        <f>COUNTIF(H659:$H$2581,H659)</f>
        <v>1</v>
      </c>
    </row>
    <row r="660" spans="1:13" x14ac:dyDescent="0.2">
      <c r="A660">
        <v>691</v>
      </c>
      <c r="B660" t="s">
        <v>1131</v>
      </c>
      <c r="C660" t="s">
        <v>2815</v>
      </c>
      <c r="D660" t="s">
        <v>54</v>
      </c>
      <c r="E660" t="s">
        <v>2816</v>
      </c>
      <c r="F660" s="1" t="s">
        <v>1134</v>
      </c>
      <c r="G660" t="s">
        <v>2817</v>
      </c>
      <c r="H660" t="s">
        <v>8296</v>
      </c>
      <c r="I660" t="b">
        <v>0</v>
      </c>
      <c r="J660">
        <v>102</v>
      </c>
      <c r="K660">
        <v>692</v>
      </c>
      <c r="L660">
        <v>17</v>
      </c>
      <c r="M660">
        <f>COUNTIF(H660:$H$2581,H660)</f>
        <v>1</v>
      </c>
    </row>
    <row r="661" spans="1:13" x14ac:dyDescent="0.2">
      <c r="A661">
        <v>1328</v>
      </c>
      <c r="B661" t="s">
        <v>2235</v>
      </c>
      <c r="C661" t="s">
        <v>3278</v>
      </c>
      <c r="D661" t="s">
        <v>33</v>
      </c>
      <c r="E661" t="s">
        <v>3279</v>
      </c>
      <c r="F661" t="s">
        <v>2238</v>
      </c>
      <c r="G661" t="s">
        <v>3280</v>
      </c>
      <c r="H661" t="s">
        <v>8303</v>
      </c>
      <c r="I661" t="b">
        <v>0</v>
      </c>
      <c r="J661">
        <v>163</v>
      </c>
      <c r="K661">
        <v>1329</v>
      </c>
      <c r="L661">
        <v>21</v>
      </c>
      <c r="M661">
        <f>COUNTIF(H661:$H$2581,H661)</f>
        <v>1</v>
      </c>
    </row>
    <row r="662" spans="1:13" x14ac:dyDescent="0.2">
      <c r="A662">
        <v>834</v>
      </c>
      <c r="B662" t="s">
        <v>176</v>
      </c>
      <c r="C662" t="s">
        <v>3424</v>
      </c>
      <c r="D662" t="s">
        <v>54</v>
      </c>
      <c r="E662" t="s">
        <v>3425</v>
      </c>
      <c r="F662" t="s">
        <v>179</v>
      </c>
      <c r="G662" t="s">
        <v>3426</v>
      </c>
      <c r="H662" t="s">
        <v>8310</v>
      </c>
      <c r="I662" t="s">
        <v>24</v>
      </c>
      <c r="J662">
        <v>115</v>
      </c>
      <c r="K662">
        <v>835</v>
      </c>
      <c r="L662">
        <v>240</v>
      </c>
      <c r="M662">
        <f>COUNTIF(H662:$H$2581,H662)</f>
        <v>1</v>
      </c>
    </row>
    <row r="663" spans="1:13" x14ac:dyDescent="0.2">
      <c r="A663">
        <v>1689</v>
      </c>
      <c r="B663" t="s">
        <v>129</v>
      </c>
      <c r="C663" t="s">
        <v>3601</v>
      </c>
      <c r="D663" t="s">
        <v>13</v>
      </c>
      <c r="E663" t="s">
        <v>3602</v>
      </c>
      <c r="F663" t="s">
        <v>132</v>
      </c>
      <c r="G663" t="s">
        <v>3603</v>
      </c>
      <c r="H663" t="s">
        <v>8350</v>
      </c>
      <c r="I663" t="b">
        <v>1</v>
      </c>
      <c r="J663">
        <v>204</v>
      </c>
      <c r="K663">
        <v>1690</v>
      </c>
      <c r="L663">
        <v>39</v>
      </c>
      <c r="M663">
        <f>COUNTIF(H663:$H$2581,H663)</f>
        <v>1</v>
      </c>
    </row>
    <row r="664" spans="1:13" x14ac:dyDescent="0.2">
      <c r="A664">
        <v>1312</v>
      </c>
      <c r="B664" t="s">
        <v>1915</v>
      </c>
      <c r="C664" t="s">
        <v>3741</v>
      </c>
      <c r="D664" t="s">
        <v>13</v>
      </c>
      <c r="E664" t="s">
        <v>3742</v>
      </c>
      <c r="F664" t="s">
        <v>1918</v>
      </c>
      <c r="G664" t="s">
        <v>3743</v>
      </c>
      <c r="H664" t="s">
        <v>8357</v>
      </c>
      <c r="I664" t="s">
        <v>24</v>
      </c>
      <c r="J664">
        <v>161</v>
      </c>
      <c r="K664">
        <v>1313</v>
      </c>
      <c r="L664">
        <v>22</v>
      </c>
      <c r="M664">
        <f>COUNTIF(H664:$H$2581,H664)</f>
        <v>1</v>
      </c>
    </row>
    <row r="665" spans="1:13" x14ac:dyDescent="0.2">
      <c r="A665">
        <v>1056</v>
      </c>
      <c r="B665" t="s">
        <v>1884</v>
      </c>
      <c r="C665" t="s">
        <v>3819</v>
      </c>
      <c r="D665" t="s">
        <v>54</v>
      </c>
      <c r="E665" t="s">
        <v>3820</v>
      </c>
      <c r="F665" t="s">
        <v>1887</v>
      </c>
      <c r="G665" t="s">
        <v>3821</v>
      </c>
      <c r="H665" t="s">
        <v>8370</v>
      </c>
      <c r="I665" t="s">
        <v>24</v>
      </c>
      <c r="J665">
        <v>131</v>
      </c>
      <c r="K665">
        <v>1057</v>
      </c>
      <c r="L665">
        <v>270</v>
      </c>
      <c r="M665">
        <f>COUNTIF(H665:$H$2581,H665)</f>
        <v>1</v>
      </c>
    </row>
    <row r="666" spans="1:13" x14ac:dyDescent="0.2">
      <c r="A666">
        <v>1329</v>
      </c>
      <c r="B666" t="s">
        <v>2235</v>
      </c>
      <c r="C666" t="s">
        <v>4031</v>
      </c>
      <c r="D666" t="s">
        <v>54</v>
      </c>
      <c r="E666" t="s">
        <v>4032</v>
      </c>
      <c r="F666" t="s">
        <v>2238</v>
      </c>
      <c r="G666" t="s">
        <v>4033</v>
      </c>
      <c r="H666" t="s">
        <v>8383</v>
      </c>
      <c r="I666" t="b">
        <v>0</v>
      </c>
      <c r="J666">
        <v>163</v>
      </c>
      <c r="K666">
        <v>1330</v>
      </c>
      <c r="L666">
        <v>23</v>
      </c>
      <c r="M666">
        <f>COUNTIF(H666:$H$2581,H666)</f>
        <v>1</v>
      </c>
    </row>
    <row r="667" spans="1:13" x14ac:dyDescent="0.2">
      <c r="A667">
        <v>147</v>
      </c>
      <c r="B667" t="s">
        <v>63</v>
      </c>
      <c r="C667" t="s">
        <v>4179</v>
      </c>
      <c r="D667" t="s">
        <v>13</v>
      </c>
      <c r="E667" t="s">
        <v>4180</v>
      </c>
      <c r="F667" t="s">
        <v>66</v>
      </c>
      <c r="G667" t="s">
        <v>4181</v>
      </c>
      <c r="H667" t="s">
        <v>8399</v>
      </c>
      <c r="I667" t="s">
        <v>24</v>
      </c>
      <c r="J667">
        <v>27</v>
      </c>
      <c r="K667">
        <v>148</v>
      </c>
      <c r="L667">
        <v>64</v>
      </c>
      <c r="M667">
        <f>COUNTIF(H667:$H$2581,H667)</f>
        <v>1</v>
      </c>
    </row>
    <row r="668" spans="1:13" x14ac:dyDescent="0.2">
      <c r="A668">
        <v>2286</v>
      </c>
      <c r="B668" t="s">
        <v>1070</v>
      </c>
      <c r="C668" t="s">
        <v>4593</v>
      </c>
      <c r="D668" t="s">
        <v>13</v>
      </c>
      <c r="E668" t="s">
        <v>4594</v>
      </c>
      <c r="F668" t="s">
        <v>1073</v>
      </c>
      <c r="G668" t="s">
        <v>4595</v>
      </c>
      <c r="H668" t="s">
        <v>8403</v>
      </c>
      <c r="I668" t="b">
        <v>1</v>
      </c>
      <c r="J668">
        <v>268</v>
      </c>
      <c r="K668">
        <v>2287</v>
      </c>
      <c r="L668">
        <v>4</v>
      </c>
      <c r="M668">
        <f>COUNTIF(H668:$H$2581,H668)</f>
        <v>1</v>
      </c>
    </row>
    <row r="669" spans="1:13" x14ac:dyDescent="0.2">
      <c r="A669">
        <v>41</v>
      </c>
      <c r="B669" t="s">
        <v>2199</v>
      </c>
      <c r="C669" t="s">
        <v>4653</v>
      </c>
      <c r="D669" t="s">
        <v>13</v>
      </c>
      <c r="E669" t="s">
        <v>4654</v>
      </c>
      <c r="F669" t="s">
        <v>2202</v>
      </c>
      <c r="G669" t="s">
        <v>4655</v>
      </c>
      <c r="H669" t="s">
        <v>8413</v>
      </c>
      <c r="I669" t="s">
        <v>24</v>
      </c>
      <c r="J669">
        <v>7</v>
      </c>
      <c r="K669">
        <v>42</v>
      </c>
      <c r="L669">
        <v>33</v>
      </c>
      <c r="M669">
        <f>COUNTIF(H669:$H$2581,H669)</f>
        <v>1</v>
      </c>
    </row>
    <row r="670" spans="1:13" x14ac:dyDescent="0.2">
      <c r="A670">
        <v>488</v>
      </c>
      <c r="B670" t="s">
        <v>182</v>
      </c>
      <c r="C670" t="s">
        <v>4884</v>
      </c>
      <c r="D670" t="s">
        <v>13</v>
      </c>
      <c r="E670" t="s">
        <v>4885</v>
      </c>
      <c r="F670" t="s">
        <v>185</v>
      </c>
      <c r="G670" t="s">
        <v>4886</v>
      </c>
      <c r="H670" t="s">
        <v>8434</v>
      </c>
      <c r="I670" t="b">
        <v>1</v>
      </c>
      <c r="J670">
        <v>69</v>
      </c>
      <c r="K670">
        <v>489</v>
      </c>
      <c r="L670">
        <v>34</v>
      </c>
      <c r="M670">
        <f>COUNTIF(H670:$H$2581,H670)</f>
        <v>1</v>
      </c>
    </row>
    <row r="671" spans="1:13" x14ac:dyDescent="0.2">
      <c r="A671">
        <v>1093</v>
      </c>
      <c r="B671" t="s">
        <v>1075</v>
      </c>
      <c r="C671" t="s">
        <v>4993</v>
      </c>
      <c r="D671" t="s">
        <v>54</v>
      </c>
      <c r="E671" t="s">
        <v>4994</v>
      </c>
      <c r="F671" t="s">
        <v>1078</v>
      </c>
      <c r="G671" t="s">
        <v>4995</v>
      </c>
      <c r="H671" t="s">
        <v>8444</v>
      </c>
      <c r="I671" t="s">
        <v>24</v>
      </c>
      <c r="J671">
        <v>133</v>
      </c>
      <c r="K671">
        <v>1094</v>
      </c>
      <c r="L671">
        <v>123</v>
      </c>
      <c r="M671">
        <f>COUNTIF(H671:$H$2581,H671)</f>
        <v>1</v>
      </c>
    </row>
    <row r="672" spans="1:13" x14ac:dyDescent="0.2">
      <c r="A672">
        <v>709</v>
      </c>
      <c r="B672" t="s">
        <v>730</v>
      </c>
      <c r="C672" t="s">
        <v>5258</v>
      </c>
      <c r="D672" t="s">
        <v>13</v>
      </c>
      <c r="E672" t="s">
        <v>5259</v>
      </c>
      <c r="F672" t="s">
        <v>733</v>
      </c>
      <c r="G672" t="s">
        <v>5260</v>
      </c>
      <c r="H672" t="s">
        <v>8451</v>
      </c>
      <c r="I672" t="s">
        <v>24</v>
      </c>
      <c r="J672">
        <v>103</v>
      </c>
      <c r="K672">
        <v>710</v>
      </c>
      <c r="L672">
        <v>35</v>
      </c>
      <c r="M672">
        <f>COUNTIF(H672:$H$2581,H672)</f>
        <v>1</v>
      </c>
    </row>
    <row r="673" spans="1:13" x14ac:dyDescent="0.2">
      <c r="A673">
        <v>1719</v>
      </c>
      <c r="B673" t="s">
        <v>725</v>
      </c>
      <c r="C673" t="s">
        <v>5382</v>
      </c>
      <c r="D673" t="s">
        <v>54</v>
      </c>
      <c r="E673" t="s">
        <v>5383</v>
      </c>
      <c r="F673" t="s">
        <v>728</v>
      </c>
      <c r="G673" t="s">
        <v>5384</v>
      </c>
      <c r="H673" t="s">
        <v>8458</v>
      </c>
      <c r="I673" t="b">
        <v>1</v>
      </c>
      <c r="J673">
        <v>205</v>
      </c>
      <c r="K673">
        <v>1720</v>
      </c>
      <c r="L673">
        <v>24</v>
      </c>
      <c r="M673">
        <f>COUNTIF(H673:$H$2581,H673)</f>
        <v>1</v>
      </c>
    </row>
    <row r="674" spans="1:13" x14ac:dyDescent="0.2">
      <c r="A674">
        <v>1079</v>
      </c>
      <c r="B674" t="s">
        <v>2230</v>
      </c>
      <c r="C674" t="s">
        <v>5518</v>
      </c>
      <c r="D674" t="s">
        <v>13</v>
      </c>
      <c r="E674" t="s">
        <v>5519</v>
      </c>
      <c r="F674" t="s">
        <v>2233</v>
      </c>
      <c r="G674" t="s">
        <v>5520</v>
      </c>
      <c r="H674" t="s">
        <v>8462</v>
      </c>
      <c r="I674" t="s">
        <v>24</v>
      </c>
      <c r="J674">
        <v>132</v>
      </c>
      <c r="K674">
        <v>1080</v>
      </c>
      <c r="L674">
        <v>13</v>
      </c>
      <c r="M674">
        <f>COUNTIF(H674:$H$2581,H674)</f>
        <v>1</v>
      </c>
    </row>
    <row r="675" spans="1:13" x14ac:dyDescent="0.2">
      <c r="A675">
        <v>1078</v>
      </c>
      <c r="B675" t="s">
        <v>2230</v>
      </c>
      <c r="C675" t="s">
        <v>5603</v>
      </c>
      <c r="D675" t="s">
        <v>54</v>
      </c>
      <c r="E675" t="s">
        <v>5604</v>
      </c>
      <c r="F675" t="s">
        <v>2233</v>
      </c>
      <c r="G675" t="s">
        <v>5605</v>
      </c>
      <c r="H675" t="s">
        <v>8469</v>
      </c>
      <c r="I675" t="s">
        <v>24</v>
      </c>
      <c r="J675">
        <v>132</v>
      </c>
      <c r="K675">
        <v>1079</v>
      </c>
      <c r="L675">
        <v>50</v>
      </c>
      <c r="M675">
        <f>COUNTIF(H675:$H$2581,H675)</f>
        <v>1</v>
      </c>
    </row>
    <row r="676" spans="1:13" x14ac:dyDescent="0.2">
      <c r="A676">
        <v>1774</v>
      </c>
      <c r="B676" t="s">
        <v>216</v>
      </c>
      <c r="C676" t="s">
        <v>5787</v>
      </c>
      <c r="D676" t="s">
        <v>54</v>
      </c>
      <c r="E676" t="s">
        <v>5788</v>
      </c>
      <c r="F676" t="s">
        <v>219</v>
      </c>
      <c r="G676" t="s">
        <v>5789</v>
      </c>
      <c r="H676" t="s">
        <v>8490</v>
      </c>
      <c r="I676" t="b">
        <v>1</v>
      </c>
      <c r="J676">
        <v>209</v>
      </c>
      <c r="K676">
        <v>1775</v>
      </c>
      <c r="L676">
        <v>25</v>
      </c>
      <c r="M676">
        <f>COUNTIF(H676:$H$2581,H676)</f>
        <v>1</v>
      </c>
    </row>
    <row r="677" spans="1:13" x14ac:dyDescent="0.2">
      <c r="A677">
        <v>1668</v>
      </c>
      <c r="B677" t="s">
        <v>1059</v>
      </c>
      <c r="C677" t="s">
        <v>5946</v>
      </c>
      <c r="D677" t="s">
        <v>13</v>
      </c>
      <c r="E677" t="s">
        <v>5947</v>
      </c>
      <c r="F677" t="s">
        <v>1062</v>
      </c>
      <c r="G677" t="s">
        <v>5948</v>
      </c>
      <c r="H677" t="s">
        <v>8494</v>
      </c>
      <c r="I677" t="b">
        <v>1</v>
      </c>
      <c r="J677">
        <v>201</v>
      </c>
      <c r="K677">
        <v>1669</v>
      </c>
      <c r="L677">
        <v>124</v>
      </c>
      <c r="M677">
        <f>COUNTIF(H677:$H$2581,H677)</f>
        <v>1</v>
      </c>
    </row>
    <row r="678" spans="1:13" x14ac:dyDescent="0.2">
      <c r="A678">
        <v>772</v>
      </c>
      <c r="B678" t="s">
        <v>368</v>
      </c>
      <c r="C678" t="s">
        <v>6294</v>
      </c>
      <c r="D678" t="s">
        <v>13</v>
      </c>
      <c r="E678" t="s">
        <v>6295</v>
      </c>
      <c r="F678" t="s">
        <v>371</v>
      </c>
      <c r="G678" t="s">
        <v>6296</v>
      </c>
      <c r="H678" t="s">
        <v>8498</v>
      </c>
      <c r="I678" t="s">
        <v>24</v>
      </c>
      <c r="J678">
        <v>109</v>
      </c>
      <c r="K678">
        <v>773</v>
      </c>
      <c r="L678">
        <v>9</v>
      </c>
      <c r="M678">
        <f>COUNTIF(H678:$H$2581,H678)</f>
        <v>1</v>
      </c>
    </row>
    <row r="679" spans="1:13" x14ac:dyDescent="0.2">
      <c r="A679">
        <v>1134</v>
      </c>
      <c r="B679" t="s">
        <v>1186</v>
      </c>
      <c r="C679" t="s">
        <v>6399</v>
      </c>
      <c r="D679" t="s">
        <v>33</v>
      </c>
      <c r="E679" t="s">
        <v>6400</v>
      </c>
      <c r="F679" t="s">
        <v>1189</v>
      </c>
      <c r="G679" t="s">
        <v>6401</v>
      </c>
      <c r="H679" t="s">
        <v>8523</v>
      </c>
      <c r="I679" t="b">
        <v>0</v>
      </c>
      <c r="J679">
        <v>137</v>
      </c>
      <c r="K679">
        <v>1135</v>
      </c>
      <c r="L679">
        <v>161</v>
      </c>
      <c r="M679">
        <f>COUNTIF(H679:$H$2581,H679)</f>
        <v>1</v>
      </c>
    </row>
    <row r="680" spans="1:13" x14ac:dyDescent="0.2">
      <c r="A680">
        <v>1875</v>
      </c>
      <c r="B680" t="s">
        <v>749</v>
      </c>
      <c r="C680" t="s">
        <v>6627</v>
      </c>
      <c r="D680" t="s">
        <v>13</v>
      </c>
      <c r="E680" t="s">
        <v>6628</v>
      </c>
      <c r="F680" t="s">
        <v>752</v>
      </c>
      <c r="G680" t="s">
        <v>6629</v>
      </c>
      <c r="H680" t="s">
        <v>8527</v>
      </c>
      <c r="I680" t="s">
        <v>24</v>
      </c>
      <c r="J680">
        <v>218</v>
      </c>
      <c r="K680">
        <v>1876</v>
      </c>
      <c r="L680">
        <v>7</v>
      </c>
      <c r="M680">
        <f>COUNTIF(H680:$H$2581,H680)</f>
        <v>1</v>
      </c>
    </row>
    <row r="681" spans="1:13" x14ac:dyDescent="0.2">
      <c r="A681">
        <v>854</v>
      </c>
      <c r="B681" t="s">
        <v>193</v>
      </c>
      <c r="C681" t="s">
        <v>6771</v>
      </c>
      <c r="D681" t="s">
        <v>54</v>
      </c>
      <c r="E681" t="s">
        <v>6772</v>
      </c>
      <c r="F681" t="s">
        <v>196</v>
      </c>
      <c r="G681" t="s">
        <v>6773</v>
      </c>
      <c r="H681" t="s">
        <v>8549</v>
      </c>
      <c r="I681" t="s">
        <v>24</v>
      </c>
      <c r="J681">
        <v>117</v>
      </c>
      <c r="K681">
        <v>855</v>
      </c>
      <c r="L681">
        <v>106</v>
      </c>
      <c r="M681">
        <f>COUNTIF(H681:$H$2581,H681)</f>
        <v>1</v>
      </c>
    </row>
    <row r="682" spans="1:13" x14ac:dyDescent="0.2">
      <c r="A682">
        <v>1664</v>
      </c>
      <c r="B682" t="s">
        <v>287</v>
      </c>
      <c r="C682" t="s">
        <v>6874</v>
      </c>
      <c r="D682" t="s">
        <v>13</v>
      </c>
      <c r="E682" t="s">
        <v>6875</v>
      </c>
      <c r="F682" t="s">
        <v>290</v>
      </c>
      <c r="G682" t="s">
        <v>6876</v>
      </c>
      <c r="H682" t="s">
        <v>8618</v>
      </c>
      <c r="I682" t="b">
        <v>0</v>
      </c>
      <c r="J682">
        <v>200</v>
      </c>
      <c r="K682">
        <v>1665</v>
      </c>
      <c r="L682">
        <v>125</v>
      </c>
      <c r="M682">
        <f>COUNTIF(H682:$H$2581,H682)</f>
        <v>1</v>
      </c>
    </row>
    <row r="683" spans="1:13" x14ac:dyDescent="0.2">
      <c r="A683">
        <v>1725</v>
      </c>
      <c r="B683" t="s">
        <v>725</v>
      </c>
      <c r="C683" t="s">
        <v>7085</v>
      </c>
      <c r="D683" t="s">
        <v>54</v>
      </c>
      <c r="E683" t="s">
        <v>7086</v>
      </c>
      <c r="F683" t="s">
        <v>728</v>
      </c>
      <c r="G683" t="s">
        <v>7087</v>
      </c>
      <c r="H683" t="s">
        <v>8628</v>
      </c>
      <c r="I683" t="b">
        <v>1</v>
      </c>
      <c r="J683">
        <v>205</v>
      </c>
      <c r="K683">
        <v>1726</v>
      </c>
      <c r="L683">
        <v>14</v>
      </c>
      <c r="M683">
        <f>COUNTIF(H683:$H$2581,H683)</f>
        <v>1</v>
      </c>
    </row>
    <row r="684" spans="1:13" x14ac:dyDescent="0.2">
      <c r="A684">
        <v>800</v>
      </c>
      <c r="B684" t="s">
        <v>116</v>
      </c>
      <c r="C684" t="s">
        <v>7364</v>
      </c>
      <c r="D684" t="s">
        <v>54</v>
      </c>
      <c r="E684" t="s">
        <v>7365</v>
      </c>
      <c r="F684" t="s">
        <v>119</v>
      </c>
      <c r="G684" t="s">
        <v>7366</v>
      </c>
      <c r="H684" t="s">
        <v>8641</v>
      </c>
      <c r="I684" t="s">
        <v>24</v>
      </c>
      <c r="J684">
        <v>112</v>
      </c>
      <c r="K684">
        <v>801</v>
      </c>
      <c r="L684">
        <v>250</v>
      </c>
      <c r="M684">
        <f>COUNTIF(H684:$H$2581,H684)</f>
        <v>1</v>
      </c>
    </row>
    <row r="685" spans="1:13" x14ac:dyDescent="0.2">
      <c r="A685">
        <v>71</v>
      </c>
      <c r="B685" t="s">
        <v>25</v>
      </c>
      <c r="C685" t="s">
        <v>7677</v>
      </c>
      <c r="D685" t="s">
        <v>54</v>
      </c>
      <c r="E685" t="s">
        <v>7678</v>
      </c>
      <c r="F685" t="s">
        <v>28</v>
      </c>
      <c r="G685" t="s">
        <v>7679</v>
      </c>
      <c r="H685" t="s">
        <v>8645</v>
      </c>
      <c r="I685" t="b">
        <v>1</v>
      </c>
      <c r="J685">
        <v>11</v>
      </c>
      <c r="K685">
        <v>72</v>
      </c>
      <c r="L685">
        <v>54</v>
      </c>
      <c r="M685">
        <f>COUNTIF(H685:$H$2581,H685)</f>
        <v>1</v>
      </c>
    </row>
    <row r="686" spans="1:13" x14ac:dyDescent="0.2">
      <c r="A686">
        <v>1825</v>
      </c>
      <c r="B686" t="s">
        <v>434</v>
      </c>
      <c r="C686" t="s">
        <v>7819</v>
      </c>
      <c r="D686" t="s">
        <v>54</v>
      </c>
      <c r="E686" t="s">
        <v>7820</v>
      </c>
      <c r="F686" t="s">
        <v>437</v>
      </c>
      <c r="G686" t="s">
        <v>7821</v>
      </c>
      <c r="H686" t="s">
        <v>8652</v>
      </c>
      <c r="I686" t="b">
        <v>0</v>
      </c>
      <c r="J686">
        <v>212</v>
      </c>
      <c r="K686">
        <v>1826</v>
      </c>
      <c r="L686">
        <v>27</v>
      </c>
      <c r="M686">
        <f>COUNTIF(H686:$H$2581,H686)</f>
        <v>1</v>
      </c>
    </row>
    <row r="687" spans="1:13" x14ac:dyDescent="0.2">
      <c r="A687">
        <v>407</v>
      </c>
      <c r="B687" t="s">
        <v>1244</v>
      </c>
      <c r="C687" t="s">
        <v>7903</v>
      </c>
      <c r="D687" t="s">
        <v>54</v>
      </c>
      <c r="E687" t="s">
        <v>7904</v>
      </c>
      <c r="F687" t="s">
        <v>1247</v>
      </c>
      <c r="G687" t="s">
        <v>7905</v>
      </c>
      <c r="H687" t="s">
        <v>8655</v>
      </c>
      <c r="I687" t="b">
        <v>0</v>
      </c>
      <c r="J687">
        <v>57</v>
      </c>
      <c r="K687">
        <v>408</v>
      </c>
      <c r="L687">
        <v>183</v>
      </c>
      <c r="M687">
        <f>COUNTIF(H687:$H$2581,H687)</f>
        <v>1</v>
      </c>
    </row>
    <row r="688" spans="1:13" x14ac:dyDescent="0.2">
      <c r="A688">
        <v>698</v>
      </c>
      <c r="B688" t="s">
        <v>1131</v>
      </c>
      <c r="C688" t="s">
        <v>8025</v>
      </c>
      <c r="D688" t="s">
        <v>33</v>
      </c>
      <c r="E688" t="s">
        <v>8026</v>
      </c>
      <c r="F688" s="1" t="s">
        <v>1134</v>
      </c>
      <c r="G688" t="s">
        <v>8027</v>
      </c>
      <c r="H688" t="s">
        <v>8659</v>
      </c>
      <c r="I688" t="b">
        <v>0</v>
      </c>
      <c r="J688">
        <v>102</v>
      </c>
      <c r="K688">
        <v>699</v>
      </c>
      <c r="L688">
        <v>128</v>
      </c>
      <c r="M688">
        <f>COUNTIF(H688:$H$2581,H688)</f>
        <v>1</v>
      </c>
    </row>
    <row r="689" spans="1:13" x14ac:dyDescent="0.2">
      <c r="A689">
        <v>1418</v>
      </c>
      <c r="B689" t="s">
        <v>1397</v>
      </c>
      <c r="C689" t="s">
        <v>8201</v>
      </c>
      <c r="D689" t="s">
        <v>13</v>
      </c>
      <c r="E689" t="s">
        <v>8202</v>
      </c>
      <c r="F689" t="s">
        <v>1400</v>
      </c>
      <c r="G689" t="s">
        <v>8203</v>
      </c>
      <c r="H689" t="s">
        <v>8663</v>
      </c>
      <c r="I689" t="b">
        <v>1</v>
      </c>
      <c r="J689">
        <v>169</v>
      </c>
      <c r="K689">
        <v>1419</v>
      </c>
      <c r="L689">
        <v>30</v>
      </c>
      <c r="M689">
        <f>COUNTIF(H689:$H$2581,H689)</f>
        <v>1</v>
      </c>
    </row>
    <row r="690" spans="1:13" x14ac:dyDescent="0.2">
      <c r="A690">
        <v>1071</v>
      </c>
      <c r="B690" t="s">
        <v>1884</v>
      </c>
      <c r="C690" t="s">
        <v>8573</v>
      </c>
      <c r="D690" t="s">
        <v>54</v>
      </c>
      <c r="E690" t="s">
        <v>8574</v>
      </c>
      <c r="F690" t="s">
        <v>1887</v>
      </c>
      <c r="G690" t="s">
        <v>8575</v>
      </c>
      <c r="H690" t="s">
        <v>8667</v>
      </c>
      <c r="I690" t="s">
        <v>24</v>
      </c>
      <c r="J690">
        <v>131</v>
      </c>
      <c r="K690">
        <v>1072</v>
      </c>
      <c r="L690">
        <v>56</v>
      </c>
      <c r="M690">
        <f>COUNTIF(H690:$H$2581,H690)</f>
        <v>1</v>
      </c>
    </row>
    <row r="691" spans="1:13" x14ac:dyDescent="0.2">
      <c r="A691">
        <v>1856</v>
      </c>
      <c r="B691" t="s">
        <v>631</v>
      </c>
      <c r="C691" t="s">
        <v>8768</v>
      </c>
      <c r="D691" t="s">
        <v>13</v>
      </c>
      <c r="E691" t="s">
        <v>8769</v>
      </c>
      <c r="F691" t="s">
        <v>634</v>
      </c>
      <c r="G691" t="s">
        <v>8770</v>
      </c>
      <c r="H691" t="s">
        <v>8671</v>
      </c>
      <c r="I691" t="s">
        <v>24</v>
      </c>
      <c r="J691">
        <v>215</v>
      </c>
      <c r="K691">
        <v>1857</v>
      </c>
      <c r="L691">
        <v>31</v>
      </c>
      <c r="M691">
        <f>COUNTIF(H691:$H$2581,H691)</f>
        <v>1</v>
      </c>
    </row>
    <row r="692" spans="1:13" x14ac:dyDescent="0.2">
      <c r="A692">
        <v>206</v>
      </c>
      <c r="B692" t="s">
        <v>88</v>
      </c>
      <c r="C692" t="s">
        <v>89</v>
      </c>
      <c r="D692" t="s">
        <v>54</v>
      </c>
      <c r="E692" t="s">
        <v>90</v>
      </c>
      <c r="F692" t="s">
        <v>91</v>
      </c>
      <c r="G692" t="s">
        <v>92</v>
      </c>
      <c r="H692" t="s">
        <v>8681</v>
      </c>
      <c r="I692" t="s">
        <v>24</v>
      </c>
      <c r="J692">
        <v>37</v>
      </c>
      <c r="K692">
        <v>207</v>
      </c>
      <c r="L692">
        <v>45</v>
      </c>
      <c r="M692">
        <f>COUNTIF(H692:$H$2581,H692)</f>
        <v>1</v>
      </c>
    </row>
    <row r="693" spans="1:13" x14ac:dyDescent="0.2">
      <c r="A693">
        <v>197</v>
      </c>
      <c r="B693" t="s">
        <v>346</v>
      </c>
      <c r="C693" t="s">
        <v>347</v>
      </c>
      <c r="D693" t="s">
        <v>13</v>
      </c>
      <c r="E693" t="s">
        <v>348</v>
      </c>
      <c r="F693" t="s">
        <v>349</v>
      </c>
      <c r="G693" t="s">
        <v>350</v>
      </c>
      <c r="H693" t="s">
        <v>8688</v>
      </c>
      <c r="I693" t="b">
        <v>0</v>
      </c>
      <c r="J693">
        <v>36</v>
      </c>
      <c r="K693">
        <v>198</v>
      </c>
      <c r="L693">
        <v>1</v>
      </c>
      <c r="M693">
        <f>COUNTIF(H693:$H$2581,H693)</f>
        <v>1</v>
      </c>
    </row>
    <row r="694" spans="1:13" x14ac:dyDescent="0.2">
      <c r="A694">
        <v>1350</v>
      </c>
      <c r="B694" t="s">
        <v>571</v>
      </c>
      <c r="C694" t="s">
        <v>572</v>
      </c>
      <c r="D694" t="s">
        <v>13</v>
      </c>
      <c r="E694" t="s">
        <v>573</v>
      </c>
      <c r="F694" t="s">
        <v>574</v>
      </c>
      <c r="G694" t="s">
        <v>575</v>
      </c>
      <c r="H694" t="s">
        <v>8695</v>
      </c>
      <c r="I694" t="b">
        <v>0</v>
      </c>
      <c r="J694">
        <v>165</v>
      </c>
      <c r="K694">
        <v>1351</v>
      </c>
      <c r="L694">
        <v>46</v>
      </c>
      <c r="M694">
        <f>COUNTIF(H694:$H$2581,H694)</f>
        <v>1</v>
      </c>
    </row>
    <row r="695" spans="1:13" x14ac:dyDescent="0.2">
      <c r="A695">
        <v>1857</v>
      </c>
      <c r="B695" t="s">
        <v>1295</v>
      </c>
      <c r="C695" t="s">
        <v>1292</v>
      </c>
      <c r="D695" t="s">
        <v>54</v>
      </c>
      <c r="E695" t="s">
        <v>1296</v>
      </c>
      <c r="F695" t="s">
        <v>1297</v>
      </c>
      <c r="G695" t="s">
        <v>1294</v>
      </c>
      <c r="H695" t="s">
        <v>8699</v>
      </c>
      <c r="I695" t="s">
        <v>24</v>
      </c>
      <c r="J695">
        <v>216</v>
      </c>
      <c r="K695">
        <v>1858</v>
      </c>
      <c r="L695">
        <v>157</v>
      </c>
      <c r="M695">
        <f>COUNTIF(H695:$H$2581,H695)</f>
        <v>1</v>
      </c>
    </row>
    <row r="696" spans="1:13" x14ac:dyDescent="0.2">
      <c r="A696">
        <v>50</v>
      </c>
      <c r="B696" t="s">
        <v>1357</v>
      </c>
      <c r="C696" t="s">
        <v>1358</v>
      </c>
      <c r="D696" t="s">
        <v>54</v>
      </c>
      <c r="E696" t="s">
        <v>1359</v>
      </c>
      <c r="F696" t="s">
        <v>1360</v>
      </c>
      <c r="G696" t="s">
        <v>1361</v>
      </c>
      <c r="H696" t="s">
        <v>8703</v>
      </c>
      <c r="I696" t="b">
        <v>0</v>
      </c>
      <c r="J696">
        <v>8</v>
      </c>
      <c r="K696">
        <v>51</v>
      </c>
      <c r="L696">
        <v>37</v>
      </c>
      <c r="M696">
        <f>COUNTIF(H696:$H$2581,H696)</f>
        <v>1</v>
      </c>
    </row>
    <row r="697" spans="1:13" x14ac:dyDescent="0.2">
      <c r="A697">
        <v>1475</v>
      </c>
      <c r="B697" t="s">
        <v>1773</v>
      </c>
      <c r="C697" t="s">
        <v>1774</v>
      </c>
      <c r="D697" t="s">
        <v>33</v>
      </c>
      <c r="E697" t="s">
        <v>1775</v>
      </c>
      <c r="F697" t="s">
        <v>1776</v>
      </c>
      <c r="G697" t="s">
        <v>1777</v>
      </c>
      <c r="H697" t="s">
        <v>8707</v>
      </c>
      <c r="I697" t="b">
        <v>0</v>
      </c>
      <c r="J697">
        <v>180</v>
      </c>
      <c r="K697">
        <v>1476</v>
      </c>
      <c r="L697">
        <v>84</v>
      </c>
      <c r="M697">
        <f>COUNTIF(H697:$H$2581,H697)</f>
        <v>1</v>
      </c>
    </row>
    <row r="698" spans="1:13" x14ac:dyDescent="0.2">
      <c r="A698">
        <v>2040</v>
      </c>
      <c r="B698" t="s">
        <v>1313</v>
      </c>
      <c r="C698" t="s">
        <v>1962</v>
      </c>
      <c r="D698" t="s">
        <v>13</v>
      </c>
      <c r="E698" t="s">
        <v>1963</v>
      </c>
      <c r="F698" t="s">
        <v>1316</v>
      </c>
      <c r="G698" t="s">
        <v>1964</v>
      </c>
      <c r="H698" t="s">
        <v>8811</v>
      </c>
      <c r="I698" t="s">
        <v>24</v>
      </c>
      <c r="J698">
        <v>238</v>
      </c>
      <c r="K698">
        <v>2041</v>
      </c>
      <c r="L698">
        <v>10</v>
      </c>
      <c r="M698">
        <f>COUNTIF(H698:$H$2581,H698)</f>
        <v>1</v>
      </c>
    </row>
    <row r="699" spans="1:13" x14ac:dyDescent="0.2">
      <c r="A699">
        <v>467</v>
      </c>
      <c r="B699" t="s">
        <v>928</v>
      </c>
      <c r="C699" t="s">
        <v>2286</v>
      </c>
      <c r="D699" t="s">
        <v>33</v>
      </c>
      <c r="E699" t="s">
        <v>2287</v>
      </c>
      <c r="F699" t="s">
        <v>931</v>
      </c>
      <c r="G699" t="s">
        <v>2288</v>
      </c>
      <c r="H699" t="s">
        <v>8841</v>
      </c>
      <c r="I699" t="b">
        <v>0</v>
      </c>
      <c r="J699">
        <v>67</v>
      </c>
      <c r="K699">
        <v>468</v>
      </c>
      <c r="L699">
        <v>120</v>
      </c>
      <c r="M699">
        <f>COUNTIF(H699:$H$2581,H699)</f>
        <v>1</v>
      </c>
    </row>
    <row r="700" spans="1:13" x14ac:dyDescent="0.2">
      <c r="A700">
        <v>1494</v>
      </c>
      <c r="B700" t="s">
        <v>807</v>
      </c>
      <c r="C700" t="s">
        <v>2378</v>
      </c>
      <c r="D700" t="s">
        <v>13</v>
      </c>
      <c r="E700" t="s">
        <v>2379</v>
      </c>
      <c r="F700" t="s">
        <v>810</v>
      </c>
      <c r="G700" t="s">
        <v>2380</v>
      </c>
      <c r="H700" t="s">
        <v>8845</v>
      </c>
      <c r="I700" t="b">
        <v>1</v>
      </c>
      <c r="J700">
        <v>182</v>
      </c>
      <c r="K700">
        <v>1495</v>
      </c>
      <c r="L700">
        <v>121</v>
      </c>
      <c r="M700">
        <f>COUNTIF(H700:$H$2581,H700)</f>
        <v>1</v>
      </c>
    </row>
    <row r="701" spans="1:13" x14ac:dyDescent="0.2">
      <c r="A701">
        <v>954</v>
      </c>
      <c r="B701" t="s">
        <v>203</v>
      </c>
      <c r="C701" t="s">
        <v>2818</v>
      </c>
      <c r="D701" t="s">
        <v>13</v>
      </c>
      <c r="E701" t="s">
        <v>2819</v>
      </c>
      <c r="F701" t="s">
        <v>206</v>
      </c>
      <c r="G701" t="s">
        <v>2820</v>
      </c>
      <c r="H701" t="s">
        <v>8849</v>
      </c>
      <c r="I701" t="b">
        <v>1</v>
      </c>
      <c r="J701">
        <v>123</v>
      </c>
      <c r="K701">
        <v>955</v>
      </c>
      <c r="L701">
        <v>17</v>
      </c>
      <c r="M701">
        <f>COUNTIF(H701:$H$2581,H701)</f>
        <v>1</v>
      </c>
    </row>
    <row r="702" spans="1:13" x14ac:dyDescent="0.2">
      <c r="A702">
        <v>1363</v>
      </c>
      <c r="B702" t="s">
        <v>603</v>
      </c>
      <c r="C702" t="s">
        <v>3281</v>
      </c>
      <c r="D702" t="s">
        <v>13</v>
      </c>
      <c r="E702" t="s">
        <v>3282</v>
      </c>
      <c r="F702" t="s">
        <v>606</v>
      </c>
      <c r="G702" t="s">
        <v>3283</v>
      </c>
      <c r="H702" t="s">
        <v>8853</v>
      </c>
      <c r="I702" t="s">
        <v>24</v>
      </c>
      <c r="J702">
        <v>166</v>
      </c>
      <c r="K702">
        <v>1364</v>
      </c>
      <c r="L702">
        <v>21</v>
      </c>
      <c r="M702">
        <f>COUNTIF(H702:$H$2581,H702)</f>
        <v>1</v>
      </c>
    </row>
    <row r="703" spans="1:13" x14ac:dyDescent="0.2">
      <c r="A703">
        <v>962</v>
      </c>
      <c r="B703" t="s">
        <v>203</v>
      </c>
      <c r="C703" t="s">
        <v>3427</v>
      </c>
      <c r="D703" t="s">
        <v>13</v>
      </c>
      <c r="E703" t="s">
        <v>3428</v>
      </c>
      <c r="F703" t="s">
        <v>206</v>
      </c>
      <c r="G703" t="s">
        <v>3429</v>
      </c>
      <c r="H703" t="s">
        <v>8857</v>
      </c>
      <c r="I703" t="b">
        <v>1</v>
      </c>
      <c r="J703">
        <v>123</v>
      </c>
      <c r="K703">
        <v>963</v>
      </c>
      <c r="L703">
        <v>240</v>
      </c>
      <c r="M703">
        <f>COUNTIF(H703:$H$2581,H703)</f>
        <v>1</v>
      </c>
    </row>
    <row r="704" spans="1:13" x14ac:dyDescent="0.2">
      <c r="A704">
        <v>1766</v>
      </c>
      <c r="B704" t="s">
        <v>216</v>
      </c>
      <c r="C704" t="s">
        <v>3604</v>
      </c>
      <c r="D704" t="s">
        <v>13</v>
      </c>
      <c r="E704" t="s">
        <v>3605</v>
      </c>
      <c r="F704" t="s">
        <v>219</v>
      </c>
      <c r="G704" t="s">
        <v>3606</v>
      </c>
      <c r="H704" t="s">
        <v>8861</v>
      </c>
      <c r="I704" t="b">
        <v>1</v>
      </c>
      <c r="J704">
        <v>209</v>
      </c>
      <c r="K704">
        <v>1767</v>
      </c>
      <c r="L704">
        <v>39</v>
      </c>
      <c r="M704">
        <f>COUNTIF(H704:$H$2581,H704)</f>
        <v>1</v>
      </c>
    </row>
    <row r="705" spans="1:13" x14ac:dyDescent="0.2">
      <c r="A705">
        <v>1497</v>
      </c>
      <c r="B705" t="s">
        <v>807</v>
      </c>
      <c r="C705" t="s">
        <v>3744</v>
      </c>
      <c r="D705" t="s">
        <v>13</v>
      </c>
      <c r="E705" t="s">
        <v>3745</v>
      </c>
      <c r="F705" t="s">
        <v>810</v>
      </c>
      <c r="G705" t="s">
        <v>3746</v>
      </c>
      <c r="H705" t="s">
        <v>8868</v>
      </c>
      <c r="I705" t="b">
        <v>1</v>
      </c>
      <c r="J705">
        <v>182</v>
      </c>
      <c r="K705">
        <v>1498</v>
      </c>
      <c r="L705">
        <v>22</v>
      </c>
      <c r="M705">
        <f>COUNTIF(H705:$H$2581,H705)</f>
        <v>1</v>
      </c>
    </row>
    <row r="706" spans="1:13" x14ac:dyDescent="0.2">
      <c r="A706">
        <v>1254</v>
      </c>
      <c r="B706" t="s">
        <v>3822</v>
      </c>
      <c r="C706" t="s">
        <v>3823</v>
      </c>
      <c r="D706" t="s">
        <v>13</v>
      </c>
      <c r="E706" t="s">
        <v>3824</v>
      </c>
      <c r="F706" t="s">
        <v>3825</v>
      </c>
      <c r="G706" t="s">
        <v>3826</v>
      </c>
      <c r="H706" t="s">
        <v>8872</v>
      </c>
      <c r="I706" t="s">
        <v>24</v>
      </c>
      <c r="J706">
        <v>155</v>
      </c>
      <c r="K706">
        <v>1255</v>
      </c>
      <c r="L706">
        <v>270</v>
      </c>
      <c r="M706">
        <f>COUNTIF(H706:$H$2581,H706)</f>
        <v>1</v>
      </c>
    </row>
    <row r="707" spans="1:13" x14ac:dyDescent="0.2">
      <c r="A707">
        <v>54</v>
      </c>
      <c r="B707" t="s">
        <v>1357</v>
      </c>
      <c r="C707" t="s">
        <v>3948</v>
      </c>
      <c r="D707" t="s">
        <v>54</v>
      </c>
      <c r="E707" t="s">
        <v>3949</v>
      </c>
      <c r="F707" t="s">
        <v>1360</v>
      </c>
      <c r="G707" t="s">
        <v>3950</v>
      </c>
      <c r="H707" t="s">
        <v>8876</v>
      </c>
      <c r="I707" t="b">
        <v>0</v>
      </c>
      <c r="J707">
        <v>8</v>
      </c>
      <c r="K707">
        <v>55</v>
      </c>
      <c r="L707">
        <v>40</v>
      </c>
      <c r="M707">
        <f>COUNTIF(H707:$H$2581,H707)</f>
        <v>1</v>
      </c>
    </row>
    <row r="708" spans="1:13" x14ac:dyDescent="0.2">
      <c r="A708">
        <v>1366</v>
      </c>
      <c r="B708" t="s">
        <v>603</v>
      </c>
      <c r="C708" t="s">
        <v>4034</v>
      </c>
      <c r="D708" t="s">
        <v>13</v>
      </c>
      <c r="E708" t="s">
        <v>4035</v>
      </c>
      <c r="F708" t="s">
        <v>606</v>
      </c>
      <c r="G708" t="s">
        <v>4036</v>
      </c>
      <c r="H708" t="s">
        <v>8880</v>
      </c>
      <c r="I708" t="s">
        <v>24</v>
      </c>
      <c r="J708">
        <v>166</v>
      </c>
      <c r="K708">
        <v>1367</v>
      </c>
      <c r="L708">
        <v>23</v>
      </c>
      <c r="M708">
        <f>COUNTIF(H708:$H$2581,H708)</f>
        <v>1</v>
      </c>
    </row>
    <row r="709" spans="1:13" x14ac:dyDescent="0.2">
      <c r="A709">
        <v>210</v>
      </c>
      <c r="B709" t="s">
        <v>88</v>
      </c>
      <c r="C709" t="s">
        <v>4182</v>
      </c>
      <c r="D709" t="s">
        <v>13</v>
      </c>
      <c r="E709" t="s">
        <v>4183</v>
      </c>
      <c r="F709" t="s">
        <v>91</v>
      </c>
      <c r="G709" t="s">
        <v>4184</v>
      </c>
      <c r="H709" t="s">
        <v>8884</v>
      </c>
      <c r="I709" t="s">
        <v>24</v>
      </c>
      <c r="J709">
        <v>37</v>
      </c>
      <c r="K709">
        <v>211</v>
      </c>
      <c r="L709">
        <v>64</v>
      </c>
      <c r="M709">
        <f>COUNTIF(H709:$H$2581,H709)</f>
        <v>1</v>
      </c>
    </row>
    <row r="710" spans="1:13" x14ac:dyDescent="0.2">
      <c r="A710">
        <v>2287</v>
      </c>
      <c r="B710" t="s">
        <v>1070</v>
      </c>
      <c r="C710" t="s">
        <v>4596</v>
      </c>
      <c r="D710" t="s">
        <v>13</v>
      </c>
      <c r="E710" t="s">
        <v>4597</v>
      </c>
      <c r="F710" t="s">
        <v>1073</v>
      </c>
      <c r="G710" t="s">
        <v>4598</v>
      </c>
      <c r="H710" t="s">
        <v>8888</v>
      </c>
      <c r="I710" t="b">
        <v>1</v>
      </c>
      <c r="J710">
        <v>268</v>
      </c>
      <c r="K710">
        <v>2288</v>
      </c>
      <c r="L710">
        <v>4</v>
      </c>
      <c r="M710">
        <f>COUNTIF(H710:$H$2581,H710)</f>
        <v>1</v>
      </c>
    </row>
    <row r="711" spans="1:13" x14ac:dyDescent="0.2">
      <c r="A711">
        <v>248</v>
      </c>
      <c r="B711" t="s">
        <v>1849</v>
      </c>
      <c r="C711" t="s">
        <v>4657</v>
      </c>
      <c r="D711" t="s">
        <v>13</v>
      </c>
      <c r="E711" t="s">
        <v>4658</v>
      </c>
      <c r="F711" t="s">
        <v>1852</v>
      </c>
      <c r="G711" t="s">
        <v>4659</v>
      </c>
      <c r="H711" t="s">
        <v>8898</v>
      </c>
      <c r="I711" t="b">
        <v>0</v>
      </c>
      <c r="J711">
        <v>41</v>
      </c>
      <c r="K711">
        <v>249</v>
      </c>
      <c r="L711">
        <v>33</v>
      </c>
      <c r="M711">
        <f>COUNTIF(H711:$H$2581,H711)</f>
        <v>1</v>
      </c>
    </row>
    <row r="712" spans="1:13" x14ac:dyDescent="0.2">
      <c r="A712">
        <v>660</v>
      </c>
      <c r="B712" t="s">
        <v>2346</v>
      </c>
      <c r="C712" t="s">
        <v>4887</v>
      </c>
      <c r="D712" t="s">
        <v>13</v>
      </c>
      <c r="E712" t="s">
        <v>4888</v>
      </c>
      <c r="F712" t="s">
        <v>2349</v>
      </c>
      <c r="G712" t="s">
        <v>4889</v>
      </c>
      <c r="H712" t="s">
        <v>8901</v>
      </c>
      <c r="I712" t="s">
        <v>24</v>
      </c>
      <c r="J712">
        <v>97</v>
      </c>
      <c r="K712">
        <v>661</v>
      </c>
      <c r="L712">
        <v>34</v>
      </c>
      <c r="M712">
        <f>COUNTIF(H712:$H$2581,H712)</f>
        <v>1</v>
      </c>
    </row>
    <row r="713" spans="1:13" x14ac:dyDescent="0.2">
      <c r="A713">
        <v>1225</v>
      </c>
      <c r="B713" t="s">
        <v>4996</v>
      </c>
      <c r="C713" t="s">
        <v>4997</v>
      </c>
      <c r="D713" t="s">
        <v>33</v>
      </c>
      <c r="E713" t="s">
        <v>4998</v>
      </c>
      <c r="F713" t="s">
        <v>4999</v>
      </c>
      <c r="G713" t="s">
        <v>5000</v>
      </c>
      <c r="H713" t="s">
        <v>8905</v>
      </c>
      <c r="I713" t="b">
        <v>0</v>
      </c>
      <c r="J713">
        <v>151</v>
      </c>
      <c r="K713">
        <v>1226</v>
      </c>
      <c r="L713">
        <v>123</v>
      </c>
      <c r="M713">
        <f>COUNTIF(H713:$H$2581,H713)</f>
        <v>1</v>
      </c>
    </row>
    <row r="714" spans="1:13" x14ac:dyDescent="0.2">
      <c r="A714">
        <v>753</v>
      </c>
      <c r="B714" t="s">
        <v>1868</v>
      </c>
      <c r="C714" t="s">
        <v>5261</v>
      </c>
      <c r="D714" t="s">
        <v>13</v>
      </c>
      <c r="E714" t="s">
        <v>5262</v>
      </c>
      <c r="F714" t="s">
        <v>1871</v>
      </c>
      <c r="G714" t="s">
        <v>5263</v>
      </c>
      <c r="H714" t="s">
        <v>8909</v>
      </c>
      <c r="I714" t="s">
        <v>24</v>
      </c>
      <c r="J714">
        <v>107</v>
      </c>
      <c r="K714">
        <v>754</v>
      </c>
      <c r="L714">
        <v>35</v>
      </c>
      <c r="M714">
        <f>COUNTIF(H714:$H$2581,H714)</f>
        <v>1</v>
      </c>
    </row>
    <row r="715" spans="1:13" x14ac:dyDescent="0.2">
      <c r="A715">
        <v>1749</v>
      </c>
      <c r="B715" t="s">
        <v>1403</v>
      </c>
      <c r="C715" t="s">
        <v>5385</v>
      </c>
      <c r="D715" t="s">
        <v>13</v>
      </c>
      <c r="E715" t="s">
        <v>5386</v>
      </c>
      <c r="F715" t="s">
        <v>1406</v>
      </c>
      <c r="G715" t="s">
        <v>5387</v>
      </c>
      <c r="H715" t="s">
        <v>8919</v>
      </c>
      <c r="I715" t="b">
        <v>1</v>
      </c>
      <c r="J715">
        <v>207</v>
      </c>
      <c r="K715">
        <v>1750</v>
      </c>
      <c r="L715">
        <v>24</v>
      </c>
      <c r="M715">
        <f>COUNTIF(H715:$H$2581,H715)</f>
        <v>1</v>
      </c>
    </row>
    <row r="716" spans="1:13" x14ac:dyDescent="0.2">
      <c r="A716">
        <v>15</v>
      </c>
      <c r="B716" t="s">
        <v>1840</v>
      </c>
      <c r="C716" t="s">
        <v>5432</v>
      </c>
      <c r="D716" t="s">
        <v>54</v>
      </c>
      <c r="E716" t="s">
        <v>5433</v>
      </c>
      <c r="F716" t="s">
        <v>1843</v>
      </c>
      <c r="G716" t="s">
        <v>5434</v>
      </c>
      <c r="H716" t="s">
        <v>8922</v>
      </c>
      <c r="I716" t="s">
        <v>24</v>
      </c>
      <c r="J716">
        <v>4</v>
      </c>
      <c r="K716">
        <v>16</v>
      </c>
      <c r="L716">
        <v>12</v>
      </c>
      <c r="M716">
        <f>COUNTIF(H716:$H$2581,H716)</f>
        <v>1</v>
      </c>
    </row>
    <row r="717" spans="1:13" x14ac:dyDescent="0.2">
      <c r="A717">
        <v>1170</v>
      </c>
      <c r="B717" t="s">
        <v>429</v>
      </c>
      <c r="C717" t="s">
        <v>5521</v>
      </c>
      <c r="D717" t="s">
        <v>33</v>
      </c>
      <c r="E717" t="s">
        <v>5522</v>
      </c>
      <c r="F717" t="s">
        <v>432</v>
      </c>
      <c r="G717" t="s">
        <v>5523</v>
      </c>
      <c r="H717" t="s">
        <v>8926</v>
      </c>
      <c r="I717" t="b">
        <v>0</v>
      </c>
      <c r="J717">
        <v>143</v>
      </c>
      <c r="K717">
        <v>1171</v>
      </c>
      <c r="L717">
        <v>13</v>
      </c>
      <c r="M717">
        <f>COUNTIF(H717:$H$2581,H717)</f>
        <v>1</v>
      </c>
    </row>
    <row r="718" spans="1:13" x14ac:dyDescent="0.2">
      <c r="A718">
        <v>1227</v>
      </c>
      <c r="B718" t="s">
        <v>4996</v>
      </c>
      <c r="C718" t="s">
        <v>5606</v>
      </c>
      <c r="D718" t="s">
        <v>54</v>
      </c>
      <c r="E718" t="s">
        <v>5607</v>
      </c>
      <c r="F718" t="s">
        <v>4999</v>
      </c>
      <c r="G718" t="s">
        <v>5608</v>
      </c>
      <c r="H718" t="s">
        <v>8934</v>
      </c>
      <c r="I718" t="b">
        <v>0</v>
      </c>
      <c r="J718">
        <v>151</v>
      </c>
      <c r="K718">
        <v>1228</v>
      </c>
      <c r="L718">
        <v>50</v>
      </c>
      <c r="M718">
        <f>COUNTIF(H718:$H$2581,H718)</f>
        <v>1</v>
      </c>
    </row>
    <row r="719" spans="1:13" x14ac:dyDescent="0.2">
      <c r="A719">
        <v>1799</v>
      </c>
      <c r="B719" t="s">
        <v>1287</v>
      </c>
      <c r="C719" t="s">
        <v>5790</v>
      </c>
      <c r="D719" t="s">
        <v>13</v>
      </c>
      <c r="E719" t="s">
        <v>5791</v>
      </c>
      <c r="F719" t="s">
        <v>1290</v>
      </c>
      <c r="G719" t="s">
        <v>5792</v>
      </c>
      <c r="H719" t="s">
        <v>8938</v>
      </c>
      <c r="I719" t="s">
        <v>24</v>
      </c>
      <c r="J719">
        <v>210</v>
      </c>
      <c r="K719">
        <v>1800</v>
      </c>
      <c r="L719">
        <v>25</v>
      </c>
      <c r="M719">
        <f>COUNTIF(H719:$H$2581,H719)</f>
        <v>1</v>
      </c>
    </row>
    <row r="720" spans="1:13" x14ac:dyDescent="0.2">
      <c r="A720">
        <v>1840</v>
      </c>
      <c r="B720" t="s">
        <v>1198</v>
      </c>
      <c r="C720" t="s">
        <v>5949</v>
      </c>
      <c r="D720" t="s">
        <v>54</v>
      </c>
      <c r="E720" t="s">
        <v>5950</v>
      </c>
      <c r="F720" t="s">
        <v>1201</v>
      </c>
      <c r="G720" t="s">
        <v>5951</v>
      </c>
      <c r="H720" t="s">
        <v>8942</v>
      </c>
      <c r="I720" t="s">
        <v>24</v>
      </c>
      <c r="J720">
        <v>214</v>
      </c>
      <c r="K720">
        <v>1841</v>
      </c>
      <c r="L720">
        <v>124</v>
      </c>
      <c r="M720">
        <f>COUNTIF(H720:$H$2581,H720)</f>
        <v>1</v>
      </c>
    </row>
    <row r="721" spans="1:13" x14ac:dyDescent="0.2">
      <c r="A721">
        <v>785</v>
      </c>
      <c r="B721" t="s">
        <v>373</v>
      </c>
      <c r="C721" t="s">
        <v>6297</v>
      </c>
      <c r="D721" t="s">
        <v>54</v>
      </c>
      <c r="E721" t="s">
        <v>6298</v>
      </c>
      <c r="F721" s="1" t="s">
        <v>376</v>
      </c>
      <c r="G721" t="s">
        <v>6299</v>
      </c>
      <c r="H721" t="s">
        <v>8946</v>
      </c>
      <c r="I721" t="s">
        <v>24</v>
      </c>
      <c r="J721">
        <v>111</v>
      </c>
      <c r="K721">
        <v>786</v>
      </c>
      <c r="L721">
        <v>9</v>
      </c>
      <c r="M721">
        <f>COUNTIF(H721:$H$2581,H721)</f>
        <v>1</v>
      </c>
    </row>
    <row r="722" spans="1:13" x14ac:dyDescent="0.2">
      <c r="A722">
        <v>1171</v>
      </c>
      <c r="B722" t="s">
        <v>429</v>
      </c>
      <c r="C722" t="s">
        <v>6402</v>
      </c>
      <c r="D722" t="s">
        <v>33</v>
      </c>
      <c r="E722" t="s">
        <v>6403</v>
      </c>
      <c r="F722" t="s">
        <v>432</v>
      </c>
      <c r="G722" t="s">
        <v>6404</v>
      </c>
      <c r="H722" t="s">
        <v>8962</v>
      </c>
      <c r="I722" t="b">
        <v>0</v>
      </c>
      <c r="J722">
        <v>143</v>
      </c>
      <c r="K722">
        <v>1172</v>
      </c>
      <c r="L722">
        <v>161</v>
      </c>
      <c r="M722">
        <f>COUNTIF(H722:$H$2581,H722)</f>
        <v>1</v>
      </c>
    </row>
    <row r="723" spans="1:13" x14ac:dyDescent="0.2">
      <c r="A723">
        <v>1941</v>
      </c>
      <c r="B723" t="s">
        <v>439</v>
      </c>
      <c r="C723" t="s">
        <v>6630</v>
      </c>
      <c r="D723" t="s">
        <v>13</v>
      </c>
      <c r="E723" t="s">
        <v>6631</v>
      </c>
      <c r="F723" t="s">
        <v>442</v>
      </c>
      <c r="G723" t="s">
        <v>6632</v>
      </c>
      <c r="H723" t="s">
        <v>8966</v>
      </c>
      <c r="I723" t="b">
        <v>0</v>
      </c>
      <c r="J723">
        <v>224</v>
      </c>
      <c r="K723">
        <v>1942</v>
      </c>
      <c r="L723">
        <v>7</v>
      </c>
      <c r="M723">
        <f>COUNTIF(H723:$H$2581,H723)</f>
        <v>1</v>
      </c>
    </row>
    <row r="724" spans="1:13" x14ac:dyDescent="0.2">
      <c r="A724">
        <v>865</v>
      </c>
      <c r="B724" t="s">
        <v>1091</v>
      </c>
      <c r="C724" t="s">
        <v>6774</v>
      </c>
      <c r="D724" t="s">
        <v>54</v>
      </c>
      <c r="E724" t="s">
        <v>6775</v>
      </c>
      <c r="F724" t="s">
        <v>1094</v>
      </c>
      <c r="G724" t="s">
        <v>6776</v>
      </c>
      <c r="H724" t="s">
        <v>8976</v>
      </c>
      <c r="I724" t="b">
        <v>1</v>
      </c>
      <c r="J724">
        <v>118</v>
      </c>
      <c r="K724">
        <v>866</v>
      </c>
      <c r="L724">
        <v>106</v>
      </c>
      <c r="M724">
        <f>COUNTIF(H724:$H$2581,H724)</f>
        <v>1</v>
      </c>
    </row>
    <row r="725" spans="1:13" x14ac:dyDescent="0.2">
      <c r="A725">
        <v>1752</v>
      </c>
      <c r="B725" t="s">
        <v>1403</v>
      </c>
      <c r="C725" t="s">
        <v>6877</v>
      </c>
      <c r="D725" t="s">
        <v>13</v>
      </c>
      <c r="E725" t="s">
        <v>6878</v>
      </c>
      <c r="F725" t="s">
        <v>1406</v>
      </c>
      <c r="G725" t="s">
        <v>6879</v>
      </c>
      <c r="I725" t="b">
        <v>1</v>
      </c>
      <c r="J725">
        <v>207</v>
      </c>
      <c r="K725">
        <v>1753</v>
      </c>
      <c r="L725">
        <v>125</v>
      </c>
      <c r="M725">
        <f>COUNTIF(H725:$H$2581,H725)</f>
        <v>0</v>
      </c>
    </row>
    <row r="1515" spans="16:16" x14ac:dyDescent="0.2">
      <c r="P1515">
        <f>13+29+28</f>
        <v>70</v>
      </c>
    </row>
  </sheetData>
  <hyperlinks>
    <hyperlink ref="H450" r:id="rId1" xr:uid="{CB5F70BB-A96F-CC48-847A-0C0926E2748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10A02-08F4-A140-9C3C-28D623889DF1}">
  <dimension ref="A1:C29"/>
  <sheetViews>
    <sheetView workbookViewId="0">
      <selection activeCell="B32" sqref="B32"/>
    </sheetView>
  </sheetViews>
  <sheetFormatPr baseColWidth="10" defaultRowHeight="16" x14ac:dyDescent="0.2"/>
  <cols>
    <col min="1" max="1" width="34" customWidth="1"/>
    <col min="2" max="2" width="20.5" customWidth="1"/>
  </cols>
  <sheetData>
    <row r="1" spans="1:3" x14ac:dyDescent="0.2">
      <c r="A1" s="2" t="s">
        <v>9000</v>
      </c>
      <c r="B1" s="2" t="s">
        <v>8998</v>
      </c>
      <c r="C1" s="2" t="s">
        <v>9001</v>
      </c>
    </row>
    <row r="2" spans="1:3" x14ac:dyDescent="0.2">
      <c r="A2" t="s">
        <v>4234</v>
      </c>
      <c r="B2">
        <v>134</v>
      </c>
      <c r="C2">
        <v>1</v>
      </c>
    </row>
    <row r="3" spans="1:3" x14ac:dyDescent="0.2">
      <c r="A3" t="s">
        <v>6482</v>
      </c>
      <c r="B3">
        <v>63</v>
      </c>
      <c r="C3">
        <v>1</v>
      </c>
    </row>
    <row r="4" spans="1:3" x14ac:dyDescent="0.2">
      <c r="A4" t="s">
        <v>3484</v>
      </c>
      <c r="B4">
        <v>52</v>
      </c>
      <c r="C4">
        <v>1</v>
      </c>
    </row>
    <row r="5" spans="1:3" x14ac:dyDescent="0.2">
      <c r="A5" t="s">
        <v>30</v>
      </c>
      <c r="B5">
        <v>30</v>
      </c>
      <c r="C5">
        <v>1</v>
      </c>
    </row>
    <row r="6" spans="1:3" x14ac:dyDescent="0.2">
      <c r="A6" t="s">
        <v>302</v>
      </c>
      <c r="B6">
        <v>27</v>
      </c>
      <c r="C6">
        <v>0</v>
      </c>
    </row>
    <row r="7" spans="1:3" x14ac:dyDescent="0.2">
      <c r="A7" t="s">
        <v>1243</v>
      </c>
      <c r="B7">
        <v>27</v>
      </c>
      <c r="C7">
        <v>1</v>
      </c>
    </row>
    <row r="8" spans="1:3" x14ac:dyDescent="0.2">
      <c r="A8" t="s">
        <v>1734</v>
      </c>
      <c r="B8">
        <v>26</v>
      </c>
      <c r="C8">
        <v>0</v>
      </c>
    </row>
    <row r="9" spans="1:3" x14ac:dyDescent="0.2">
      <c r="A9" t="s">
        <v>1845</v>
      </c>
      <c r="B9">
        <v>46</v>
      </c>
      <c r="C9">
        <v>0</v>
      </c>
    </row>
    <row r="10" spans="1:3" x14ac:dyDescent="0.2">
      <c r="A10" t="s">
        <v>2330</v>
      </c>
      <c r="B10">
        <v>29</v>
      </c>
      <c r="C10">
        <v>0</v>
      </c>
    </row>
    <row r="11" spans="1:3" x14ac:dyDescent="0.2">
      <c r="A11" t="s">
        <v>3254</v>
      </c>
      <c r="B11">
        <v>22</v>
      </c>
      <c r="C11">
        <v>1</v>
      </c>
    </row>
    <row r="12" spans="1:3" x14ac:dyDescent="0.2">
      <c r="A12" t="s">
        <v>3484</v>
      </c>
      <c r="B12">
        <v>52</v>
      </c>
      <c r="C12">
        <v>1</v>
      </c>
    </row>
    <row r="13" spans="1:3" x14ac:dyDescent="0.2">
      <c r="A13" t="s">
        <v>3673</v>
      </c>
      <c r="B13">
        <v>37</v>
      </c>
      <c r="C13">
        <v>1</v>
      </c>
    </row>
    <row r="14" spans="1:3" x14ac:dyDescent="0.2">
      <c r="A14" t="s">
        <v>3812</v>
      </c>
      <c r="B14">
        <v>17</v>
      </c>
      <c r="C14">
        <v>1</v>
      </c>
    </row>
    <row r="15" spans="1:3" x14ac:dyDescent="0.2">
      <c r="A15" t="s">
        <v>4015</v>
      </c>
      <c r="B15">
        <v>20</v>
      </c>
      <c r="C15">
        <v>0</v>
      </c>
    </row>
    <row r="16" spans="1:3" x14ac:dyDescent="0.2">
      <c r="A16" t="s">
        <v>4163</v>
      </c>
      <c r="B16">
        <v>20</v>
      </c>
      <c r="C16">
        <v>1</v>
      </c>
    </row>
    <row r="17" spans="1:3" x14ac:dyDescent="0.2">
      <c r="A17" t="s">
        <v>4968</v>
      </c>
      <c r="B17">
        <v>23</v>
      </c>
      <c r="C17">
        <v>1</v>
      </c>
    </row>
    <row r="18" spans="1:3" x14ac:dyDescent="0.2">
      <c r="A18" t="s">
        <v>8999</v>
      </c>
      <c r="B18">
        <v>61</v>
      </c>
      <c r="C18">
        <v>0</v>
      </c>
    </row>
    <row r="19" spans="1:3" x14ac:dyDescent="0.2">
      <c r="A19" t="s">
        <v>5563</v>
      </c>
      <c r="B19">
        <v>70</v>
      </c>
      <c r="C19">
        <v>1</v>
      </c>
    </row>
    <row r="20" spans="1:3" x14ac:dyDescent="0.2">
      <c r="A20" t="s">
        <v>5681</v>
      </c>
      <c r="B20">
        <v>50</v>
      </c>
      <c r="C20">
        <v>0</v>
      </c>
    </row>
    <row r="21" spans="1:3" x14ac:dyDescent="0.2">
      <c r="A21" t="s">
        <v>5853</v>
      </c>
      <c r="B21">
        <v>46</v>
      </c>
      <c r="C21">
        <v>1</v>
      </c>
    </row>
    <row r="22" spans="1:3" x14ac:dyDescent="0.2">
      <c r="A22" t="s">
        <v>6248</v>
      </c>
      <c r="B22">
        <v>30</v>
      </c>
      <c r="C22">
        <v>1</v>
      </c>
    </row>
    <row r="23" spans="1:3" x14ac:dyDescent="0.2">
      <c r="A23" t="s">
        <v>6381</v>
      </c>
      <c r="B23">
        <v>20</v>
      </c>
      <c r="C23">
        <v>1</v>
      </c>
    </row>
    <row r="24" spans="1:3" x14ac:dyDescent="0.2">
      <c r="A24" t="s">
        <v>6482</v>
      </c>
      <c r="B24">
        <v>63</v>
      </c>
      <c r="C24">
        <v>1</v>
      </c>
    </row>
    <row r="25" spans="1:3" x14ac:dyDescent="0.2">
      <c r="A25" t="s">
        <v>6835</v>
      </c>
      <c r="B25">
        <v>28</v>
      </c>
      <c r="C25">
        <v>0</v>
      </c>
    </row>
    <row r="26" spans="1:3" x14ac:dyDescent="0.2">
      <c r="A26" t="s">
        <v>7021</v>
      </c>
      <c r="B26">
        <v>36</v>
      </c>
      <c r="C26">
        <v>1</v>
      </c>
    </row>
    <row r="27" spans="1:3" x14ac:dyDescent="0.2">
      <c r="A27" t="s">
        <v>8140</v>
      </c>
      <c r="B27">
        <v>35</v>
      </c>
      <c r="C27">
        <v>1</v>
      </c>
    </row>
    <row r="28" spans="1:3" x14ac:dyDescent="0.2">
      <c r="A28" t="s">
        <v>8707</v>
      </c>
      <c r="B28">
        <v>35</v>
      </c>
      <c r="C28">
        <v>1</v>
      </c>
    </row>
    <row r="29" spans="1:3" x14ac:dyDescent="0.2">
      <c r="B29">
        <f>SUM(B2:B28)</f>
        <v>1099</v>
      </c>
      <c r="C29">
        <f>SUMPRODUCT(B2:B28,C2:C28)</f>
        <v>812</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725"/>
  <sheetViews>
    <sheetView workbookViewId="0">
      <pane ySplit="1" topLeftCell="A2" activePane="bottomLeft" state="frozen"/>
      <selection pane="bottomLeft" activeCell="G27" sqref="G27"/>
    </sheetView>
  </sheetViews>
  <sheetFormatPr baseColWidth="10" defaultRowHeight="16" x14ac:dyDescent="0.2"/>
  <cols>
    <col min="1" max="2" width="32.5" customWidth="1"/>
    <col min="3" max="3" width="9.33203125" customWidth="1"/>
    <col min="4" max="4" width="8.33203125" customWidth="1"/>
    <col min="6" max="6" width="15.83203125" customWidth="1"/>
    <col min="7" max="7" width="12.6640625" customWidth="1"/>
  </cols>
  <sheetData>
    <row r="1" spans="1:9" x14ac:dyDescent="0.2">
      <c r="A1" s="2"/>
      <c r="C1" s="2"/>
      <c r="D1" s="2" t="s">
        <v>9002</v>
      </c>
      <c r="E1" s="2"/>
      <c r="F1" s="2"/>
      <c r="G1" s="2"/>
      <c r="H1" s="2"/>
      <c r="I1" s="2"/>
    </row>
    <row r="2" spans="1:9" x14ac:dyDescent="0.2">
      <c r="A2" t="s">
        <v>302</v>
      </c>
      <c r="B2">
        <f>COUNTIFS(all_data!$H$4:$H$2585,small_source!A5)</f>
        <v>134</v>
      </c>
      <c r="C2">
        <f>COUNTIF(B2:B724, "&gt;5")</f>
        <v>84</v>
      </c>
      <c r="D2" s="5">
        <f>C2/723</f>
        <v>0.11618257261410789</v>
      </c>
    </row>
    <row r="3" spans="1:9" x14ac:dyDescent="0.2">
      <c r="A3" t="s">
        <v>454</v>
      </c>
      <c r="B3">
        <f>COUNTIFS(all_data!$H$4:$H$2585,small_source!A8)</f>
        <v>63</v>
      </c>
    </row>
    <row r="4" spans="1:9" x14ac:dyDescent="0.2">
      <c r="A4" t="s">
        <v>3125</v>
      </c>
      <c r="B4">
        <f>COUNTIFS(all_data!$H$4:$H$2585,small_source!A38)</f>
        <v>52</v>
      </c>
    </row>
    <row r="5" spans="1:9" x14ac:dyDescent="0.2">
      <c r="A5" s="3" t="s">
        <v>4234</v>
      </c>
      <c r="B5">
        <f>COUNTIFS(all_data!$H$4:$H$2585,small_source!A26)</f>
        <v>50</v>
      </c>
    </row>
    <row r="6" spans="1:9" x14ac:dyDescent="0.2">
      <c r="A6" t="s">
        <v>4852</v>
      </c>
      <c r="B6">
        <f>COUNTIFS(all_data!$H$4:$H$2585,small_source!A11)</f>
        <v>46</v>
      </c>
    </row>
    <row r="7" spans="1:9" x14ac:dyDescent="0.2">
      <c r="A7" s="3" t="s">
        <v>6025</v>
      </c>
      <c r="B7">
        <f>COUNTIFS(all_data!$H$4:$H$2585,small_source!A123)</f>
        <v>46</v>
      </c>
    </row>
    <row r="8" spans="1:9" x14ac:dyDescent="0.2">
      <c r="A8" t="s">
        <v>6482</v>
      </c>
      <c r="B8">
        <f>COUNTIFS(all_data!$H$4:$H$2585,small_source!A27)</f>
        <v>45</v>
      </c>
    </row>
    <row r="9" spans="1:9" x14ac:dyDescent="0.2">
      <c r="A9" t="s">
        <v>6930</v>
      </c>
      <c r="B9">
        <f>COUNTIFS(all_data!$H$4:$H$2585,small_source!A24)</f>
        <v>41</v>
      </c>
    </row>
    <row r="10" spans="1:9" x14ac:dyDescent="0.2">
      <c r="A10" t="s">
        <v>6248</v>
      </c>
      <c r="B10">
        <f>COUNTIFS(all_data!$H$4:$H$2585,small_source!A23)</f>
        <v>37</v>
      </c>
    </row>
    <row r="11" spans="1:9" x14ac:dyDescent="0.2">
      <c r="A11" t="s">
        <v>1845</v>
      </c>
      <c r="B11">
        <f>COUNTIFS(all_data!$H$4:$H$2585,small_source!A15)</f>
        <v>36</v>
      </c>
    </row>
    <row r="12" spans="1:9" x14ac:dyDescent="0.2">
      <c r="A12" t="s">
        <v>5435</v>
      </c>
      <c r="B12">
        <f>COUNTIFS(all_data!$H$4:$H$2585,small_source!A30)</f>
        <v>35</v>
      </c>
    </row>
    <row r="13" spans="1:9" x14ac:dyDescent="0.2">
      <c r="A13" t="s">
        <v>5427</v>
      </c>
      <c r="B13">
        <f>COUNTIFS(all_data!$H$4:$H$2585,small_source!A31)</f>
        <v>35</v>
      </c>
    </row>
    <row r="14" spans="1:9" x14ac:dyDescent="0.2">
      <c r="A14" t="s">
        <v>5475</v>
      </c>
      <c r="B14">
        <f>COUNTIFS(all_data!$H$4:$H$2585,small_source!A10)</f>
        <v>30</v>
      </c>
    </row>
    <row r="15" spans="1:9" x14ac:dyDescent="0.2">
      <c r="A15" t="s">
        <v>7021</v>
      </c>
      <c r="B15">
        <f>COUNTIFS(all_data!$H$4:$H$2585,small_source!A14)</f>
        <v>29</v>
      </c>
    </row>
    <row r="16" spans="1:9" x14ac:dyDescent="0.2">
      <c r="A16" t="s">
        <v>2453</v>
      </c>
      <c r="B16">
        <f>COUNTIFS(all_data!$H$4:$H$2585,small_source!A42)</f>
        <v>29</v>
      </c>
    </row>
    <row r="17" spans="1:7" x14ac:dyDescent="0.2">
      <c r="A17" t="s">
        <v>3088</v>
      </c>
      <c r="B17">
        <f>COUNTIFS(all_data!$H$4:$H$2585,small_source!A124)</f>
        <v>29</v>
      </c>
    </row>
    <row r="18" spans="1:7" x14ac:dyDescent="0.2">
      <c r="A18" t="s">
        <v>2808</v>
      </c>
      <c r="B18">
        <f>COUNTIFS(all_data!$H$4:$H$2585,small_source!A48)</f>
        <v>28</v>
      </c>
    </row>
    <row r="19" spans="1:7" x14ac:dyDescent="0.2">
      <c r="A19" t="s">
        <v>2860</v>
      </c>
      <c r="B19">
        <f>COUNTIFS(all_data!$H$4:$H$2585,small_source!A125)</f>
        <v>28</v>
      </c>
    </row>
    <row r="20" spans="1:7" x14ac:dyDescent="0.2">
      <c r="A20" t="s">
        <v>3254</v>
      </c>
      <c r="B20">
        <f>COUNTIFS(all_data!$H$4:$H$2585,small_source!A2)</f>
        <v>27</v>
      </c>
    </row>
    <row r="21" spans="1:7" x14ac:dyDescent="0.2">
      <c r="A21" t="s">
        <v>3169</v>
      </c>
      <c r="B21">
        <f>COUNTIFS(all_data!$H$4:$H$2585,small_source!A126)</f>
        <v>27</v>
      </c>
    </row>
    <row r="22" spans="1:7" x14ac:dyDescent="0.2">
      <c r="A22" t="s">
        <v>3238</v>
      </c>
      <c r="B22">
        <f>COUNTIFS(all_data!$H$4:$H$2585,small_source!A83)</f>
        <v>26</v>
      </c>
    </row>
    <row r="23" spans="1:7" x14ac:dyDescent="0.2">
      <c r="A23" t="s">
        <v>3673</v>
      </c>
      <c r="B23">
        <f>COUNTIFS(all_data!$H$4:$H$2585,small_source!A127)</f>
        <v>23</v>
      </c>
    </row>
    <row r="24" spans="1:7" x14ac:dyDescent="0.2">
      <c r="A24" t="s">
        <v>5303</v>
      </c>
      <c r="B24">
        <f>COUNTIFS(all_data!$H$4:$H$2585,small_source!A20)</f>
        <v>22</v>
      </c>
    </row>
    <row r="25" spans="1:7" x14ac:dyDescent="0.2">
      <c r="A25" t="s">
        <v>4015</v>
      </c>
      <c r="B25">
        <f>COUNTIFS(all_data!$H$4:$H$2585,small_source!A56)</f>
        <v>22</v>
      </c>
    </row>
    <row r="26" spans="1:7" x14ac:dyDescent="0.2">
      <c r="A26" t="s">
        <v>5681</v>
      </c>
      <c r="B26">
        <f>COUNTIFS(all_data!$H$4:$H$2585,small_source!A25)</f>
        <v>20</v>
      </c>
      <c r="F26" t="s">
        <v>9003</v>
      </c>
    </row>
    <row r="27" spans="1:7" x14ac:dyDescent="0.2">
      <c r="A27" t="s">
        <v>7729</v>
      </c>
      <c r="B27">
        <f>COUNTIFS(all_data!$H$4:$H$2585,small_source!A35)</f>
        <v>20</v>
      </c>
      <c r="F27">
        <f>COUNTIF(all_data!D2:D2582,"observing")</f>
        <v>960</v>
      </c>
      <c r="G27" s="4">
        <f>F27/2581</f>
        <v>0.37194885703215808</v>
      </c>
    </row>
    <row r="28" spans="1:7" x14ac:dyDescent="0.2">
      <c r="A28" t="s">
        <v>7509</v>
      </c>
      <c r="B28">
        <f>COUNTIFS(all_data!$H$4:$H$2585,small_source!A60)</f>
        <v>20</v>
      </c>
    </row>
    <row r="29" spans="1:7" x14ac:dyDescent="0.2">
      <c r="A29" t="s">
        <v>7880</v>
      </c>
      <c r="B29">
        <f>COUNTIFS(all_data!$H$4:$H$2585,small_source!A104)</f>
        <v>20</v>
      </c>
    </row>
    <row r="30" spans="1:7" x14ac:dyDescent="0.2">
      <c r="A30" t="s">
        <v>8140</v>
      </c>
      <c r="B30">
        <f>COUNTIFS(all_data!$H$4:$H$2585,small_source!A18)</f>
        <v>17</v>
      </c>
    </row>
    <row r="31" spans="1:7" x14ac:dyDescent="0.2">
      <c r="A31" t="s">
        <v>8707</v>
      </c>
      <c r="B31">
        <f>COUNTIFS(all_data!$H$4:$H$2585,small_source!A36)</f>
        <v>17</v>
      </c>
    </row>
    <row r="32" spans="1:7" x14ac:dyDescent="0.2">
      <c r="A32" t="s">
        <v>4656</v>
      </c>
      <c r="B32">
        <f>COUNTIFS(all_data!$H$4:$H$2585,small_source!A43)</f>
        <v>17</v>
      </c>
    </row>
    <row r="33" spans="1:2" x14ac:dyDescent="0.2">
      <c r="A33" t="s">
        <v>8099</v>
      </c>
      <c r="B33">
        <f>COUNTIFS(all_data!$H$4:$H$2585,small_source!A105)</f>
        <v>17</v>
      </c>
    </row>
    <row r="34" spans="1:2" x14ac:dyDescent="0.2">
      <c r="A34" t="s">
        <v>2204</v>
      </c>
      <c r="B34">
        <f>COUNTIFS(all_data!$H$4:$H$2585,small_source!A128)</f>
        <v>17</v>
      </c>
    </row>
    <row r="35" spans="1:2" x14ac:dyDescent="0.2">
      <c r="A35" t="s">
        <v>5242</v>
      </c>
      <c r="B35">
        <f>COUNTIFS(all_data!$H$4:$H$2585,small_source!A227)</f>
        <v>17</v>
      </c>
    </row>
    <row r="36" spans="1:2" x14ac:dyDescent="0.2">
      <c r="A36" t="s">
        <v>4877</v>
      </c>
      <c r="B36">
        <f>COUNTIFS(all_data!$H$4:$H$2585,small_source!A228)</f>
        <v>16</v>
      </c>
    </row>
    <row r="37" spans="1:2" x14ac:dyDescent="0.2">
      <c r="A37" t="s">
        <v>7876</v>
      </c>
      <c r="B37">
        <f>COUNTIFS(all_data!$H$4:$H$2585,small_source!A229)</f>
        <v>15</v>
      </c>
    </row>
    <row r="38" spans="1:2" x14ac:dyDescent="0.2">
      <c r="A38" t="s">
        <v>3484</v>
      </c>
      <c r="B38">
        <f>COUNTIFS(all_data!$H$4:$H$2585,small_source!A32)</f>
        <v>14</v>
      </c>
    </row>
    <row r="39" spans="1:2" x14ac:dyDescent="0.2">
      <c r="A39" t="s">
        <v>1362</v>
      </c>
      <c r="B39">
        <f>COUNTIFS(all_data!$H$4:$H$2585,small_source!A52)</f>
        <v>14</v>
      </c>
    </row>
    <row r="40" spans="1:2" x14ac:dyDescent="0.2">
      <c r="A40" t="s">
        <v>3951</v>
      </c>
      <c r="B40">
        <f>COUNTIFS(all_data!$H$4:$H$2585,small_source!A129)</f>
        <v>14</v>
      </c>
    </row>
    <row r="41" spans="1:2" x14ac:dyDescent="0.2">
      <c r="A41" t="s">
        <v>2790</v>
      </c>
      <c r="B41">
        <f>COUNTIFS(all_data!$H$4:$H$2585,small_source!A168)</f>
        <v>14</v>
      </c>
    </row>
    <row r="42" spans="1:2" x14ac:dyDescent="0.2">
      <c r="A42" t="s">
        <v>30</v>
      </c>
      <c r="B42">
        <f>COUNTIFS(all_data!$H$4:$H$2585,small_source!A12)</f>
        <v>13</v>
      </c>
    </row>
    <row r="43" spans="1:2" x14ac:dyDescent="0.2">
      <c r="A43" t="s">
        <v>531</v>
      </c>
      <c r="B43">
        <f>COUNTIFS(all_data!$H$4:$H$2585,small_source!A39)</f>
        <v>13</v>
      </c>
    </row>
    <row r="44" spans="1:2" x14ac:dyDescent="0.2">
      <c r="A44" t="s">
        <v>8310</v>
      </c>
      <c r="B44">
        <f>COUNTIFS(all_data!$H$4:$H$2585,small_source!A40)</f>
        <v>13</v>
      </c>
    </row>
    <row r="45" spans="1:2" x14ac:dyDescent="0.2">
      <c r="A45" t="s">
        <v>4824</v>
      </c>
      <c r="B45">
        <f>COUNTIFS(all_data!$H$4:$H$2585,small_source!A44)</f>
        <v>13</v>
      </c>
    </row>
    <row r="46" spans="1:2" x14ac:dyDescent="0.2">
      <c r="A46" t="s">
        <v>2120</v>
      </c>
      <c r="B46">
        <f>COUNTIFS(all_data!$H$4:$H$2585,small_source!A230)</f>
        <v>13</v>
      </c>
    </row>
    <row r="47" spans="1:2" x14ac:dyDescent="0.2">
      <c r="A47" t="s">
        <v>4766</v>
      </c>
      <c r="B47">
        <f>COUNTIFS(all_data!$H$4:$H$2585,small_source!A231)</f>
        <v>13</v>
      </c>
    </row>
    <row r="48" spans="1:2" x14ac:dyDescent="0.2">
      <c r="A48" t="s">
        <v>5563</v>
      </c>
      <c r="B48">
        <f>COUNTIFS(all_data!$H$4:$H$2585,small_source!A28)</f>
        <v>12</v>
      </c>
    </row>
    <row r="49" spans="1:2" x14ac:dyDescent="0.2">
      <c r="A49" t="s">
        <v>2717</v>
      </c>
      <c r="B49">
        <f>COUNTIFS(all_data!$H$4:$H$2585,small_source!A33)</f>
        <v>12</v>
      </c>
    </row>
    <row r="50" spans="1:2" x14ac:dyDescent="0.2">
      <c r="A50" t="s">
        <v>4951</v>
      </c>
      <c r="B50">
        <f>COUNTIFS(all_data!$H$4:$H$2585,small_source!A76)</f>
        <v>12</v>
      </c>
    </row>
    <row r="51" spans="1:2" x14ac:dyDescent="0.2">
      <c r="A51" t="s">
        <v>5076</v>
      </c>
      <c r="B51">
        <f>COUNTIFS(all_data!$H$4:$H$2585,small_source!A169)</f>
        <v>12</v>
      </c>
    </row>
    <row r="52" spans="1:2" x14ac:dyDescent="0.2">
      <c r="A52" t="s">
        <v>7680</v>
      </c>
      <c r="B52">
        <f>COUNTIFS(all_data!$H$4:$H$2585,small_source!A53)</f>
        <v>11</v>
      </c>
    </row>
    <row r="53" spans="1:2" x14ac:dyDescent="0.2">
      <c r="A53" t="s">
        <v>7444</v>
      </c>
      <c r="B53">
        <f>COUNTIFS(all_data!$H$4:$H$2585,small_source!A106)</f>
        <v>11</v>
      </c>
    </row>
    <row r="54" spans="1:2" x14ac:dyDescent="0.2">
      <c r="A54" t="s">
        <v>6343</v>
      </c>
      <c r="B54">
        <f>COUNTIFS(all_data!$H$4:$H$2585,small_source!A107)</f>
        <v>11</v>
      </c>
    </row>
    <row r="55" spans="1:2" x14ac:dyDescent="0.2">
      <c r="A55" t="s">
        <v>6339</v>
      </c>
      <c r="B55">
        <f>COUNTIFS(all_data!$H$4:$H$2585,small_source!A108)</f>
        <v>11</v>
      </c>
    </row>
    <row r="56" spans="1:2" x14ac:dyDescent="0.2">
      <c r="A56" t="s">
        <v>8549</v>
      </c>
      <c r="B56">
        <f>COUNTIFS(all_data!$H$4:$H$2585,small_source!A130)</f>
        <v>10</v>
      </c>
    </row>
    <row r="57" spans="1:2" x14ac:dyDescent="0.2">
      <c r="A57" t="s">
        <v>5659</v>
      </c>
      <c r="B57">
        <f>COUNTIFS(all_data!$H$4:$H$2585,small_source!A232)</f>
        <v>10</v>
      </c>
    </row>
    <row r="58" spans="1:2" x14ac:dyDescent="0.2">
      <c r="A58" t="s">
        <v>2502</v>
      </c>
      <c r="B58">
        <f>COUNTIFS(all_data!$H$4:$H$2585,small_source!A233)</f>
        <v>10</v>
      </c>
    </row>
    <row r="59" spans="1:2" x14ac:dyDescent="0.2">
      <c r="A59" t="s">
        <v>1429</v>
      </c>
      <c r="B59">
        <f>COUNTIFS(all_data!$H$4:$H$2585,small_source!A234)</f>
        <v>10</v>
      </c>
    </row>
    <row r="60" spans="1:2" x14ac:dyDescent="0.2">
      <c r="A60" t="s">
        <v>4163</v>
      </c>
      <c r="B60">
        <f>COUNTIFS(all_data!$H$4:$H$2585,small_source!A421)</f>
        <v>10</v>
      </c>
    </row>
    <row r="61" spans="1:2" x14ac:dyDescent="0.2">
      <c r="A61" t="s">
        <v>8498</v>
      </c>
      <c r="B61">
        <f>COUNTIFS(all_data!$H$4:$H$2585,small_source!A16)</f>
        <v>9</v>
      </c>
    </row>
    <row r="62" spans="1:2" x14ac:dyDescent="0.2">
      <c r="A62" t="s">
        <v>1581</v>
      </c>
      <c r="B62">
        <f>COUNTIFS(all_data!$H$4:$H$2585,small_source!A170)</f>
        <v>9</v>
      </c>
    </row>
    <row r="63" spans="1:2" x14ac:dyDescent="0.2">
      <c r="A63" t="s">
        <v>3222</v>
      </c>
      <c r="B63">
        <f>COUNTIFS(all_data!$H$4:$H$2585,small_source!A171)</f>
        <v>9</v>
      </c>
    </row>
    <row r="64" spans="1:2" x14ac:dyDescent="0.2">
      <c r="A64" t="s">
        <v>3354</v>
      </c>
      <c r="B64">
        <f>COUNTIFS(all_data!$H$4:$H$2585,small_source!A6)</f>
        <v>8</v>
      </c>
    </row>
    <row r="65" spans="1:2" x14ac:dyDescent="0.2">
      <c r="A65" t="s">
        <v>2995</v>
      </c>
      <c r="B65">
        <f>COUNTIFS(all_data!$H$4:$H$2585,small_source!A61)</f>
        <v>8</v>
      </c>
    </row>
    <row r="66" spans="1:2" x14ac:dyDescent="0.2">
      <c r="A66" t="s">
        <v>3650</v>
      </c>
      <c r="B66">
        <f>COUNTIFS(all_data!$H$4:$H$2585,small_source!A84)</f>
        <v>8</v>
      </c>
    </row>
    <row r="67" spans="1:2" x14ac:dyDescent="0.2">
      <c r="A67" t="s">
        <v>3991</v>
      </c>
      <c r="B67">
        <f>COUNTIFS(all_data!$H$4:$H$2585,small_source!A132)</f>
        <v>8</v>
      </c>
    </row>
    <row r="68" spans="1:2" x14ac:dyDescent="0.2">
      <c r="A68" t="s">
        <v>1347</v>
      </c>
      <c r="B68">
        <f>COUNTIFS(all_data!$H$4:$H$2585,small_source!A45)</f>
        <v>7</v>
      </c>
    </row>
    <row r="69" spans="1:2" x14ac:dyDescent="0.2">
      <c r="A69" t="s">
        <v>3338</v>
      </c>
      <c r="B69">
        <f>COUNTIFS(all_data!$H$4:$H$2585,small_source!A67)</f>
        <v>7</v>
      </c>
    </row>
    <row r="70" spans="1:2" x14ac:dyDescent="0.2">
      <c r="A70" t="s">
        <v>1233</v>
      </c>
      <c r="B70">
        <f>COUNTIFS(all_data!$H$4:$H$2585,small_source!A109)</f>
        <v>7</v>
      </c>
    </row>
    <row r="71" spans="1:2" x14ac:dyDescent="0.2">
      <c r="A71" t="s">
        <v>2601</v>
      </c>
      <c r="B71">
        <f>COUNTIFS(all_data!$H$4:$H$2585,small_source!A110)</f>
        <v>7</v>
      </c>
    </row>
    <row r="72" spans="1:2" x14ac:dyDescent="0.2">
      <c r="A72" t="s">
        <v>6820</v>
      </c>
      <c r="B72">
        <f>COUNTIFS(all_data!$H$4:$H$2585,small_source!A131)</f>
        <v>7</v>
      </c>
    </row>
    <row r="73" spans="1:2" x14ac:dyDescent="0.2">
      <c r="A73" t="s">
        <v>6006</v>
      </c>
      <c r="B73">
        <f>COUNTIFS(all_data!$H$4:$H$2585,small_source!A235)</f>
        <v>7</v>
      </c>
    </row>
    <row r="74" spans="1:2" x14ac:dyDescent="0.2">
      <c r="A74" t="s">
        <v>1528</v>
      </c>
      <c r="B74">
        <f>COUNTIFS(all_data!$H$4:$H$2585,small_source!A236)</f>
        <v>7</v>
      </c>
    </row>
    <row r="75" spans="1:2" x14ac:dyDescent="0.2">
      <c r="A75" t="s">
        <v>3063</v>
      </c>
      <c r="B75">
        <f>COUNTIFS(all_data!$H$4:$H$2585,small_source!A237)</f>
        <v>7</v>
      </c>
    </row>
    <row r="76" spans="1:2" x14ac:dyDescent="0.2">
      <c r="A76" t="s">
        <v>2943</v>
      </c>
      <c r="B76">
        <f>COUNTIFS(all_data!$H$4:$H$2585,small_source!A29)</f>
        <v>6</v>
      </c>
    </row>
    <row r="77" spans="1:2" x14ac:dyDescent="0.2">
      <c r="A77" t="s">
        <v>2012</v>
      </c>
      <c r="B77">
        <f>COUNTIFS(all_data!$H$4:$H$2585,small_source!A64)</f>
        <v>6</v>
      </c>
    </row>
    <row r="78" spans="1:2" x14ac:dyDescent="0.2">
      <c r="A78" t="s">
        <v>1720</v>
      </c>
      <c r="B78">
        <f>COUNTIFS(all_data!$H$4:$H$2585,small_source!A85)</f>
        <v>6</v>
      </c>
    </row>
    <row r="79" spans="1:2" x14ac:dyDescent="0.2">
      <c r="A79" t="s">
        <v>6238</v>
      </c>
      <c r="B79">
        <f>COUNTIFS(all_data!$H$4:$H$2585,small_source!A111)</f>
        <v>6</v>
      </c>
    </row>
    <row r="80" spans="1:2" x14ac:dyDescent="0.2">
      <c r="A80" t="s">
        <v>5144</v>
      </c>
      <c r="B80">
        <f>COUNTIFS(all_data!$H$4:$H$2585,small_source!A133)</f>
        <v>6</v>
      </c>
    </row>
    <row r="81" spans="1:2" x14ac:dyDescent="0.2">
      <c r="A81" t="s">
        <v>3334</v>
      </c>
      <c r="B81">
        <f>COUNTIFS(all_data!$H$4:$H$2585,small_source!A135)</f>
        <v>6</v>
      </c>
    </row>
    <row r="82" spans="1:2" x14ac:dyDescent="0.2">
      <c r="A82" t="s">
        <v>653</v>
      </c>
      <c r="B82">
        <f>COUNTIFS(all_data!$H$4:$H$2585,small_source!A172)</f>
        <v>6</v>
      </c>
    </row>
    <row r="83" spans="1:2" x14ac:dyDescent="0.2">
      <c r="A83" t="s">
        <v>1734</v>
      </c>
      <c r="B83">
        <f>COUNTIFS(all_data!$H$4:$H$2585,small_source!A239)</f>
        <v>6</v>
      </c>
    </row>
    <row r="84" spans="1:2" x14ac:dyDescent="0.2">
      <c r="A84" t="s">
        <v>1608</v>
      </c>
      <c r="B84">
        <f>COUNTIFS(all_data!$H$4:$H$2585,small_source!A241)</f>
        <v>6</v>
      </c>
    </row>
    <row r="85" spans="1:2" x14ac:dyDescent="0.2">
      <c r="A85" t="s">
        <v>423</v>
      </c>
      <c r="B85">
        <f>COUNTIFS(all_data!$H$4:$H$2585,small_source!A422)</f>
        <v>6</v>
      </c>
    </row>
    <row r="86" spans="1:2" x14ac:dyDescent="0.2">
      <c r="A86" t="s">
        <v>2512</v>
      </c>
      <c r="B86">
        <f>COUNTIFS(all_data!$H$4:$H$2585,small_source!A19)</f>
        <v>5</v>
      </c>
    </row>
    <row r="87" spans="1:2" x14ac:dyDescent="0.2">
      <c r="A87" t="s">
        <v>4937</v>
      </c>
      <c r="B87">
        <f>COUNTIFS(all_data!$H$4:$H$2585,small_source!A21)</f>
        <v>5</v>
      </c>
    </row>
    <row r="88" spans="1:2" x14ac:dyDescent="0.2">
      <c r="A88" t="s">
        <v>3663</v>
      </c>
      <c r="B88">
        <f>COUNTIFS(all_data!$H$4:$H$2585,small_source!A41)</f>
        <v>5</v>
      </c>
    </row>
    <row r="89" spans="1:2" x14ac:dyDescent="0.2">
      <c r="A89" t="s">
        <v>2771</v>
      </c>
      <c r="B89">
        <f>COUNTIFS(all_data!$H$4:$H$2585,small_source!A46)</f>
        <v>5</v>
      </c>
    </row>
    <row r="90" spans="1:2" x14ac:dyDescent="0.2">
      <c r="A90" t="s">
        <v>7673</v>
      </c>
      <c r="B90">
        <f>COUNTIFS(all_data!$H$4:$H$2585,small_source!A77)</f>
        <v>5</v>
      </c>
    </row>
    <row r="91" spans="1:2" x14ac:dyDescent="0.2">
      <c r="A91" t="s">
        <v>7245</v>
      </c>
      <c r="B91">
        <f>COUNTIFS(all_data!$H$4:$H$2585,small_source!A86)</f>
        <v>5</v>
      </c>
    </row>
    <row r="92" spans="1:2" x14ac:dyDescent="0.2">
      <c r="A92" t="s">
        <v>1125</v>
      </c>
      <c r="B92">
        <f>COUNTIFS(all_data!$H$4:$H$2585,small_source!A112)</f>
        <v>5</v>
      </c>
    </row>
    <row r="93" spans="1:2" x14ac:dyDescent="0.2">
      <c r="A93" t="s">
        <v>5080</v>
      </c>
      <c r="B93">
        <f>COUNTIFS(all_data!$H$4:$H$2585,small_source!A113)</f>
        <v>5</v>
      </c>
    </row>
    <row r="94" spans="1:2" x14ac:dyDescent="0.2">
      <c r="A94" t="s">
        <v>2040</v>
      </c>
      <c r="B94">
        <f>COUNTIFS(all_data!$H$4:$H$2585,small_source!A134)</f>
        <v>5</v>
      </c>
    </row>
    <row r="95" spans="1:2" x14ac:dyDescent="0.2">
      <c r="A95" t="s">
        <v>2044</v>
      </c>
      <c r="B95">
        <f>COUNTIFS(all_data!$H$4:$H$2585,small_source!A136)</f>
        <v>5</v>
      </c>
    </row>
    <row r="96" spans="1:2" x14ac:dyDescent="0.2">
      <c r="A96" t="s">
        <v>4760</v>
      </c>
      <c r="B96">
        <f>COUNTIFS(all_data!$H$4:$H$2585,small_source!A173)</f>
        <v>5</v>
      </c>
    </row>
    <row r="97" spans="1:2" x14ac:dyDescent="0.2">
      <c r="A97" t="s">
        <v>6335</v>
      </c>
      <c r="B97">
        <f>COUNTIFS(all_data!$H$4:$H$2585,small_source!A174)</f>
        <v>5</v>
      </c>
    </row>
    <row r="98" spans="1:2" x14ac:dyDescent="0.2">
      <c r="A98" t="s">
        <v>7348</v>
      </c>
      <c r="B98">
        <f>COUNTIFS(all_data!$H$4:$H$2585,small_source!A175)</f>
        <v>5</v>
      </c>
    </row>
    <row r="99" spans="1:2" x14ac:dyDescent="0.2">
      <c r="A99" t="s">
        <v>4741</v>
      </c>
      <c r="B99">
        <f>COUNTIFS(all_data!$H$4:$H$2585,small_source!A238)</f>
        <v>5</v>
      </c>
    </row>
    <row r="100" spans="1:2" x14ac:dyDescent="0.2">
      <c r="A100" t="s">
        <v>762</v>
      </c>
      <c r="B100">
        <f>COUNTIFS(all_data!$H$4:$H$2585,small_source!A240)</f>
        <v>5</v>
      </c>
    </row>
    <row r="101" spans="1:2" x14ac:dyDescent="0.2">
      <c r="A101" t="s">
        <v>8905</v>
      </c>
      <c r="B101">
        <f>COUNTIFS(all_data!$H$4:$H$2585,small_source!A242)</f>
        <v>5</v>
      </c>
    </row>
    <row r="102" spans="1:2" x14ac:dyDescent="0.2">
      <c r="A102" t="s">
        <v>2110</v>
      </c>
      <c r="B102">
        <f>COUNTIFS(all_data!$H$4:$H$2585,small_source!A246)</f>
        <v>5</v>
      </c>
    </row>
    <row r="103" spans="1:2" x14ac:dyDescent="0.2">
      <c r="A103" t="s">
        <v>1165</v>
      </c>
      <c r="B103">
        <f>COUNTIFS(all_data!$H$4:$H$2585,small_source!A248)</f>
        <v>5</v>
      </c>
    </row>
    <row r="104" spans="1:2" x14ac:dyDescent="0.2">
      <c r="A104" t="s">
        <v>6381</v>
      </c>
      <c r="B104">
        <f>COUNTIFS(all_data!$H$4:$H$2585,small_source!A249)</f>
        <v>5</v>
      </c>
    </row>
    <row r="105" spans="1:2" x14ac:dyDescent="0.2">
      <c r="A105" t="s">
        <v>6764</v>
      </c>
      <c r="B105">
        <f>COUNTIFS(all_data!$H$4:$H$2585,small_source!A17)</f>
        <v>4</v>
      </c>
    </row>
    <row r="106" spans="1:2" x14ac:dyDescent="0.2">
      <c r="A106" t="s">
        <v>3870</v>
      </c>
      <c r="B106">
        <f>COUNTIFS(all_data!$H$4:$H$2585,small_source!A49)</f>
        <v>4</v>
      </c>
    </row>
    <row r="107" spans="1:2" x14ac:dyDescent="0.2">
      <c r="A107" t="s">
        <v>6979</v>
      </c>
      <c r="B107">
        <f>COUNTIFS(all_data!$H$4:$H$2585,small_source!A57)</f>
        <v>4</v>
      </c>
    </row>
    <row r="108" spans="1:2" x14ac:dyDescent="0.2">
      <c r="A108" t="s">
        <v>7550</v>
      </c>
      <c r="B108">
        <f>COUNTIFS(all_data!$H$4:$H$2585,small_source!A68)</f>
        <v>4</v>
      </c>
    </row>
    <row r="109" spans="1:2" x14ac:dyDescent="0.2">
      <c r="A109" t="s">
        <v>8527</v>
      </c>
      <c r="B109">
        <f>COUNTIFS(all_data!$H$4:$H$2585,small_source!A114)</f>
        <v>4</v>
      </c>
    </row>
    <row r="110" spans="1:2" x14ac:dyDescent="0.2">
      <c r="A110" t="s">
        <v>8469</v>
      </c>
      <c r="B110">
        <f>COUNTIFS(all_data!$H$4:$H$2585,small_source!A137)</f>
        <v>4</v>
      </c>
    </row>
    <row r="111" spans="1:2" x14ac:dyDescent="0.2">
      <c r="A111" t="s">
        <v>5151</v>
      </c>
      <c r="B111">
        <f>COUNTIFS(all_data!$H$4:$H$2585,small_source!A176)</f>
        <v>4</v>
      </c>
    </row>
    <row r="112" spans="1:2" x14ac:dyDescent="0.2">
      <c r="A112" t="s">
        <v>7252</v>
      </c>
      <c r="B112">
        <f>COUNTIFS(all_data!$H$4:$H$2585,small_source!A177)</f>
        <v>4</v>
      </c>
    </row>
    <row r="113" spans="1:2" x14ac:dyDescent="0.2">
      <c r="A113" t="s">
        <v>5226</v>
      </c>
      <c r="B113">
        <f>COUNTIFS(all_data!$H$4:$H$2585,small_source!A178)</f>
        <v>4</v>
      </c>
    </row>
    <row r="114" spans="1:2" x14ac:dyDescent="0.2">
      <c r="A114" t="s">
        <v>4111</v>
      </c>
      <c r="B114">
        <f>COUNTIFS(all_data!$H$4:$H$2585,small_source!A179)</f>
        <v>4</v>
      </c>
    </row>
    <row r="115" spans="1:2" x14ac:dyDescent="0.2">
      <c r="A115" t="s">
        <v>1508</v>
      </c>
      <c r="B115">
        <f>COUNTIFS(all_data!$H$4:$H$2585,small_source!A180)</f>
        <v>4</v>
      </c>
    </row>
    <row r="116" spans="1:2" x14ac:dyDescent="0.2">
      <c r="A116" t="s">
        <v>6201</v>
      </c>
      <c r="B116">
        <f>COUNTIFS(all_data!$H$4:$H$2585,small_source!A181)</f>
        <v>4</v>
      </c>
    </row>
    <row r="117" spans="1:2" x14ac:dyDescent="0.2">
      <c r="A117" t="s">
        <v>6084</v>
      </c>
      <c r="B117">
        <f>COUNTIFS(all_data!$H$4:$H$2585,small_source!A186)</f>
        <v>4</v>
      </c>
    </row>
    <row r="118" spans="1:2" x14ac:dyDescent="0.2">
      <c r="A118" t="s">
        <v>7546</v>
      </c>
      <c r="B118">
        <f>COUNTIFS(all_data!$H$4:$H$2585,small_source!A187)</f>
        <v>4</v>
      </c>
    </row>
    <row r="119" spans="1:2" x14ac:dyDescent="0.2">
      <c r="A119" t="s">
        <v>8659</v>
      </c>
      <c r="B119">
        <f>COUNTIFS(all_data!$H$4:$H$2585,small_source!A188)</f>
        <v>4</v>
      </c>
    </row>
    <row r="120" spans="1:2" x14ac:dyDescent="0.2">
      <c r="A120" t="s">
        <v>3234</v>
      </c>
      <c r="B120">
        <f>COUNTIFS(all_data!$H$4:$H$2585,small_source!A192)</f>
        <v>4</v>
      </c>
    </row>
    <row r="121" spans="1:2" x14ac:dyDescent="0.2">
      <c r="A121" t="s">
        <v>4752</v>
      </c>
      <c r="B121">
        <f>COUNTIFS(all_data!$H$4:$H$2585,small_source!A243)</f>
        <v>4</v>
      </c>
    </row>
    <row r="122" spans="1:2" x14ac:dyDescent="0.2">
      <c r="A122" t="s">
        <v>6226</v>
      </c>
      <c r="B122">
        <f>COUNTIFS(all_data!$H$4:$H$2585,small_source!A244)</f>
        <v>4</v>
      </c>
    </row>
    <row r="123" spans="1:2" x14ac:dyDescent="0.2">
      <c r="A123" t="s">
        <v>5853</v>
      </c>
      <c r="B123">
        <f>COUNTIFS(all_data!$H$4:$H$2585,small_source!A245)</f>
        <v>4</v>
      </c>
    </row>
    <row r="124" spans="1:2" x14ac:dyDescent="0.2">
      <c r="A124" t="s">
        <v>2330</v>
      </c>
      <c r="B124">
        <f>COUNTIFS(all_data!$H$4:$H$2585,small_source!A247)</f>
        <v>4</v>
      </c>
    </row>
    <row r="125" spans="1:2" x14ac:dyDescent="0.2">
      <c r="A125" t="s">
        <v>6835</v>
      </c>
      <c r="B125">
        <f>COUNTIFS(all_data!$H$4:$H$2585,small_source!A253)</f>
        <v>4</v>
      </c>
    </row>
    <row r="126" spans="1:2" x14ac:dyDescent="0.2">
      <c r="A126" t="s">
        <v>1243</v>
      </c>
      <c r="B126">
        <f>COUNTIFS(all_data!$H$4:$H$2585,small_source!A257)</f>
        <v>4</v>
      </c>
    </row>
    <row r="127" spans="1:2" x14ac:dyDescent="0.2">
      <c r="A127" t="s">
        <v>4968</v>
      </c>
      <c r="B127">
        <f>COUNTIFS(all_data!$H$4:$H$2585,small_source!A260)</f>
        <v>4</v>
      </c>
    </row>
    <row r="128" spans="1:2" x14ac:dyDescent="0.2">
      <c r="A128" t="s">
        <v>8018</v>
      </c>
      <c r="B128">
        <f>COUNTIFS(all_data!$H$4:$H$2585,small_source!A263)</f>
        <v>4</v>
      </c>
    </row>
    <row r="129" spans="1:2" x14ac:dyDescent="0.2">
      <c r="A129" t="s">
        <v>2285</v>
      </c>
      <c r="B129">
        <f>COUNTIFS(all_data!$H$4:$H$2585,small_source!A264)</f>
        <v>4</v>
      </c>
    </row>
    <row r="130" spans="1:2" x14ac:dyDescent="0.2">
      <c r="A130" t="s">
        <v>187</v>
      </c>
      <c r="B130">
        <f>COUNTIFS(all_data!$H$4:$H$2585,small_source!A424)</f>
        <v>4</v>
      </c>
    </row>
    <row r="131" spans="1:2" x14ac:dyDescent="0.2">
      <c r="A131" t="s">
        <v>8413</v>
      </c>
      <c r="B131">
        <f>COUNTIFS(all_data!$H$4:$H$2585,small_source!A425)</f>
        <v>4</v>
      </c>
    </row>
    <row r="132" spans="1:2" x14ac:dyDescent="0.2">
      <c r="A132" t="s">
        <v>880</v>
      </c>
      <c r="B132">
        <f>COUNTIFS(all_data!$H$4:$H$2585,small_source!A34)</f>
        <v>3</v>
      </c>
    </row>
    <row r="133" spans="1:2" x14ac:dyDescent="0.2">
      <c r="A133" t="s">
        <v>6708</v>
      </c>
      <c r="B133">
        <f>COUNTIFS(all_data!$H$4:$H$2585,small_source!A50)</f>
        <v>3</v>
      </c>
    </row>
    <row r="134" spans="1:2" x14ac:dyDescent="0.2">
      <c r="A134" t="s">
        <v>6941</v>
      </c>
      <c r="B134">
        <f>COUNTIFS(all_data!$H$4:$H$2585,small_source!A54)</f>
        <v>3</v>
      </c>
    </row>
    <row r="135" spans="1:2" x14ac:dyDescent="0.2">
      <c r="A135" t="s">
        <v>460</v>
      </c>
      <c r="B135">
        <f>COUNTIFS(all_data!$H$4:$H$2585,small_source!A58)</f>
        <v>3</v>
      </c>
    </row>
    <row r="136" spans="1:2" x14ac:dyDescent="0.2">
      <c r="A136" t="s">
        <v>8383</v>
      </c>
      <c r="B136">
        <f>COUNTIFS(all_data!$H$4:$H$2585,small_source!A69)</f>
        <v>3</v>
      </c>
    </row>
    <row r="137" spans="1:2" x14ac:dyDescent="0.2">
      <c r="A137" t="s">
        <v>3002</v>
      </c>
      <c r="B137">
        <f>COUNTIFS(all_data!$H$4:$H$2585,small_source!A70)</f>
        <v>3</v>
      </c>
    </row>
    <row r="138" spans="1:2" x14ac:dyDescent="0.2">
      <c r="A138" t="s">
        <v>5048</v>
      </c>
      <c r="B138">
        <f>COUNTIFS(all_data!$H$4:$H$2585,small_source!A78)</f>
        <v>3</v>
      </c>
    </row>
    <row r="139" spans="1:2" x14ac:dyDescent="0.2">
      <c r="A139" t="s">
        <v>8926</v>
      </c>
      <c r="B139">
        <f>COUNTIFS(all_data!$H$4:$H$2585,small_source!A79)</f>
        <v>3</v>
      </c>
    </row>
    <row r="140" spans="1:2" x14ac:dyDescent="0.2">
      <c r="A140" t="s">
        <v>7318</v>
      </c>
      <c r="B140">
        <f>COUNTIFS(all_data!$H$4:$H$2585,small_source!A87)</f>
        <v>3</v>
      </c>
    </row>
    <row r="141" spans="1:2" x14ac:dyDescent="0.2">
      <c r="A141" t="s">
        <v>2278</v>
      </c>
      <c r="B141">
        <f>COUNTIFS(all_data!$H$4:$H$2585,small_source!A88)</f>
        <v>3</v>
      </c>
    </row>
    <row r="142" spans="1:2" x14ac:dyDescent="0.2">
      <c r="A142" t="s">
        <v>8257</v>
      </c>
      <c r="B142">
        <f>COUNTIFS(all_data!$H$4:$H$2585,small_source!A92)</f>
        <v>3</v>
      </c>
    </row>
    <row r="143" spans="1:2" x14ac:dyDescent="0.2">
      <c r="A143" t="s">
        <v>8350</v>
      </c>
      <c r="B143">
        <f>COUNTIFS(all_data!$H$4:$H$2585,small_source!A115)</f>
        <v>3</v>
      </c>
    </row>
    <row r="144" spans="1:2" x14ac:dyDescent="0.2">
      <c r="A144" t="s">
        <v>3350</v>
      </c>
      <c r="B144">
        <f>COUNTIFS(all_data!$H$4:$H$2585,small_source!A138)</f>
        <v>3</v>
      </c>
    </row>
    <row r="145" spans="1:2" x14ac:dyDescent="0.2">
      <c r="A145" t="s">
        <v>789</v>
      </c>
      <c r="B145">
        <f>COUNTIFS(all_data!$H$4:$H$2585,small_source!A139)</f>
        <v>3</v>
      </c>
    </row>
    <row r="146" spans="1:2" x14ac:dyDescent="0.2">
      <c r="A146" t="s">
        <v>831</v>
      </c>
      <c r="B146">
        <f>COUNTIFS(all_data!$H$4:$H$2585,small_source!A140)</f>
        <v>3</v>
      </c>
    </row>
    <row r="147" spans="1:2" x14ac:dyDescent="0.2">
      <c r="A147" t="s">
        <v>953</v>
      </c>
      <c r="B147">
        <f>COUNTIFS(all_data!$H$4:$H$2585,small_source!A182)</f>
        <v>3</v>
      </c>
    </row>
    <row r="148" spans="1:2" x14ac:dyDescent="0.2">
      <c r="A148" t="s">
        <v>1604</v>
      </c>
      <c r="B148">
        <f>COUNTIFS(all_data!$H$4:$H$2585,small_source!A183)</f>
        <v>3</v>
      </c>
    </row>
    <row r="149" spans="1:2" x14ac:dyDescent="0.2">
      <c r="A149" t="s">
        <v>2077</v>
      </c>
      <c r="B149">
        <f>COUNTIFS(all_data!$H$4:$H$2585,small_source!A184)</f>
        <v>3</v>
      </c>
    </row>
    <row r="150" spans="1:2" x14ac:dyDescent="0.2">
      <c r="A150" t="s">
        <v>2642</v>
      </c>
      <c r="B150">
        <f>COUNTIFS(all_data!$H$4:$H$2585,small_source!A185)</f>
        <v>3</v>
      </c>
    </row>
    <row r="151" spans="1:2" x14ac:dyDescent="0.2">
      <c r="A151" t="s">
        <v>3377</v>
      </c>
      <c r="B151">
        <f>COUNTIFS(all_data!$H$4:$H$2585,small_source!A189)</f>
        <v>3</v>
      </c>
    </row>
    <row r="152" spans="1:2" x14ac:dyDescent="0.2">
      <c r="A152" t="s">
        <v>4080</v>
      </c>
      <c r="B152">
        <f>COUNTIFS(all_data!$H$4:$H$2585,small_source!A190)</f>
        <v>3</v>
      </c>
    </row>
    <row r="153" spans="1:2" x14ac:dyDescent="0.2">
      <c r="A153" t="s">
        <v>4713</v>
      </c>
      <c r="B153">
        <f>COUNTIFS(all_data!$H$4:$H$2585,small_source!A191)</f>
        <v>3</v>
      </c>
    </row>
    <row r="154" spans="1:2" x14ac:dyDescent="0.2">
      <c r="A154" t="s">
        <v>6137</v>
      </c>
      <c r="B154">
        <f>COUNTIFS(all_data!$H$4:$H$2585,small_source!A250)</f>
        <v>3</v>
      </c>
    </row>
    <row r="155" spans="1:2" x14ac:dyDescent="0.2">
      <c r="A155" t="s">
        <v>6694</v>
      </c>
      <c r="B155">
        <f>COUNTIFS(all_data!$H$4:$H$2585,small_source!A251)</f>
        <v>3</v>
      </c>
    </row>
    <row r="156" spans="1:2" x14ac:dyDescent="0.2">
      <c r="A156" t="s">
        <v>7440</v>
      </c>
      <c r="B156">
        <f>COUNTIFS(all_data!$H$4:$H$2585,small_source!A252)</f>
        <v>3</v>
      </c>
    </row>
    <row r="157" spans="1:2" x14ac:dyDescent="0.2">
      <c r="A157" t="s">
        <v>7661</v>
      </c>
      <c r="B157">
        <f>COUNTIFS(all_data!$H$4:$H$2585,small_source!A254)</f>
        <v>3</v>
      </c>
    </row>
    <row r="158" spans="1:2" x14ac:dyDescent="0.2">
      <c r="A158" t="s">
        <v>8898</v>
      </c>
      <c r="B158">
        <f>COUNTIFS(all_data!$H$4:$H$2585,small_source!A255)</f>
        <v>3</v>
      </c>
    </row>
    <row r="159" spans="1:2" x14ac:dyDescent="0.2">
      <c r="A159" t="s">
        <v>3250</v>
      </c>
      <c r="B159">
        <f>COUNTIFS(all_data!$H$4:$H$2585,small_source!A256)</f>
        <v>3</v>
      </c>
    </row>
    <row r="160" spans="1:2" x14ac:dyDescent="0.2">
      <c r="A160" t="s">
        <v>3415</v>
      </c>
      <c r="B160">
        <f>COUNTIFS(all_data!$H$4:$H$2585,small_source!A258)</f>
        <v>3</v>
      </c>
    </row>
    <row r="161" spans="1:2" x14ac:dyDescent="0.2">
      <c r="A161" t="s">
        <v>3133</v>
      </c>
      <c r="B161">
        <f>COUNTIFS(all_data!$H$4:$H$2585,small_source!A259)</f>
        <v>3</v>
      </c>
    </row>
    <row r="162" spans="1:2" x14ac:dyDescent="0.2">
      <c r="A162" t="s">
        <v>3246</v>
      </c>
      <c r="B162">
        <f>COUNTIFS(all_data!$H$4:$H$2585,small_source!A261)</f>
        <v>3</v>
      </c>
    </row>
    <row r="163" spans="1:2" x14ac:dyDescent="0.2">
      <c r="A163" t="s">
        <v>4092</v>
      </c>
      <c r="B163">
        <f>COUNTIFS(all_data!$H$4:$H$2585,small_source!A262)</f>
        <v>3</v>
      </c>
    </row>
    <row r="164" spans="1:2" x14ac:dyDescent="0.2">
      <c r="A164" t="s">
        <v>6011</v>
      </c>
      <c r="B164">
        <f>COUNTIFS(all_data!$H$4:$H$2585,small_source!A265)</f>
        <v>3</v>
      </c>
    </row>
    <row r="165" spans="1:2" x14ac:dyDescent="0.2">
      <c r="A165" t="s">
        <v>2782</v>
      </c>
      <c r="B165">
        <f>COUNTIFS(all_data!$H$4:$H$2585,small_source!A278)</f>
        <v>3</v>
      </c>
    </row>
    <row r="166" spans="1:2" x14ac:dyDescent="0.2">
      <c r="A166" t="s">
        <v>1449</v>
      </c>
      <c r="B166">
        <f>COUNTIFS(all_data!$H$4:$H$2585,small_source!A279)</f>
        <v>3</v>
      </c>
    </row>
    <row r="167" spans="1:2" x14ac:dyDescent="0.2">
      <c r="A167" t="s">
        <v>923</v>
      </c>
      <c r="B167">
        <f>COUNTIFS(all_data!$H$4:$H$2585,small_source!A281)</f>
        <v>3</v>
      </c>
    </row>
    <row r="168" spans="1:2" x14ac:dyDescent="0.2">
      <c r="A168" t="s">
        <v>7906</v>
      </c>
      <c r="B168">
        <f>COUNTIFS(all_data!$H$4:$H$2585,small_source!A282)</f>
        <v>3</v>
      </c>
    </row>
    <row r="169" spans="1:2" x14ac:dyDescent="0.2">
      <c r="A169" t="s">
        <v>6160</v>
      </c>
      <c r="B169">
        <f>COUNTIFS(all_data!$H$4:$H$2585,small_source!A423)</f>
        <v>3</v>
      </c>
    </row>
    <row r="170" spans="1:2" x14ac:dyDescent="0.2">
      <c r="A170" t="s">
        <v>1044</v>
      </c>
      <c r="B170">
        <f>COUNTIFS(all_data!$H$4:$H$2585,small_source!A426)</f>
        <v>3</v>
      </c>
    </row>
    <row r="171" spans="1:2" x14ac:dyDescent="0.2">
      <c r="A171" t="s">
        <v>2174</v>
      </c>
      <c r="B171">
        <f>COUNTIFS(all_data!$H$4:$H$2585,small_source!A427)</f>
        <v>3</v>
      </c>
    </row>
    <row r="172" spans="1:2" x14ac:dyDescent="0.2">
      <c r="A172" t="s">
        <v>8080</v>
      </c>
      <c r="B172">
        <f>COUNTIFS(all_data!$H$4:$H$2585,small_source!A433)</f>
        <v>3</v>
      </c>
    </row>
    <row r="173" spans="1:2" x14ac:dyDescent="0.2">
      <c r="A173" t="s">
        <v>2484</v>
      </c>
      <c r="B173">
        <f>COUNTIFS(all_data!$H$4:$H$2585,small_source!A436)</f>
        <v>3</v>
      </c>
    </row>
    <row r="174" spans="1:2" x14ac:dyDescent="0.2">
      <c r="A174" t="s">
        <v>6039</v>
      </c>
      <c r="B174">
        <f>COUNTIFS(all_data!$H$4:$H$2585,small_source!A440)</f>
        <v>3</v>
      </c>
    </row>
    <row r="175" spans="1:2" x14ac:dyDescent="0.2">
      <c r="A175" t="s">
        <v>3927</v>
      </c>
      <c r="B175">
        <f>COUNTIFS(all_data!$H$4:$H$2585,small_source!A7)</f>
        <v>2</v>
      </c>
    </row>
    <row r="176" spans="1:2" x14ac:dyDescent="0.2">
      <c r="A176" t="s">
        <v>8370</v>
      </c>
      <c r="B176">
        <f>COUNTIFS(all_data!$H$4:$H$2585,small_source!A47)</f>
        <v>2</v>
      </c>
    </row>
    <row r="177" spans="1:2" x14ac:dyDescent="0.2">
      <c r="A177" t="s">
        <v>5185</v>
      </c>
      <c r="B177">
        <f>COUNTIFS(all_data!$H$4:$H$2585,small_source!A65)</f>
        <v>2</v>
      </c>
    </row>
    <row r="178" spans="1:2" x14ac:dyDescent="0.2">
      <c r="A178" t="s">
        <v>3207</v>
      </c>
      <c r="B178">
        <f>COUNTIFS(all_data!$H$4:$H$2585,small_source!A66)</f>
        <v>2</v>
      </c>
    </row>
    <row r="179" spans="1:2" x14ac:dyDescent="0.2">
      <c r="A179" t="s">
        <v>4717</v>
      </c>
      <c r="B179">
        <f>COUNTIFS(all_data!$H$4:$H$2585,small_source!A71)</f>
        <v>2</v>
      </c>
    </row>
    <row r="180" spans="1:2" x14ac:dyDescent="0.2">
      <c r="A180" t="s">
        <v>6368</v>
      </c>
      <c r="B180">
        <f>COUNTIFS(all_data!$H$4:$H$2585,small_source!A72)</f>
        <v>2</v>
      </c>
    </row>
    <row r="181" spans="1:2" x14ac:dyDescent="0.2">
      <c r="A181" t="s">
        <v>4150</v>
      </c>
      <c r="B181">
        <f>COUNTIFS(all_data!$H$4:$H$2585,small_source!A73)</f>
        <v>2</v>
      </c>
    </row>
    <row r="182" spans="1:2" x14ac:dyDescent="0.2">
      <c r="A182" t="s">
        <v>7637</v>
      </c>
      <c r="B182">
        <f>COUNTIFS(all_data!$H$4:$H$2585,small_source!A80)</f>
        <v>2</v>
      </c>
    </row>
    <row r="183" spans="1:2" x14ac:dyDescent="0.2">
      <c r="A183" t="s">
        <v>8403</v>
      </c>
      <c r="B183">
        <f>COUNTIFS(all_data!$H$4:$H$2585,small_source!A82)</f>
        <v>2</v>
      </c>
    </row>
    <row r="184" spans="1:2" x14ac:dyDescent="0.2">
      <c r="A184" t="s">
        <v>8434</v>
      </c>
      <c r="B184">
        <f>COUNTIFS(all_data!$H$4:$H$2585,small_source!A89)</f>
        <v>2</v>
      </c>
    </row>
    <row r="185" spans="1:2" x14ac:dyDescent="0.2">
      <c r="A185" t="s">
        <v>8888</v>
      </c>
      <c r="B185">
        <f>COUNTIFS(all_data!$H$4:$H$2585,small_source!A90)</f>
        <v>2</v>
      </c>
    </row>
    <row r="186" spans="1:2" x14ac:dyDescent="0.2">
      <c r="A186" t="s">
        <v>995</v>
      </c>
      <c r="B186">
        <f>COUNTIFS(all_data!$H$4:$H$2585,small_source!A91)</f>
        <v>2</v>
      </c>
    </row>
    <row r="187" spans="1:2" x14ac:dyDescent="0.2">
      <c r="A187" t="s">
        <v>404</v>
      </c>
      <c r="B187">
        <f>COUNTIFS(all_data!$H$4:$H$2585,small_source!A100)</f>
        <v>2</v>
      </c>
    </row>
    <row r="188" spans="1:2" x14ac:dyDescent="0.2">
      <c r="A188" t="s">
        <v>689</v>
      </c>
      <c r="B188">
        <f>COUNTIFS(all_data!$H$4:$H$2585,small_source!A116)</f>
        <v>2</v>
      </c>
    </row>
    <row r="189" spans="1:2" x14ac:dyDescent="0.2">
      <c r="A189" t="s">
        <v>6111</v>
      </c>
      <c r="B189">
        <f>COUNTIFS(all_data!$H$4:$H$2585,small_source!A141)</f>
        <v>2</v>
      </c>
    </row>
    <row r="190" spans="1:2" x14ac:dyDescent="0.2">
      <c r="A190" t="s">
        <v>8618</v>
      </c>
      <c r="B190">
        <f>COUNTIFS(all_data!$H$4:$H$2585,small_source!A142)</f>
        <v>2</v>
      </c>
    </row>
    <row r="191" spans="1:2" x14ac:dyDescent="0.2">
      <c r="A191" t="s">
        <v>3015</v>
      </c>
      <c r="B191">
        <f>COUNTIFS(all_data!$H$4:$H$2585,small_source!A143)</f>
        <v>2</v>
      </c>
    </row>
    <row r="192" spans="1:2" x14ac:dyDescent="0.2">
      <c r="A192" t="s">
        <v>863</v>
      </c>
      <c r="B192">
        <f>COUNTIFS(all_data!$H$4:$H$2585,small_source!A145)</f>
        <v>2</v>
      </c>
    </row>
    <row r="193" spans="1:2" x14ac:dyDescent="0.2">
      <c r="A193" t="s">
        <v>8681</v>
      </c>
      <c r="B193">
        <f>COUNTIFS(all_data!$H$4:$H$2585,small_source!A146)</f>
        <v>2</v>
      </c>
    </row>
    <row r="194" spans="1:2" x14ac:dyDescent="0.2">
      <c r="A194" t="s">
        <v>2528</v>
      </c>
      <c r="B194">
        <f>COUNTIFS(all_data!$H$4:$H$2585,small_source!A147)</f>
        <v>2</v>
      </c>
    </row>
    <row r="195" spans="1:2" x14ac:dyDescent="0.2">
      <c r="A195" t="s">
        <v>4104</v>
      </c>
      <c r="B195">
        <f>COUNTIFS(all_data!$H$4:$H$2585,small_source!A193)</f>
        <v>2</v>
      </c>
    </row>
    <row r="196" spans="1:2" x14ac:dyDescent="0.2">
      <c r="A196" t="s">
        <v>5670</v>
      </c>
      <c r="B196">
        <f>COUNTIFS(all_data!$H$4:$H$2585,small_source!A194)</f>
        <v>2</v>
      </c>
    </row>
    <row r="197" spans="1:2" x14ac:dyDescent="0.2">
      <c r="A197" t="s">
        <v>7279</v>
      </c>
      <c r="B197">
        <f>COUNTIFS(all_data!$H$4:$H$2585,small_source!A195)</f>
        <v>2</v>
      </c>
    </row>
    <row r="198" spans="1:2" x14ac:dyDescent="0.2">
      <c r="A198" t="s">
        <v>2535</v>
      </c>
      <c r="B198">
        <f>COUNTIFS(all_data!$H$4:$H$2585,small_source!A196)</f>
        <v>2</v>
      </c>
    </row>
    <row r="199" spans="1:2" x14ac:dyDescent="0.2">
      <c r="A199" t="s">
        <v>5652</v>
      </c>
      <c r="B199">
        <f>COUNTIFS(all_data!$H$4:$H$2585,small_source!A197)</f>
        <v>2</v>
      </c>
    </row>
    <row r="200" spans="1:2" x14ac:dyDescent="0.2">
      <c r="A200" t="s">
        <v>8250</v>
      </c>
      <c r="B200">
        <f>COUNTIFS(all_data!$H$4:$H$2585,small_source!A198)</f>
        <v>2</v>
      </c>
    </row>
    <row r="201" spans="1:2" x14ac:dyDescent="0.2">
      <c r="A201" t="s">
        <v>980</v>
      </c>
      <c r="B201">
        <f>COUNTIFS(all_data!$H$4:$H$2585,small_source!A199)</f>
        <v>2</v>
      </c>
    </row>
    <row r="202" spans="1:2" x14ac:dyDescent="0.2">
      <c r="A202" t="s">
        <v>2104</v>
      </c>
      <c r="B202">
        <f>COUNTIFS(all_data!$H$4:$H$2585,small_source!A200)</f>
        <v>2</v>
      </c>
    </row>
    <row r="203" spans="1:2" x14ac:dyDescent="0.2">
      <c r="A203" t="s">
        <v>2736</v>
      </c>
      <c r="B203">
        <f>COUNTIFS(all_data!$H$4:$H$2585,small_source!A201)</f>
        <v>2</v>
      </c>
    </row>
    <row r="204" spans="1:2" x14ac:dyDescent="0.2">
      <c r="A204" t="s">
        <v>3346</v>
      </c>
      <c r="B204">
        <f>COUNTIFS(all_data!$H$4:$H$2585,small_source!A209)</f>
        <v>2</v>
      </c>
    </row>
    <row r="205" spans="1:2" x14ac:dyDescent="0.2">
      <c r="A205" t="s">
        <v>4124</v>
      </c>
      <c r="B205">
        <f>COUNTIFS(all_data!$H$4:$H$2585,small_source!A266)</f>
        <v>2</v>
      </c>
    </row>
    <row r="206" spans="1:2" x14ac:dyDescent="0.2">
      <c r="A206" t="s">
        <v>5181</v>
      </c>
      <c r="B206">
        <f>COUNTIFS(all_data!$H$4:$H$2585,small_source!A267)</f>
        <v>2</v>
      </c>
    </row>
    <row r="207" spans="1:2" x14ac:dyDescent="0.2">
      <c r="A207" t="s">
        <v>3908</v>
      </c>
      <c r="B207">
        <f>COUNTIFS(all_data!$H$4:$H$2585,small_source!A268)</f>
        <v>2</v>
      </c>
    </row>
    <row r="208" spans="1:2" x14ac:dyDescent="0.2">
      <c r="A208" t="s">
        <v>8876</v>
      </c>
      <c r="B208">
        <f>COUNTIFS(all_data!$H$4:$H$2585,small_source!A269)</f>
        <v>2</v>
      </c>
    </row>
    <row r="209" spans="1:2" x14ac:dyDescent="0.2">
      <c r="A209" t="s">
        <v>1143</v>
      </c>
      <c r="B209">
        <f>COUNTIFS(all_data!$H$4:$H$2585,small_source!A270)</f>
        <v>2</v>
      </c>
    </row>
    <row r="210" spans="1:2" x14ac:dyDescent="0.2">
      <c r="A210" t="s">
        <v>4737</v>
      </c>
      <c r="B210">
        <f>COUNTIFS(all_data!$H$4:$H$2585,small_source!A271)</f>
        <v>2</v>
      </c>
    </row>
    <row r="211" spans="1:2" x14ac:dyDescent="0.2">
      <c r="A211" t="s">
        <v>3646</v>
      </c>
      <c r="B211">
        <f>COUNTIFS(all_data!$H$4:$H$2585,small_source!A272)</f>
        <v>2</v>
      </c>
    </row>
    <row r="212" spans="1:2" x14ac:dyDescent="0.2">
      <c r="A212" t="s">
        <v>7013</v>
      </c>
      <c r="B212">
        <f>COUNTIFS(all_data!$H$4:$H$2585,small_source!A273)</f>
        <v>2</v>
      </c>
    </row>
    <row r="213" spans="1:2" x14ac:dyDescent="0.2">
      <c r="A213" t="s">
        <v>8857</v>
      </c>
      <c r="B213">
        <f>COUNTIFS(all_data!$H$4:$H$2585,small_source!A274)</f>
        <v>2</v>
      </c>
    </row>
    <row r="214" spans="1:2" x14ac:dyDescent="0.2">
      <c r="A214" t="s">
        <v>6208</v>
      </c>
      <c r="B214">
        <f>COUNTIFS(all_data!$H$4:$H$2585,small_source!A275)</f>
        <v>2</v>
      </c>
    </row>
    <row r="215" spans="1:2" x14ac:dyDescent="0.2">
      <c r="A215" t="s">
        <v>8272</v>
      </c>
      <c r="B215">
        <f>COUNTIFS(all_data!$H$4:$H$2585,small_source!A276)</f>
        <v>2</v>
      </c>
    </row>
    <row r="216" spans="1:2" x14ac:dyDescent="0.2">
      <c r="A216" t="s">
        <v>2751</v>
      </c>
      <c r="B216">
        <f>COUNTIFS(all_data!$H$4:$H$2585,small_source!A277)</f>
        <v>2</v>
      </c>
    </row>
    <row r="217" spans="1:2" x14ac:dyDescent="0.2">
      <c r="A217" t="s">
        <v>7416</v>
      </c>
      <c r="B217">
        <f>COUNTIFS(all_data!$H$4:$H$2585,small_source!A280)</f>
        <v>2</v>
      </c>
    </row>
    <row r="218" spans="1:2" x14ac:dyDescent="0.2">
      <c r="A218" t="s">
        <v>5094</v>
      </c>
      <c r="B218">
        <f>COUNTIFS(all_data!$H$4:$H$2585,small_source!A283)</f>
        <v>2</v>
      </c>
    </row>
    <row r="219" spans="1:2" x14ac:dyDescent="0.2">
      <c r="A219" t="s">
        <v>1664</v>
      </c>
      <c r="B219">
        <f>COUNTIFS(all_data!$H$4:$H$2585,small_source!A284)</f>
        <v>2</v>
      </c>
    </row>
    <row r="220" spans="1:2" x14ac:dyDescent="0.2">
      <c r="A220" t="s">
        <v>1573</v>
      </c>
      <c r="B220">
        <f>COUNTIFS(all_data!$H$4:$H$2585,small_source!A290)</f>
        <v>2</v>
      </c>
    </row>
    <row r="221" spans="1:2" x14ac:dyDescent="0.2">
      <c r="A221" t="s">
        <v>1639</v>
      </c>
      <c r="B221">
        <f>COUNTIFS(all_data!$H$4:$H$2585,small_source!A292)</f>
        <v>2</v>
      </c>
    </row>
    <row r="222" spans="1:2" x14ac:dyDescent="0.2">
      <c r="A222" t="s">
        <v>849</v>
      </c>
      <c r="B222">
        <f>COUNTIFS(all_data!$H$4:$H$2585,small_source!A293)</f>
        <v>2</v>
      </c>
    </row>
    <row r="223" spans="1:2" x14ac:dyDescent="0.2">
      <c r="A223" t="s">
        <v>783</v>
      </c>
      <c r="B223">
        <f>COUNTIFS(all_data!$H$4:$H$2585,small_source!A295)</f>
        <v>2</v>
      </c>
    </row>
    <row r="224" spans="1:2" x14ac:dyDescent="0.2">
      <c r="A224" t="s">
        <v>1696</v>
      </c>
      <c r="B224">
        <f>COUNTIFS(all_data!$H$4:$H$2585,small_source!A303)</f>
        <v>2</v>
      </c>
    </row>
    <row r="225" spans="1:2" x14ac:dyDescent="0.2">
      <c r="A225" t="s">
        <v>933</v>
      </c>
      <c r="B225">
        <f>COUNTIFS(all_data!$H$4:$H$2585,small_source!A312)</f>
        <v>2</v>
      </c>
    </row>
    <row r="226" spans="1:2" x14ac:dyDescent="0.2">
      <c r="A226" t="s">
        <v>2271</v>
      </c>
      <c r="B226">
        <f>COUNTIFS(all_data!$H$4:$H$2585,small_source!A316)</f>
        <v>2</v>
      </c>
    </row>
    <row r="227" spans="1:2" x14ac:dyDescent="0.2">
      <c r="A227" t="s">
        <v>3812</v>
      </c>
      <c r="B227">
        <f>COUNTIFS(all_data!$H$4:$H$2585,small_source!A317)</f>
        <v>2</v>
      </c>
    </row>
    <row r="228" spans="1:2" x14ac:dyDescent="0.2">
      <c r="A228" t="s">
        <v>7360</v>
      </c>
      <c r="B228">
        <f>COUNTIFS(all_data!$H$4:$H$2585,small_source!A322)</f>
        <v>2</v>
      </c>
    </row>
    <row r="229" spans="1:2" x14ac:dyDescent="0.2">
      <c r="A229" t="s">
        <v>3423</v>
      </c>
      <c r="B229">
        <f>COUNTIFS(all_data!$H$4:$H$2585,small_source!A325)</f>
        <v>2</v>
      </c>
    </row>
    <row r="230" spans="1:2" x14ac:dyDescent="0.2">
      <c r="A230" t="s">
        <v>7137</v>
      </c>
      <c r="B230">
        <f>COUNTIFS(all_data!$H$4:$H$2585,small_source!A327)</f>
        <v>2</v>
      </c>
    </row>
    <row r="231" spans="1:2" x14ac:dyDescent="0.2">
      <c r="A231" t="s">
        <v>7961</v>
      </c>
      <c r="B231">
        <f>COUNTIFS(all_data!$H$4:$H$2585,small_source!A328)</f>
        <v>2</v>
      </c>
    </row>
    <row r="232" spans="1:2" x14ac:dyDescent="0.2">
      <c r="A232" t="s">
        <v>7478</v>
      </c>
      <c r="B232">
        <f>COUNTIFS(all_data!$H$4:$H$2585,small_source!A330)</f>
        <v>2</v>
      </c>
    </row>
    <row r="233" spans="1:2" x14ac:dyDescent="0.2">
      <c r="A233" t="s">
        <v>8811</v>
      </c>
      <c r="B233">
        <f>COUNTIFS(all_data!$H$4:$H$2585,small_source!A334)</f>
        <v>2</v>
      </c>
    </row>
    <row r="234" spans="1:2" x14ac:dyDescent="0.2">
      <c r="A234" t="s">
        <v>7193</v>
      </c>
      <c r="B234">
        <f>COUNTIFS(all_data!$H$4:$H$2585,small_source!A338)</f>
        <v>2</v>
      </c>
    </row>
    <row r="235" spans="1:2" x14ac:dyDescent="0.2">
      <c r="A235" t="s">
        <v>3381</v>
      </c>
      <c r="B235">
        <f>COUNTIFS(all_data!$H$4:$H$2585,small_source!A340)</f>
        <v>2</v>
      </c>
    </row>
    <row r="236" spans="1:2" x14ac:dyDescent="0.2">
      <c r="A236" t="s">
        <v>5204</v>
      </c>
      <c r="B236">
        <f>COUNTIFS(all_data!$H$4:$H$2585,small_source!A341)</f>
        <v>2</v>
      </c>
    </row>
    <row r="237" spans="1:2" x14ac:dyDescent="0.2">
      <c r="A237" t="s">
        <v>2612</v>
      </c>
      <c r="B237">
        <f>COUNTIFS(all_data!$H$4:$H$2585,small_source!A347)</f>
        <v>2</v>
      </c>
    </row>
    <row r="238" spans="1:2" x14ac:dyDescent="0.2">
      <c r="A238" t="s">
        <v>8946</v>
      </c>
      <c r="B238">
        <f>COUNTIFS(all_data!$H$4:$H$2585,small_source!A353)</f>
        <v>2</v>
      </c>
    </row>
    <row r="239" spans="1:2" x14ac:dyDescent="0.2">
      <c r="A239" t="s">
        <v>735</v>
      </c>
      <c r="B239">
        <f>COUNTIFS(all_data!$H$4:$H$2585,small_source!A428)</f>
        <v>2</v>
      </c>
    </row>
    <row r="240" spans="1:2" x14ac:dyDescent="0.2">
      <c r="A240" t="s">
        <v>7298</v>
      </c>
      <c r="B240">
        <f>COUNTIFS(all_data!$H$4:$H$2585,small_source!A429)</f>
        <v>2</v>
      </c>
    </row>
    <row r="241" spans="1:2" x14ac:dyDescent="0.2">
      <c r="A241" t="s">
        <v>1546</v>
      </c>
      <c r="B241">
        <f>COUNTIFS(all_data!$H$4:$H$2585,small_source!A430)</f>
        <v>2</v>
      </c>
    </row>
    <row r="242" spans="1:2" x14ac:dyDescent="0.2">
      <c r="A242" t="s">
        <v>5120</v>
      </c>
      <c r="B242">
        <f>COUNTIFS(all_data!$H$4:$H$2585,small_source!A431)</f>
        <v>2</v>
      </c>
    </row>
    <row r="243" spans="1:2" x14ac:dyDescent="0.2">
      <c r="A243" t="s">
        <v>6455</v>
      </c>
      <c r="B243">
        <f>COUNTIFS(all_data!$H$4:$H$2585,small_source!A432)</f>
        <v>2</v>
      </c>
    </row>
    <row r="244" spans="1:2" x14ac:dyDescent="0.2">
      <c r="A244" t="s">
        <v>8628</v>
      </c>
      <c r="B244">
        <f>COUNTIFS(all_data!$H$4:$H$2585,small_source!A434)</f>
        <v>2</v>
      </c>
    </row>
    <row r="245" spans="1:2" x14ac:dyDescent="0.2">
      <c r="A245" t="s">
        <v>6071</v>
      </c>
      <c r="B245">
        <f>COUNTIFS(all_data!$H$4:$H$2585,small_source!A435)</f>
        <v>2</v>
      </c>
    </row>
    <row r="246" spans="1:2" x14ac:dyDescent="0.2">
      <c r="A246" t="s">
        <v>1455</v>
      </c>
      <c r="B246">
        <f>COUNTIFS(all_data!$H$4:$H$2585,small_source!A437)</f>
        <v>2</v>
      </c>
    </row>
    <row r="247" spans="1:2" x14ac:dyDescent="0.2">
      <c r="A247" t="s">
        <v>8357</v>
      </c>
      <c r="B247">
        <f>COUNTIFS(all_data!$H$4:$H$2585,small_source!A438)</f>
        <v>2</v>
      </c>
    </row>
    <row r="248" spans="1:2" x14ac:dyDescent="0.2">
      <c r="A248" t="s">
        <v>276</v>
      </c>
      <c r="B248">
        <f>COUNTIFS(all_data!$H$4:$H$2585,small_source!A439)</f>
        <v>2</v>
      </c>
    </row>
    <row r="249" spans="1:2" x14ac:dyDescent="0.2">
      <c r="A249" t="s">
        <v>2911</v>
      </c>
      <c r="B249">
        <f>COUNTIFS(all_data!$H$4:$H$2585,small_source!A448)</f>
        <v>2</v>
      </c>
    </row>
    <row r="250" spans="1:2" x14ac:dyDescent="0.2">
      <c r="A250" t="s">
        <v>2895</v>
      </c>
      <c r="B250">
        <f>COUNTIFS(all_data!$H$4:$H$2585,small_source!A458)</f>
        <v>2</v>
      </c>
    </row>
    <row r="251" spans="1:2" x14ac:dyDescent="0.2">
      <c r="A251" t="s">
        <v>4137</v>
      </c>
      <c r="B251">
        <f>COUNTIFS(all_data!$H$4:$H$2585,small_source!A466)</f>
        <v>2</v>
      </c>
    </row>
    <row r="252" spans="1:2" x14ac:dyDescent="0.2">
      <c r="A252" t="s">
        <v>4646</v>
      </c>
      <c r="B252">
        <f>COUNTIFS(all_data!$H$4:$H$2585,small_source!A468)</f>
        <v>2</v>
      </c>
    </row>
    <row r="253" spans="1:2" x14ac:dyDescent="0.2">
      <c r="A253" t="s">
        <v>2557</v>
      </c>
      <c r="B253">
        <f>COUNTIFS(all_data!$H$4:$H$2585,small_source!A471)</f>
        <v>2</v>
      </c>
    </row>
    <row r="254" spans="1:2" x14ac:dyDescent="0.2">
      <c r="A254" t="s">
        <v>6698</v>
      </c>
      <c r="B254">
        <f>COUNTIFS(all_data!$H$4:$H$2585,small_source!A472)</f>
        <v>2</v>
      </c>
    </row>
    <row r="255" spans="1:2" x14ac:dyDescent="0.2">
      <c r="A255" t="s">
        <v>8671</v>
      </c>
      <c r="B255">
        <f>COUNTIFS(all_data!$H$4:$H$2585,small_source!A475)</f>
        <v>2</v>
      </c>
    </row>
    <row r="256" spans="1:2" x14ac:dyDescent="0.2">
      <c r="A256" t="s">
        <v>8966</v>
      </c>
      <c r="B256">
        <f>COUNTIFS(all_data!$H$4:$H$2585,small_source!A480)</f>
        <v>2</v>
      </c>
    </row>
    <row r="257" spans="1:2" x14ac:dyDescent="0.2">
      <c r="A257" t="s">
        <v>599</v>
      </c>
      <c r="B257">
        <f>COUNTIFS(all_data!$H$4:$H$2585,small_source!A485)</f>
        <v>2</v>
      </c>
    </row>
    <row r="258" spans="1:2" x14ac:dyDescent="0.2">
      <c r="A258" t="s">
        <v>8000</v>
      </c>
      <c r="B258">
        <f>COUNTIFS(all_data!$H$4:$H$2585,small_source!A486)</f>
        <v>2</v>
      </c>
    </row>
    <row r="259" spans="1:2" x14ac:dyDescent="0.2">
      <c r="A259" t="s">
        <v>5062</v>
      </c>
      <c r="B259">
        <f>COUNTIFS(all_data!$H$4:$H$2585,small_source!A497)</f>
        <v>2</v>
      </c>
    </row>
    <row r="260" spans="1:2" x14ac:dyDescent="0.2">
      <c r="A260" t="s">
        <v>1197</v>
      </c>
      <c r="B260">
        <f>COUNTIFS(all_data!$H$4:$H$2585,small_source!A499)</f>
        <v>2</v>
      </c>
    </row>
    <row r="261" spans="1:2" x14ac:dyDescent="0.2">
      <c r="A261" t="s">
        <v>6750</v>
      </c>
      <c r="B261">
        <f>COUNTIFS(all_data!$H$4:$H$2585,small_source!A500)</f>
        <v>2</v>
      </c>
    </row>
    <row r="262" spans="1:2" x14ac:dyDescent="0.2">
      <c r="A262" t="s">
        <v>6015</v>
      </c>
      <c r="B262">
        <f>COUNTIFS(all_data!$H$4:$H$2585,small_source!A501)</f>
        <v>2</v>
      </c>
    </row>
    <row r="263" spans="1:2" x14ac:dyDescent="0.2">
      <c r="A263" t="s">
        <v>1585</v>
      </c>
      <c r="B263">
        <f>COUNTIFS(all_data!$H$4:$H$2585,small_source!A505)</f>
        <v>2</v>
      </c>
    </row>
    <row r="264" spans="1:2" x14ac:dyDescent="0.2">
      <c r="A264" t="s">
        <v>714</v>
      </c>
      <c r="B264">
        <f>COUNTIFS(all_data!$H$4:$H$2585,small_source!A506)</f>
        <v>2</v>
      </c>
    </row>
    <row r="265" spans="1:2" x14ac:dyDescent="0.2">
      <c r="A265" t="s">
        <v>937</v>
      </c>
      <c r="B265">
        <f>COUNTIFS(all_data!$H$4:$H$2585,small_source!A507)</f>
        <v>2</v>
      </c>
    </row>
    <row r="266" spans="1:2" x14ac:dyDescent="0.2">
      <c r="A266" t="s">
        <v>7272</v>
      </c>
      <c r="B266">
        <f>COUNTIFS(all_data!$H$4:$H$2585,small_source!A508)</f>
        <v>2</v>
      </c>
    </row>
    <row r="267" spans="1:2" x14ac:dyDescent="0.2">
      <c r="A267" t="s">
        <v>8462</v>
      </c>
      <c r="B267">
        <f>COUNTIFS(all_data!$H$4:$H$2585,small_source!A510)</f>
        <v>2</v>
      </c>
    </row>
    <row r="268" spans="1:2" x14ac:dyDescent="0.2">
      <c r="A268" t="s">
        <v>6361</v>
      </c>
      <c r="B268">
        <f>COUNTIFS(all_data!$H$4:$H$2585,small_source!A3)</f>
        <v>1</v>
      </c>
    </row>
    <row r="269" spans="1:2" x14ac:dyDescent="0.2">
      <c r="A269" t="s">
        <v>7899</v>
      </c>
      <c r="B269">
        <f>COUNTIFS(all_data!$H$4:$H$2585,small_source!A4)</f>
        <v>1</v>
      </c>
    </row>
    <row r="270" spans="1:2" x14ac:dyDescent="0.2">
      <c r="A270" t="s">
        <v>6032</v>
      </c>
      <c r="B270">
        <f>COUNTIFS(all_data!$H$4:$H$2585,small_source!A9)</f>
        <v>1</v>
      </c>
    </row>
    <row r="271" spans="1:2" x14ac:dyDescent="0.2">
      <c r="A271" t="s">
        <v>8645</v>
      </c>
      <c r="B271">
        <f>COUNTIFS(all_data!$H$4:$H$2585,small_source!A13)</f>
        <v>1</v>
      </c>
    </row>
    <row r="272" spans="1:2" x14ac:dyDescent="0.2">
      <c r="A272" t="s">
        <v>8444</v>
      </c>
      <c r="B272">
        <f>COUNTIFS(all_data!$H$4:$H$2585,small_source!A22)</f>
        <v>1</v>
      </c>
    </row>
    <row r="273" spans="1:2" x14ac:dyDescent="0.2">
      <c r="A273" t="s">
        <v>4730</v>
      </c>
      <c r="B273">
        <f>COUNTIFS(all_data!$H$4:$H$2585,small_source!A37)</f>
        <v>1</v>
      </c>
    </row>
    <row r="274" spans="1:2" x14ac:dyDescent="0.2">
      <c r="A274" t="s">
        <v>5838</v>
      </c>
      <c r="B274">
        <f>COUNTIFS(all_data!$H$4:$H$2585,small_source!A51)</f>
        <v>1</v>
      </c>
    </row>
    <row r="275" spans="1:2" x14ac:dyDescent="0.2">
      <c r="A275" t="s">
        <v>7406</v>
      </c>
      <c r="B275">
        <f>COUNTIFS(all_data!$H$4:$H$2585,small_source!A55)</f>
        <v>1</v>
      </c>
    </row>
    <row r="276" spans="1:2" x14ac:dyDescent="0.2">
      <c r="A276" t="s">
        <v>5831</v>
      </c>
      <c r="B276">
        <f>COUNTIFS(all_data!$H$4:$H$2585,small_source!A59)</f>
        <v>1</v>
      </c>
    </row>
    <row r="277" spans="1:2" x14ac:dyDescent="0.2">
      <c r="A277" t="s">
        <v>4777</v>
      </c>
      <c r="B277">
        <f>COUNTIFS(all_data!$H$4:$H$2585,small_source!A62)</f>
        <v>1</v>
      </c>
    </row>
    <row r="278" spans="1:2" x14ac:dyDescent="0.2">
      <c r="A278" t="s">
        <v>630</v>
      </c>
      <c r="B278">
        <f>COUNTIFS(all_data!$H$4:$H$2585,small_source!A63)</f>
        <v>1</v>
      </c>
    </row>
    <row r="279" spans="1:2" x14ac:dyDescent="0.2">
      <c r="A279" t="s">
        <v>1111</v>
      </c>
      <c r="B279">
        <f>COUNTIFS(all_data!$H$4:$H$2585,small_source!A74)</f>
        <v>1</v>
      </c>
    </row>
    <row r="280" spans="1:2" x14ac:dyDescent="0.2">
      <c r="A280" t="s">
        <v>5991</v>
      </c>
      <c r="B280">
        <f>COUNTIFS(all_data!$H$4:$H$2585,small_source!A75)</f>
        <v>1</v>
      </c>
    </row>
    <row r="281" spans="1:2" x14ac:dyDescent="0.2">
      <c r="A281" t="s">
        <v>1018</v>
      </c>
      <c r="B281">
        <f>COUNTIFS(all_data!$H$4:$H$2585,small_source!A81)</f>
        <v>1</v>
      </c>
    </row>
    <row r="282" spans="1:2" x14ac:dyDescent="0.2">
      <c r="A282" t="s">
        <v>2660</v>
      </c>
      <c r="B282">
        <f>COUNTIFS(all_data!$H$4:$H$2585,small_source!A93)</f>
        <v>1</v>
      </c>
    </row>
    <row r="283" spans="1:2" x14ac:dyDescent="0.2">
      <c r="A283" t="s">
        <v>7130</v>
      </c>
      <c r="B283">
        <f>COUNTIFS(all_data!$H$4:$H$2585,small_source!A94)</f>
        <v>1</v>
      </c>
    </row>
    <row r="284" spans="1:2" x14ac:dyDescent="0.2">
      <c r="A284" t="s">
        <v>8296</v>
      </c>
      <c r="B284">
        <f>COUNTIFS(all_data!$H$4:$H$2585,small_source!A95)</f>
        <v>1</v>
      </c>
    </row>
    <row r="285" spans="1:2" x14ac:dyDescent="0.2">
      <c r="A285" t="s">
        <v>4100</v>
      </c>
      <c r="B285">
        <f>COUNTIFS(all_data!$H$4:$H$2585,small_source!A96)</f>
        <v>1</v>
      </c>
    </row>
    <row r="286" spans="1:2" x14ac:dyDescent="0.2">
      <c r="A286" t="s">
        <v>6133</v>
      </c>
      <c r="B286">
        <f>COUNTIFS(all_data!$H$4:$H$2585,small_source!A97)</f>
        <v>1</v>
      </c>
    </row>
    <row r="287" spans="1:2" x14ac:dyDescent="0.2">
      <c r="A287" t="s">
        <v>6156</v>
      </c>
      <c r="B287">
        <f>COUNTIFS(all_data!$H$4:$H$2585,small_source!A98)</f>
        <v>1</v>
      </c>
    </row>
    <row r="288" spans="1:2" x14ac:dyDescent="0.2">
      <c r="A288" t="s">
        <v>5200</v>
      </c>
      <c r="B288">
        <f>COUNTIFS(all_data!$H$4:$H$2585,small_source!A99)</f>
        <v>1</v>
      </c>
    </row>
    <row r="289" spans="1:2" x14ac:dyDescent="0.2">
      <c r="A289" t="s">
        <v>7336</v>
      </c>
      <c r="B289">
        <f>COUNTIFS(all_data!$H$4:$H$2585,small_source!A101)</f>
        <v>1</v>
      </c>
    </row>
    <row r="290" spans="1:2" x14ac:dyDescent="0.2">
      <c r="A290" t="s">
        <v>1156</v>
      </c>
      <c r="B290">
        <f>COUNTIFS(all_data!$H$4:$H$2585,small_source!A102)</f>
        <v>1</v>
      </c>
    </row>
    <row r="291" spans="1:2" x14ac:dyDescent="0.2">
      <c r="A291" t="s">
        <v>3796</v>
      </c>
      <c r="B291">
        <f>COUNTIFS(all_data!$H$4:$H$2585,small_source!A103)</f>
        <v>1</v>
      </c>
    </row>
    <row r="292" spans="1:2" x14ac:dyDescent="0.2">
      <c r="A292" t="s">
        <v>680</v>
      </c>
      <c r="B292">
        <f>COUNTIFS(all_data!$H$4:$H$2585,small_source!A117)</f>
        <v>1</v>
      </c>
    </row>
    <row r="293" spans="1:2" x14ac:dyDescent="0.2">
      <c r="A293" t="s">
        <v>1481</v>
      </c>
      <c r="B293">
        <f>COUNTIFS(all_data!$H$4:$H$2585,small_source!A118)</f>
        <v>1</v>
      </c>
    </row>
    <row r="294" spans="1:2" x14ac:dyDescent="0.2">
      <c r="A294" t="s">
        <v>7340</v>
      </c>
      <c r="B294">
        <f>COUNTIFS(all_data!$H$4:$H$2585,small_source!A119)</f>
        <v>1</v>
      </c>
    </row>
    <row r="295" spans="1:2" x14ac:dyDescent="0.2">
      <c r="A295" t="s">
        <v>1102</v>
      </c>
      <c r="B295">
        <f>COUNTIFS(all_data!$H$4:$H$2585,small_source!A120)</f>
        <v>1</v>
      </c>
    </row>
    <row r="296" spans="1:2" x14ac:dyDescent="0.2">
      <c r="A296" t="s">
        <v>3230</v>
      </c>
      <c r="B296">
        <f>COUNTIFS(all_data!$H$4:$H$2585,small_source!A121)</f>
        <v>1</v>
      </c>
    </row>
    <row r="297" spans="1:2" x14ac:dyDescent="0.2">
      <c r="A297" t="s">
        <v>4820</v>
      </c>
      <c r="B297">
        <f>COUNTIFS(all_data!$H$4:$H$2585,small_source!A122)</f>
        <v>1</v>
      </c>
    </row>
    <row r="298" spans="1:2" x14ac:dyDescent="0.2">
      <c r="A298" t="s">
        <v>6683</v>
      </c>
      <c r="B298">
        <f>COUNTIFS(all_data!$H$4:$H$2585,small_source!A144)</f>
        <v>1</v>
      </c>
    </row>
    <row r="299" spans="1:2" x14ac:dyDescent="0.2">
      <c r="A299" t="s">
        <v>7227</v>
      </c>
      <c r="B299">
        <f>COUNTIFS(all_data!$H$4:$H$2585,small_source!A148)</f>
        <v>1</v>
      </c>
    </row>
    <row r="300" spans="1:2" x14ac:dyDescent="0.2">
      <c r="A300" t="s">
        <v>6059</v>
      </c>
      <c r="B300">
        <f>COUNTIFS(all_data!$H$4:$H$2585,small_source!A149)</f>
        <v>1</v>
      </c>
    </row>
    <row r="301" spans="1:2" x14ac:dyDescent="0.2">
      <c r="A301" t="s">
        <v>8934</v>
      </c>
      <c r="B301">
        <f>COUNTIFS(all_data!$H$4:$H$2585,small_source!A150)</f>
        <v>1</v>
      </c>
    </row>
    <row r="302" spans="1:2" x14ac:dyDescent="0.2">
      <c r="A302" t="s">
        <v>3129</v>
      </c>
      <c r="B302">
        <f>COUNTIFS(all_data!$H$4:$H$2585,small_source!A151)</f>
        <v>1</v>
      </c>
    </row>
    <row r="303" spans="1:2" x14ac:dyDescent="0.2">
      <c r="A303" t="s">
        <v>2058</v>
      </c>
      <c r="B303">
        <f>COUNTIFS(all_data!$H$4:$H$2585,small_source!A152)</f>
        <v>1</v>
      </c>
    </row>
    <row r="304" spans="1:2" x14ac:dyDescent="0.2">
      <c r="A304" t="s">
        <v>5098</v>
      </c>
      <c r="B304">
        <f>COUNTIFS(all_data!$H$4:$H$2585,small_source!A153)</f>
        <v>1</v>
      </c>
    </row>
    <row r="305" spans="1:2" x14ac:dyDescent="0.2">
      <c r="A305" t="s">
        <v>8663</v>
      </c>
      <c r="B305">
        <f>COUNTIFS(all_data!$H$4:$H$2585,small_source!A154)</f>
        <v>1</v>
      </c>
    </row>
    <row r="306" spans="1:2" x14ac:dyDescent="0.2">
      <c r="A306" t="s">
        <v>8699</v>
      </c>
      <c r="B306">
        <f>COUNTIFS(all_data!$H$4:$H$2585,small_source!A155)</f>
        <v>1</v>
      </c>
    </row>
    <row r="307" spans="1:2" x14ac:dyDescent="0.2">
      <c r="A307" t="s">
        <v>6099</v>
      </c>
      <c r="B307">
        <f>COUNTIFS(all_data!$H$4:$H$2585,small_source!A156)</f>
        <v>1</v>
      </c>
    </row>
    <row r="308" spans="1:2" x14ac:dyDescent="0.2">
      <c r="A308" t="s">
        <v>7189</v>
      </c>
      <c r="B308">
        <f>COUNTIFS(all_data!$H$4:$H$2585,small_source!A157)</f>
        <v>1</v>
      </c>
    </row>
    <row r="309" spans="1:2" x14ac:dyDescent="0.2">
      <c r="A309" t="s">
        <v>8962</v>
      </c>
      <c r="B309">
        <f>COUNTIFS(all_data!$H$4:$H$2585,small_source!A158)</f>
        <v>1</v>
      </c>
    </row>
    <row r="310" spans="1:2" x14ac:dyDescent="0.2">
      <c r="A310" t="s">
        <v>7669</v>
      </c>
      <c r="B310">
        <f>COUNTIFS(all_data!$H$4:$H$2585,small_source!A159)</f>
        <v>1</v>
      </c>
    </row>
    <row r="311" spans="1:2" x14ac:dyDescent="0.2">
      <c r="A311" t="s">
        <v>3226</v>
      </c>
      <c r="B311">
        <f>COUNTIFS(all_data!$H$4:$H$2585,small_source!A160)</f>
        <v>1</v>
      </c>
    </row>
    <row r="312" spans="1:2" x14ac:dyDescent="0.2">
      <c r="A312" t="s">
        <v>518</v>
      </c>
      <c r="B312">
        <f>COUNTIFS(all_data!$H$4:$H$2585,small_source!A161)</f>
        <v>1</v>
      </c>
    </row>
    <row r="313" spans="1:2" x14ac:dyDescent="0.2">
      <c r="A313" t="s">
        <v>5112</v>
      </c>
      <c r="B313">
        <f>COUNTIFS(all_data!$H$4:$H$2585,small_source!A162)</f>
        <v>1</v>
      </c>
    </row>
    <row r="314" spans="1:2" x14ac:dyDescent="0.2">
      <c r="A314" t="s">
        <v>5849</v>
      </c>
      <c r="B314">
        <f>COUNTIFS(all_data!$H$4:$H$2585,small_source!A163)</f>
        <v>1</v>
      </c>
    </row>
    <row r="315" spans="1:2" x14ac:dyDescent="0.2">
      <c r="A315" t="s">
        <v>8655</v>
      </c>
      <c r="B315">
        <f>COUNTIFS(all_data!$H$4:$H$2585,small_source!A164)</f>
        <v>1</v>
      </c>
    </row>
    <row r="316" spans="1:2" x14ac:dyDescent="0.2">
      <c r="A316" t="s">
        <v>2214</v>
      </c>
      <c r="B316">
        <f>COUNTIFS(all_data!$H$4:$H$2585,small_source!A165)</f>
        <v>1</v>
      </c>
    </row>
    <row r="317" spans="1:2" x14ac:dyDescent="0.2">
      <c r="A317" t="s">
        <v>3162</v>
      </c>
      <c r="B317">
        <f>COUNTIFS(all_data!$H$4:$H$2585,small_source!A166)</f>
        <v>1</v>
      </c>
    </row>
    <row r="318" spans="1:2" x14ac:dyDescent="0.2">
      <c r="A318" t="s">
        <v>6149</v>
      </c>
      <c r="B318">
        <f>COUNTIFS(all_data!$H$4:$H$2585,small_source!A167)</f>
        <v>1</v>
      </c>
    </row>
    <row r="319" spans="1:2" x14ac:dyDescent="0.2">
      <c r="A319" t="s">
        <v>5044</v>
      </c>
      <c r="B319">
        <f>COUNTIFS(all_data!$H$4:$H$2585,small_source!A202)</f>
        <v>1</v>
      </c>
    </row>
    <row r="320" spans="1:2" x14ac:dyDescent="0.2">
      <c r="A320" t="s">
        <v>8884</v>
      </c>
      <c r="B320">
        <f>COUNTIFS(all_data!$H$4:$H$2585,small_source!A203)</f>
        <v>1</v>
      </c>
    </row>
    <row r="321" spans="1:2" x14ac:dyDescent="0.2">
      <c r="A321" t="s">
        <v>8976</v>
      </c>
      <c r="B321">
        <f>COUNTIFS(all_data!$H$4:$H$2585,small_source!A204)</f>
        <v>1</v>
      </c>
    </row>
    <row r="322" spans="1:2" x14ac:dyDescent="0.2">
      <c r="A322" t="s">
        <v>3053</v>
      </c>
      <c r="B322">
        <f>COUNTIFS(all_data!$H$4:$H$2585,small_source!A205)</f>
        <v>1</v>
      </c>
    </row>
    <row r="323" spans="1:2" x14ac:dyDescent="0.2">
      <c r="A323" t="s">
        <v>6831</v>
      </c>
      <c r="B323">
        <f>COUNTIFS(all_data!$H$4:$H$2585,small_source!A206)</f>
        <v>1</v>
      </c>
    </row>
    <row r="324" spans="1:2" x14ac:dyDescent="0.2">
      <c r="A324" t="s">
        <v>7314</v>
      </c>
      <c r="B324">
        <f>COUNTIFS(all_data!$H$4:$H$2585,small_source!A207)</f>
        <v>1</v>
      </c>
    </row>
    <row r="325" spans="1:2" x14ac:dyDescent="0.2">
      <c r="A325" t="s">
        <v>3153</v>
      </c>
      <c r="B325">
        <f>COUNTIFS(all_data!$H$4:$H$2585,small_source!A208)</f>
        <v>1</v>
      </c>
    </row>
    <row r="326" spans="1:2" x14ac:dyDescent="0.2">
      <c r="A326" t="s">
        <v>6063</v>
      </c>
      <c r="B326">
        <f>COUNTIFS(all_data!$H$4:$H$2585,small_source!A210)</f>
        <v>1</v>
      </c>
    </row>
    <row r="327" spans="1:2" x14ac:dyDescent="0.2">
      <c r="A327" t="s">
        <v>503</v>
      </c>
      <c r="B327">
        <f>COUNTIFS(all_data!$H$4:$H$2585,small_source!A211)</f>
        <v>1</v>
      </c>
    </row>
    <row r="328" spans="1:2" x14ac:dyDescent="0.2">
      <c r="A328" t="s">
        <v>2878</v>
      </c>
      <c r="B328">
        <f>COUNTIFS(all_data!$H$4:$H$2585,small_source!A212)</f>
        <v>1</v>
      </c>
    </row>
    <row r="329" spans="1:2" x14ac:dyDescent="0.2">
      <c r="A329" t="s">
        <v>4709</v>
      </c>
      <c r="B329">
        <f>COUNTIFS(all_data!$H$4:$H$2585,small_source!A213)</f>
        <v>1</v>
      </c>
    </row>
    <row r="330" spans="1:2" x14ac:dyDescent="0.2">
      <c r="A330" t="s">
        <v>806</v>
      </c>
      <c r="B330">
        <f>COUNTIFS(all_data!$H$4:$H$2585,small_source!A214)</f>
        <v>1</v>
      </c>
    </row>
    <row r="331" spans="1:2" x14ac:dyDescent="0.2">
      <c r="A331" t="s">
        <v>4929</v>
      </c>
      <c r="B331">
        <f>COUNTIFS(all_data!$H$4:$H$2585,small_source!A215)</f>
        <v>1</v>
      </c>
    </row>
    <row r="332" spans="1:2" x14ac:dyDescent="0.2">
      <c r="A332" t="s">
        <v>4084</v>
      </c>
      <c r="B332">
        <f>COUNTIFS(all_data!$H$4:$H$2585,small_source!A216)</f>
        <v>1</v>
      </c>
    </row>
    <row r="333" spans="1:2" x14ac:dyDescent="0.2">
      <c r="A333" t="s">
        <v>6234</v>
      </c>
      <c r="B333">
        <f>COUNTIFS(all_data!$H$4:$H$2585,small_source!A217)</f>
        <v>1</v>
      </c>
    </row>
    <row r="334" spans="1:2" x14ac:dyDescent="0.2">
      <c r="A334" t="s">
        <v>1220</v>
      </c>
      <c r="B334">
        <f>COUNTIFS(all_data!$H$4:$H$2585,small_source!A218)</f>
        <v>1</v>
      </c>
    </row>
    <row r="335" spans="1:2" x14ac:dyDescent="0.2">
      <c r="A335" t="s">
        <v>5136</v>
      </c>
      <c r="B335">
        <f>COUNTIFS(all_data!$H$4:$H$2585,small_source!A219)</f>
        <v>1</v>
      </c>
    </row>
    <row r="336" spans="1:2" x14ac:dyDescent="0.2">
      <c r="A336" t="s">
        <v>8523</v>
      </c>
      <c r="B336">
        <f>COUNTIFS(all_data!$H$4:$H$2585,small_source!A220)</f>
        <v>1</v>
      </c>
    </row>
    <row r="337" spans="1:2" x14ac:dyDescent="0.2">
      <c r="A337" t="s">
        <v>4701</v>
      </c>
      <c r="B337">
        <f>COUNTIFS(all_data!$H$4:$H$2585,small_source!A221)</f>
        <v>1</v>
      </c>
    </row>
    <row r="338" spans="1:2" x14ac:dyDescent="0.2">
      <c r="A338" t="s">
        <v>3067</v>
      </c>
      <c r="B338">
        <f>COUNTIFS(all_data!$H$4:$H$2585,small_source!A222)</f>
        <v>1</v>
      </c>
    </row>
    <row r="339" spans="1:2" x14ac:dyDescent="0.2">
      <c r="A339" t="s">
        <v>8014</v>
      </c>
      <c r="B339">
        <f>COUNTIFS(all_data!$H$4:$H$2585,small_source!A223)</f>
        <v>1</v>
      </c>
    </row>
    <row r="340" spans="1:2" x14ac:dyDescent="0.2">
      <c r="A340" t="s">
        <v>2744</v>
      </c>
      <c r="B340">
        <f>COUNTIFS(all_data!$H$4:$H$2585,small_source!A224)</f>
        <v>1</v>
      </c>
    </row>
    <row r="341" spans="1:2" x14ac:dyDescent="0.2">
      <c r="A341" t="s">
        <v>3118</v>
      </c>
      <c r="B341">
        <f>COUNTIFS(all_data!$H$4:$H$2585,small_source!A225)</f>
        <v>1</v>
      </c>
    </row>
    <row r="342" spans="1:2" x14ac:dyDescent="0.2">
      <c r="A342" t="s">
        <v>8938</v>
      </c>
      <c r="B342">
        <f>COUNTIFS(all_data!$H$4:$H$2585,small_source!A226)</f>
        <v>1</v>
      </c>
    </row>
    <row r="343" spans="1:2" x14ac:dyDescent="0.2">
      <c r="A343" t="s">
        <v>4800</v>
      </c>
      <c r="B343">
        <f>COUNTIFS(all_data!$H$4:$H$2585,small_source!A285)</f>
        <v>1</v>
      </c>
    </row>
    <row r="344" spans="1:2" x14ac:dyDescent="0.2">
      <c r="A344" t="s">
        <v>7953</v>
      </c>
      <c r="B344">
        <f>COUNTIFS(all_data!$H$4:$H$2585,small_source!A286)</f>
        <v>1</v>
      </c>
    </row>
    <row r="345" spans="1:2" x14ac:dyDescent="0.2">
      <c r="A345" t="s">
        <v>7432</v>
      </c>
      <c r="B345">
        <f>COUNTIFS(all_data!$H$4:$H$2585,small_source!A287)</f>
        <v>1</v>
      </c>
    </row>
    <row r="346" spans="1:2" x14ac:dyDescent="0.2">
      <c r="A346" t="s">
        <v>8268</v>
      </c>
      <c r="B346">
        <f>COUNTIFS(all_data!$H$4:$H$2585,small_source!A288)</f>
        <v>1</v>
      </c>
    </row>
    <row r="347" spans="1:2" x14ac:dyDescent="0.2">
      <c r="A347" t="s">
        <v>3327</v>
      </c>
      <c r="B347">
        <f>COUNTIFS(all_data!$H$4:$H$2585,small_source!A289)</f>
        <v>1</v>
      </c>
    </row>
    <row r="348" spans="1:2" x14ac:dyDescent="0.2">
      <c r="A348" t="s">
        <v>5084</v>
      </c>
      <c r="B348">
        <f>COUNTIFS(all_data!$H$4:$H$2585,small_source!A291)</f>
        <v>1</v>
      </c>
    </row>
    <row r="349" spans="1:2" x14ac:dyDescent="0.2">
      <c r="A349" t="s">
        <v>7721</v>
      </c>
      <c r="B349">
        <f>COUNTIFS(all_data!$H$4:$H$2585,small_source!A294)</f>
        <v>1</v>
      </c>
    </row>
    <row r="350" spans="1:2" x14ac:dyDescent="0.2">
      <c r="A350" t="s">
        <v>7725</v>
      </c>
      <c r="B350">
        <f>COUNTIFS(all_data!$H$4:$H$2585,small_source!A296)</f>
        <v>1</v>
      </c>
    </row>
    <row r="351" spans="1:2" x14ac:dyDescent="0.2">
      <c r="A351" t="s">
        <v>8641</v>
      </c>
      <c r="B351">
        <f>COUNTIFS(all_data!$H$4:$H$2585,small_source!A297)</f>
        <v>1</v>
      </c>
    </row>
    <row r="352" spans="1:2" x14ac:dyDescent="0.2">
      <c r="A352" t="s">
        <v>7286</v>
      </c>
      <c r="B352">
        <f>COUNTIFS(all_data!$H$4:$H$2585,small_source!A298)</f>
        <v>1</v>
      </c>
    </row>
    <row r="353" spans="1:2" x14ac:dyDescent="0.2">
      <c r="A353" t="s">
        <v>2085</v>
      </c>
      <c r="B353">
        <f>COUNTIFS(all_data!$H$4:$H$2585,small_source!A299)</f>
        <v>1</v>
      </c>
    </row>
    <row r="354" spans="1:2" x14ac:dyDescent="0.2">
      <c r="A354" t="s">
        <v>5998</v>
      </c>
      <c r="B354">
        <f>COUNTIFS(all_data!$H$4:$H$2585,small_source!A300)</f>
        <v>1</v>
      </c>
    </row>
    <row r="355" spans="1:2" x14ac:dyDescent="0.2">
      <c r="A355" t="s">
        <v>491</v>
      </c>
      <c r="B355">
        <f>COUNTIFS(all_data!$H$4:$H$2585,small_source!A301)</f>
        <v>1</v>
      </c>
    </row>
    <row r="356" spans="1:2" x14ac:dyDescent="0.2">
      <c r="A356" t="s">
        <v>670</v>
      </c>
      <c r="B356">
        <f>COUNTIFS(all_data!$H$4:$H$2585,small_source!A302)</f>
        <v>1</v>
      </c>
    </row>
    <row r="357" spans="1:2" x14ac:dyDescent="0.2">
      <c r="A357" t="s">
        <v>660</v>
      </c>
      <c r="B357">
        <f>COUNTIFS(all_data!$H$4:$H$2585,small_source!A304)</f>
        <v>1</v>
      </c>
    </row>
    <row r="358" spans="1:2" x14ac:dyDescent="0.2">
      <c r="A358" t="s">
        <v>618</v>
      </c>
      <c r="B358">
        <f>COUNTIFS(all_data!$H$4:$H$2585,small_source!A305)</f>
        <v>1</v>
      </c>
    </row>
    <row r="359" spans="1:2" x14ac:dyDescent="0.2">
      <c r="A359" t="s">
        <v>1343</v>
      </c>
      <c r="B359">
        <f>COUNTIFS(all_data!$H$4:$H$2585,small_source!A306)</f>
        <v>1</v>
      </c>
    </row>
    <row r="360" spans="1:2" x14ac:dyDescent="0.2">
      <c r="A360" t="s">
        <v>2593</v>
      </c>
      <c r="B360">
        <f>COUNTIFS(all_data!$H$4:$H$2585,small_source!A307)</f>
        <v>1</v>
      </c>
    </row>
    <row r="361" spans="1:2" x14ac:dyDescent="0.2">
      <c r="A361" t="s">
        <v>1496</v>
      </c>
      <c r="B361">
        <f>COUNTIFS(all_data!$H$4:$H$2585,small_source!A308)</f>
        <v>1</v>
      </c>
    </row>
    <row r="362" spans="1:2" x14ac:dyDescent="0.2">
      <c r="A362" t="s">
        <v>242</v>
      </c>
      <c r="B362">
        <f>COUNTIFS(all_data!$H$4:$H$2585,small_source!A309)</f>
        <v>1</v>
      </c>
    </row>
    <row r="363" spans="1:2" x14ac:dyDescent="0.2">
      <c r="A363" t="s">
        <v>419</v>
      </c>
      <c r="B363">
        <f>COUNTIFS(all_data!$H$4:$H$2585,small_source!A310)</f>
        <v>1</v>
      </c>
    </row>
    <row r="364" spans="1:2" x14ac:dyDescent="0.2">
      <c r="A364" t="s">
        <v>827</v>
      </c>
      <c r="B364">
        <f>COUNTIFS(all_data!$H$4:$H$2585,small_source!A311)</f>
        <v>1</v>
      </c>
    </row>
    <row r="365" spans="1:2" x14ac:dyDescent="0.2">
      <c r="A365" t="s">
        <v>927</v>
      </c>
      <c r="B365">
        <f>COUNTIFS(all_data!$H$4:$H$2585,small_source!A313)</f>
        <v>1</v>
      </c>
    </row>
    <row r="366" spans="1:2" x14ac:dyDescent="0.2">
      <c r="A366" t="s">
        <v>2437</v>
      </c>
      <c r="B366">
        <f>COUNTIFS(all_data!$H$4:$H$2585,small_source!A314)</f>
        <v>1</v>
      </c>
    </row>
    <row r="367" spans="1:2" x14ac:dyDescent="0.2">
      <c r="A367" t="s">
        <v>1712</v>
      </c>
      <c r="B367">
        <f>COUNTIFS(all_data!$H$4:$H$2585,small_source!A315)</f>
        <v>1</v>
      </c>
    </row>
    <row r="368" spans="1:2" x14ac:dyDescent="0.2">
      <c r="A368" t="s">
        <v>2154</v>
      </c>
      <c r="B368">
        <f>COUNTIFS(all_data!$H$4:$H$2585,small_source!A318)</f>
        <v>1</v>
      </c>
    </row>
    <row r="369" spans="1:2" x14ac:dyDescent="0.2">
      <c r="A369" t="s">
        <v>2142</v>
      </c>
      <c r="B369">
        <f>COUNTIFS(all_data!$H$4:$H$2585,small_source!A319)</f>
        <v>1</v>
      </c>
    </row>
    <row r="370" spans="1:2" x14ac:dyDescent="0.2">
      <c r="A370" t="s">
        <v>2638</v>
      </c>
      <c r="B370">
        <f>COUNTIFS(all_data!$H$4:$H$2585,small_source!A320)</f>
        <v>1</v>
      </c>
    </row>
    <row r="371" spans="1:2" x14ac:dyDescent="0.2">
      <c r="A371" t="s">
        <v>2065</v>
      </c>
      <c r="B371">
        <f>COUNTIFS(all_data!$H$4:$H$2585,small_source!A321)</f>
        <v>1</v>
      </c>
    </row>
    <row r="372" spans="1:2" x14ac:dyDescent="0.2">
      <c r="A372" t="s">
        <v>1437</v>
      </c>
      <c r="B372">
        <f>COUNTIFS(all_data!$H$4:$H$2585,small_source!A323)</f>
        <v>1</v>
      </c>
    </row>
    <row r="373" spans="1:2" x14ac:dyDescent="0.2">
      <c r="A373" t="s">
        <v>497</v>
      </c>
      <c r="B373">
        <f>COUNTIFS(all_data!$H$4:$H$2585,small_source!A324)</f>
        <v>1</v>
      </c>
    </row>
    <row r="374" spans="1:2" x14ac:dyDescent="0.2">
      <c r="A374" t="s">
        <v>1084</v>
      </c>
      <c r="B374">
        <f>COUNTIFS(all_data!$H$4:$H$2585,small_source!A326)</f>
        <v>1</v>
      </c>
    </row>
    <row r="375" spans="1:2" x14ac:dyDescent="0.2">
      <c r="A375" t="s">
        <v>181</v>
      </c>
      <c r="B375">
        <f>COUNTIFS(all_data!$H$4:$H$2585,small_source!A329)</f>
        <v>1</v>
      </c>
    </row>
    <row r="376" spans="1:2" x14ac:dyDescent="0.2">
      <c r="A376" t="s">
        <v>917</v>
      </c>
      <c r="B376">
        <f>COUNTIFS(all_data!$H$4:$H$2585,small_source!A331)</f>
        <v>1</v>
      </c>
    </row>
    <row r="377" spans="1:2" x14ac:dyDescent="0.2">
      <c r="A377" t="s">
        <v>1096</v>
      </c>
      <c r="B377">
        <f>COUNTIFS(all_data!$H$4:$H$2585,small_source!A332)</f>
        <v>1</v>
      </c>
    </row>
    <row r="378" spans="1:2" x14ac:dyDescent="0.2">
      <c r="A378" t="s">
        <v>2162</v>
      </c>
      <c r="B378">
        <f>COUNTIFS(all_data!$H$4:$H$2585,small_source!A333)</f>
        <v>1</v>
      </c>
    </row>
    <row r="379" spans="1:2" x14ac:dyDescent="0.2">
      <c r="A379" t="s">
        <v>1577</v>
      </c>
      <c r="B379">
        <f>COUNTIFS(all_data!$H$4:$H$2585,small_source!A335)</f>
        <v>1</v>
      </c>
    </row>
    <row r="380" spans="1:2" x14ac:dyDescent="0.2">
      <c r="A380" t="s">
        <v>1835</v>
      </c>
      <c r="B380">
        <f>COUNTIFS(all_data!$H$4:$H$2585,small_source!A336)</f>
        <v>1</v>
      </c>
    </row>
    <row r="381" spans="1:2" x14ac:dyDescent="0.2">
      <c r="A381" t="s">
        <v>664</v>
      </c>
      <c r="B381">
        <f>COUNTIFS(all_data!$H$4:$H$2585,small_source!A337)</f>
        <v>1</v>
      </c>
    </row>
    <row r="382" spans="1:2" x14ac:dyDescent="0.2">
      <c r="A382" t="s">
        <v>1650</v>
      </c>
      <c r="B382">
        <f>COUNTIFS(all_data!$H$4:$H$2585,small_source!A339)</f>
        <v>1</v>
      </c>
    </row>
    <row r="383" spans="1:2" x14ac:dyDescent="0.2">
      <c r="A383" t="s">
        <v>1827</v>
      </c>
      <c r="B383">
        <f>COUNTIFS(all_data!$H$4:$H$2585,small_source!A342)</f>
        <v>1</v>
      </c>
    </row>
    <row r="384" spans="1:2" x14ac:dyDescent="0.2">
      <c r="A384" t="s">
        <v>3059</v>
      </c>
      <c r="B384">
        <f>COUNTIFS(all_data!$H$4:$H$2585,small_source!A343)</f>
        <v>1</v>
      </c>
    </row>
    <row r="385" spans="1:2" x14ac:dyDescent="0.2">
      <c r="A385" t="s">
        <v>3137</v>
      </c>
      <c r="B385">
        <f>COUNTIFS(all_data!$H$4:$H$2585,small_source!A344)</f>
        <v>1</v>
      </c>
    </row>
    <row r="386" spans="1:2" x14ac:dyDescent="0.2">
      <c r="A386" t="s">
        <v>1419</v>
      </c>
      <c r="B386">
        <f>COUNTIFS(all_data!$H$4:$H$2585,small_source!A345)</f>
        <v>1</v>
      </c>
    </row>
    <row r="387" spans="1:2" x14ac:dyDescent="0.2">
      <c r="A387" t="s">
        <v>3476</v>
      </c>
      <c r="B387">
        <f>COUNTIFS(all_data!$H$4:$H$2585,small_source!A346)</f>
        <v>1</v>
      </c>
    </row>
    <row r="388" spans="1:2" x14ac:dyDescent="0.2">
      <c r="A388" t="s">
        <v>3187</v>
      </c>
      <c r="B388">
        <f>COUNTIFS(all_data!$H$4:$H$2585,small_source!A348)</f>
        <v>1</v>
      </c>
    </row>
    <row r="389" spans="1:2" x14ac:dyDescent="0.2">
      <c r="A389" t="s">
        <v>2223</v>
      </c>
      <c r="B389">
        <f>COUNTIFS(all_data!$H$4:$H$2585,small_source!A349)</f>
        <v>1</v>
      </c>
    </row>
    <row r="390" spans="1:2" x14ac:dyDescent="0.2">
      <c r="A390" t="s">
        <v>2028</v>
      </c>
      <c r="B390">
        <f>COUNTIFS(all_data!$H$4:$H$2585,small_source!A350)</f>
        <v>1</v>
      </c>
    </row>
    <row r="391" spans="1:2" x14ac:dyDescent="0.2">
      <c r="A391" t="s">
        <v>3203</v>
      </c>
      <c r="B391">
        <f>COUNTIFS(all_data!$H$4:$H$2585,small_source!A351)</f>
        <v>1</v>
      </c>
    </row>
    <row r="392" spans="1:2" x14ac:dyDescent="0.2">
      <c r="A392" t="s">
        <v>3943</v>
      </c>
      <c r="B392">
        <f>COUNTIFS(all_data!$H$4:$H$2585,small_source!A352)</f>
        <v>1</v>
      </c>
    </row>
    <row r="393" spans="1:2" x14ac:dyDescent="0.2">
      <c r="A393" t="s">
        <v>4096</v>
      </c>
      <c r="B393">
        <f>COUNTIFS(all_data!$H$4:$H$2585,small_source!A354)</f>
        <v>1</v>
      </c>
    </row>
    <row r="394" spans="1:2" x14ac:dyDescent="0.2">
      <c r="A394" t="s">
        <v>3912</v>
      </c>
      <c r="B394">
        <f>COUNTIFS(all_data!$H$4:$H$2585,small_source!A355)</f>
        <v>1</v>
      </c>
    </row>
    <row r="395" spans="1:2" x14ac:dyDescent="0.2">
      <c r="A395" t="s">
        <v>1080</v>
      </c>
      <c r="B395">
        <f>COUNTIFS(all_data!$H$4:$H$2585,small_source!A356)</f>
        <v>1</v>
      </c>
    </row>
    <row r="396" spans="1:2" x14ac:dyDescent="0.2">
      <c r="A396" t="s">
        <v>1674</v>
      </c>
      <c r="B396">
        <f>COUNTIFS(all_data!$H$4:$H$2585,small_source!A357)</f>
        <v>1</v>
      </c>
    </row>
    <row r="397" spans="1:2" x14ac:dyDescent="0.2">
      <c r="A397" t="s">
        <v>2984</v>
      </c>
      <c r="B397">
        <f>COUNTIFS(all_data!$H$4:$H$2585,small_source!A358)</f>
        <v>1</v>
      </c>
    </row>
    <row r="398" spans="1:2" x14ac:dyDescent="0.2">
      <c r="A398" t="s">
        <v>802</v>
      </c>
      <c r="B398">
        <f>COUNTIFS(all_data!$H$4:$H$2585,small_source!A359)</f>
        <v>1</v>
      </c>
    </row>
    <row r="399" spans="1:2" x14ac:dyDescent="0.2">
      <c r="A399" t="s">
        <v>1445</v>
      </c>
      <c r="B399">
        <f>COUNTIFS(all_data!$H$4:$H$2585,small_source!A360)</f>
        <v>1</v>
      </c>
    </row>
    <row r="400" spans="1:2" x14ac:dyDescent="0.2">
      <c r="A400" t="s">
        <v>4146</v>
      </c>
      <c r="B400">
        <f>COUNTIFS(all_data!$H$4:$H$2585,small_source!A361)</f>
        <v>1</v>
      </c>
    </row>
    <row r="401" spans="1:2" x14ac:dyDescent="0.2">
      <c r="A401" t="s">
        <v>1191</v>
      </c>
      <c r="B401">
        <f>COUNTIFS(all_data!$H$4:$H$2585,small_source!A362)</f>
        <v>1</v>
      </c>
    </row>
    <row r="402" spans="1:2" x14ac:dyDescent="0.2">
      <c r="A402" t="s">
        <v>1700</v>
      </c>
      <c r="B402">
        <f>COUNTIFS(all_data!$H$4:$H$2585,small_source!A363)</f>
        <v>1</v>
      </c>
    </row>
    <row r="403" spans="1:2" x14ac:dyDescent="0.2">
      <c r="A403" t="s">
        <v>236</v>
      </c>
      <c r="B403">
        <f>COUNTIFS(all_data!$H$4:$H$2585,small_source!A364)</f>
        <v>1</v>
      </c>
    </row>
    <row r="404" spans="1:2" x14ac:dyDescent="0.2">
      <c r="A404" t="s">
        <v>962</v>
      </c>
      <c r="B404">
        <f>COUNTIFS(all_data!$H$4:$H$2585,small_source!A365)</f>
        <v>1</v>
      </c>
    </row>
    <row r="405" spans="1:2" x14ac:dyDescent="0.2">
      <c r="A405" t="s">
        <v>3114</v>
      </c>
      <c r="B405">
        <f>COUNTIFS(all_data!$H$4:$H$2585,small_source!A366)</f>
        <v>1</v>
      </c>
    </row>
    <row r="406" spans="1:2" x14ac:dyDescent="0.2">
      <c r="A406" t="s">
        <v>1730</v>
      </c>
      <c r="B406">
        <f>COUNTIFS(all_data!$H$4:$H$2585,small_source!A367)</f>
        <v>1</v>
      </c>
    </row>
    <row r="407" spans="1:2" x14ac:dyDescent="0.2">
      <c r="A407" t="s">
        <v>2740</v>
      </c>
      <c r="B407">
        <f>COUNTIFS(all_data!$H$4:$H$2585,small_source!A368)</f>
        <v>1</v>
      </c>
    </row>
    <row r="408" spans="1:2" x14ac:dyDescent="0.2">
      <c r="A408" t="s">
        <v>2778</v>
      </c>
      <c r="B408">
        <f>COUNTIFS(all_data!$H$4:$H$2585,small_source!A369)</f>
        <v>1</v>
      </c>
    </row>
    <row r="409" spans="1:2" x14ac:dyDescent="0.2">
      <c r="A409" t="s">
        <v>1670</v>
      </c>
      <c r="B409">
        <f>COUNTIFS(all_data!$H$4:$H$2585,small_source!A370)</f>
        <v>1</v>
      </c>
    </row>
    <row r="410" spans="1:2" x14ac:dyDescent="0.2">
      <c r="A410" t="s">
        <v>2158</v>
      </c>
      <c r="B410">
        <f>COUNTIFS(all_data!$H$4:$H$2585,small_source!A371)</f>
        <v>1</v>
      </c>
    </row>
    <row r="411" spans="1:2" x14ac:dyDescent="0.2">
      <c r="A411" t="s">
        <v>773</v>
      </c>
      <c r="B411">
        <f>COUNTIFS(all_data!$H$4:$H$2585,small_source!A372)</f>
        <v>1</v>
      </c>
    </row>
    <row r="412" spans="1:2" x14ac:dyDescent="0.2">
      <c r="A412" t="s">
        <v>3049</v>
      </c>
      <c r="B412">
        <f>COUNTIFS(all_data!$H$4:$H$2585,small_source!A373)</f>
        <v>1</v>
      </c>
    </row>
    <row r="413" spans="1:2" x14ac:dyDescent="0.2">
      <c r="A413" t="s">
        <v>4756</v>
      </c>
      <c r="B413">
        <f>COUNTIFS(all_data!$H$4:$H$2585,small_source!A374)</f>
        <v>1</v>
      </c>
    </row>
    <row r="414" spans="1:2" x14ac:dyDescent="0.2">
      <c r="A414" t="s">
        <v>270</v>
      </c>
      <c r="B414">
        <f>COUNTIFS(all_data!$H$4:$H$2585,small_source!A375)</f>
        <v>1</v>
      </c>
    </row>
    <row r="415" spans="1:2" x14ac:dyDescent="0.2">
      <c r="A415" t="s">
        <v>2713</v>
      </c>
      <c r="B415">
        <f>COUNTIFS(all_data!$H$4:$H$2585,small_source!A376)</f>
        <v>1</v>
      </c>
    </row>
    <row r="416" spans="1:2" x14ac:dyDescent="0.2">
      <c r="A416" t="s">
        <v>4933</v>
      </c>
      <c r="B416">
        <f>COUNTIFS(all_data!$H$4:$H$2585,small_source!A377)</f>
        <v>1</v>
      </c>
    </row>
    <row r="417" spans="1:2" x14ac:dyDescent="0.2">
      <c r="A417" t="s">
        <v>1090</v>
      </c>
      <c r="B417">
        <f>COUNTIFS(all_data!$H$4:$H$2585,small_source!A378)</f>
        <v>1</v>
      </c>
    </row>
    <row r="418" spans="1:2" x14ac:dyDescent="0.2">
      <c r="A418" t="s">
        <v>1433</v>
      </c>
      <c r="B418">
        <f>COUNTIFS(all_data!$H$4:$H$2585,small_source!A379)</f>
        <v>1</v>
      </c>
    </row>
    <row r="419" spans="1:2" x14ac:dyDescent="0.2">
      <c r="A419" t="s">
        <v>2447</v>
      </c>
      <c r="B419">
        <f>COUNTIFS(all_data!$H$4:$H$2585,small_source!A380)</f>
        <v>1</v>
      </c>
    </row>
    <row r="420" spans="1:2" x14ac:dyDescent="0.2">
      <c r="A420" t="s">
        <v>2927</v>
      </c>
      <c r="B420">
        <f>COUNTIFS(all_data!$H$4:$H$2585,small_source!A381)</f>
        <v>1</v>
      </c>
    </row>
    <row r="421" spans="1:2" x14ac:dyDescent="0.2">
      <c r="A421" t="s">
        <v>2227</v>
      </c>
      <c r="B421">
        <f>COUNTIFS(all_data!$H$4:$H$2585,small_source!A382)</f>
        <v>1</v>
      </c>
    </row>
    <row r="422" spans="1:2" x14ac:dyDescent="0.2">
      <c r="A422" t="s">
        <v>2574</v>
      </c>
      <c r="B422">
        <f>COUNTIFS(all_data!$H$4:$H$2585,small_source!A383)</f>
        <v>1</v>
      </c>
    </row>
    <row r="423" spans="1:2" x14ac:dyDescent="0.2">
      <c r="A423" t="s">
        <v>7608</v>
      </c>
      <c r="B423">
        <f>COUNTIFS(all_data!$H$4:$H$2585,small_source!A384)</f>
        <v>1</v>
      </c>
    </row>
    <row r="424" spans="1:2" x14ac:dyDescent="0.2">
      <c r="A424" t="s">
        <v>2424</v>
      </c>
      <c r="B424">
        <f>COUNTIFS(all_data!$H$4:$H$2585,small_source!A385)</f>
        <v>1</v>
      </c>
    </row>
    <row r="425" spans="1:2" x14ac:dyDescent="0.2">
      <c r="A425" t="s">
        <v>1402</v>
      </c>
      <c r="B425">
        <f>COUNTIFS(all_data!$H$4:$H$2585,small_source!A386)</f>
        <v>1</v>
      </c>
    </row>
    <row r="426" spans="1:2" x14ac:dyDescent="0.2">
      <c r="A426" t="s">
        <v>7235</v>
      </c>
      <c r="B426">
        <f>COUNTIFS(all_data!$H$4:$H$2585,small_source!A387)</f>
        <v>1</v>
      </c>
    </row>
    <row r="427" spans="1:2" x14ac:dyDescent="0.2">
      <c r="A427" t="s">
        <v>8909</v>
      </c>
      <c r="B427">
        <f>COUNTIFS(all_data!$H$4:$H$2585,small_source!A388)</f>
        <v>1</v>
      </c>
    </row>
    <row r="428" spans="1:2" x14ac:dyDescent="0.2">
      <c r="A428" t="s">
        <v>6735</v>
      </c>
      <c r="B428">
        <f>COUNTIFS(all_data!$H$4:$H$2585,small_source!A389)</f>
        <v>1</v>
      </c>
    </row>
    <row r="429" spans="1:2" x14ac:dyDescent="0.2">
      <c r="A429" t="s">
        <v>8861</v>
      </c>
      <c r="B429">
        <f>COUNTIFS(all_data!$H$4:$H$2585,small_source!A390)</f>
        <v>1</v>
      </c>
    </row>
    <row r="430" spans="1:2" x14ac:dyDescent="0.2">
      <c r="A430" t="s">
        <v>6215</v>
      </c>
      <c r="B430">
        <f>COUNTIFS(all_data!$H$4:$H$2585,small_source!A391)</f>
        <v>1</v>
      </c>
    </row>
    <row r="431" spans="1:2" x14ac:dyDescent="0.2">
      <c r="A431" t="s">
        <v>7654</v>
      </c>
      <c r="B431">
        <f>COUNTIFS(all_data!$H$4:$H$2585,small_source!A392)</f>
        <v>1</v>
      </c>
    </row>
    <row r="432" spans="1:2" x14ac:dyDescent="0.2">
      <c r="A432" t="s">
        <v>6088</v>
      </c>
      <c r="B432">
        <f>COUNTIFS(all_data!$H$4:$H$2585,small_source!A393)</f>
        <v>1</v>
      </c>
    </row>
    <row r="433" spans="1:2" x14ac:dyDescent="0.2">
      <c r="A433" t="s">
        <v>5102</v>
      </c>
      <c r="B433">
        <f>COUNTIFS(all_data!$H$4:$H$2585,small_source!A394)</f>
        <v>1</v>
      </c>
    </row>
    <row r="434" spans="1:2" x14ac:dyDescent="0.2">
      <c r="A434" t="s">
        <v>8303</v>
      </c>
      <c r="B434">
        <f>COUNTIFS(all_data!$H$4:$H$2585,small_source!A395)</f>
        <v>1</v>
      </c>
    </row>
    <row r="435" spans="1:2" x14ac:dyDescent="0.2">
      <c r="A435" t="s">
        <v>6687</v>
      </c>
      <c r="B435">
        <f>COUNTIFS(all_data!$H$4:$H$2585,small_source!A396)</f>
        <v>1</v>
      </c>
    </row>
    <row r="436" spans="1:2" x14ac:dyDescent="0.2">
      <c r="A436" t="s">
        <v>4128</v>
      </c>
      <c r="B436">
        <f>COUNTIFS(all_data!$H$4:$H$2585,small_source!A397)</f>
        <v>1</v>
      </c>
    </row>
    <row r="437" spans="1:2" x14ac:dyDescent="0.2">
      <c r="A437" t="s">
        <v>7647</v>
      </c>
      <c r="B437">
        <f>COUNTIFS(all_data!$H$4:$H$2585,small_source!A398)</f>
        <v>1</v>
      </c>
    </row>
    <row r="438" spans="1:2" x14ac:dyDescent="0.2">
      <c r="A438" t="s">
        <v>8451</v>
      </c>
      <c r="B438">
        <f>COUNTIFS(all_data!$H$4:$H$2585,small_source!A399)</f>
        <v>1</v>
      </c>
    </row>
    <row r="439" spans="1:2" x14ac:dyDescent="0.2">
      <c r="A439" t="s">
        <v>8688</v>
      </c>
      <c r="B439">
        <f>COUNTIFS(all_data!$H$4:$H$2585,small_source!A400)</f>
        <v>1</v>
      </c>
    </row>
    <row r="440" spans="1:2" x14ac:dyDescent="0.2">
      <c r="A440" t="s">
        <v>4790</v>
      </c>
      <c r="B440">
        <f>COUNTIFS(all_data!$H$4:$H$2585,small_source!A401)</f>
        <v>1</v>
      </c>
    </row>
    <row r="441" spans="1:2" x14ac:dyDescent="0.2">
      <c r="A441" t="s">
        <v>8076</v>
      </c>
      <c r="B441">
        <f>COUNTIFS(all_data!$H$4:$H$2585,small_source!A402)</f>
        <v>1</v>
      </c>
    </row>
    <row r="442" spans="1:2" x14ac:dyDescent="0.2">
      <c r="A442" t="s">
        <v>7864</v>
      </c>
      <c r="B442">
        <f>COUNTIFS(all_data!$H$4:$H$2585,small_source!A403)</f>
        <v>1</v>
      </c>
    </row>
    <row r="443" spans="1:2" x14ac:dyDescent="0.2">
      <c r="A443" t="s">
        <v>8872</v>
      </c>
      <c r="B443">
        <f>COUNTIFS(all_data!$H$4:$H$2585,small_source!A404)</f>
        <v>1</v>
      </c>
    </row>
    <row r="444" spans="1:2" x14ac:dyDescent="0.2">
      <c r="A444" t="s">
        <v>8703</v>
      </c>
      <c r="B444">
        <f>COUNTIFS(all_data!$H$4:$H$2585,small_source!A405)</f>
        <v>1</v>
      </c>
    </row>
    <row r="445" spans="1:2" x14ac:dyDescent="0.2">
      <c r="A445" t="s">
        <v>6468</v>
      </c>
      <c r="B445">
        <f>COUNTIFS(all_data!$H$4:$H$2585,small_source!A406)</f>
        <v>1</v>
      </c>
    </row>
    <row r="446" spans="1:2" x14ac:dyDescent="0.2">
      <c r="A446" t="s">
        <v>8494</v>
      </c>
      <c r="B446">
        <f>COUNTIFS(all_data!$H$4:$H$2585,small_source!A407)</f>
        <v>1</v>
      </c>
    </row>
    <row r="447" spans="1:2" x14ac:dyDescent="0.2">
      <c r="A447" t="s">
        <v>6922</v>
      </c>
      <c r="B447">
        <f>COUNTIFS(all_data!$H$4:$H$2585,small_source!A408)</f>
        <v>1</v>
      </c>
    </row>
    <row r="448" spans="1:2" x14ac:dyDescent="0.2">
      <c r="A448" t="s">
        <v>1643</v>
      </c>
      <c r="B448">
        <f>COUNTIFS(all_data!$H$4:$H$2585,small_source!A409)</f>
        <v>1</v>
      </c>
    </row>
    <row r="449" spans="1:2" x14ac:dyDescent="0.2">
      <c r="A449" t="s">
        <v>8399</v>
      </c>
      <c r="B449">
        <f>COUNTIFS(all_data!$H$4:$H$2585,small_source!A410)</f>
        <v>1</v>
      </c>
    </row>
    <row r="450" spans="1:2" x14ac:dyDescent="0.2">
      <c r="A450" t="s">
        <v>6967</v>
      </c>
      <c r="B450">
        <f>COUNTIFS(all_data!$H$4:$H$2585,small_source!A411)</f>
        <v>1</v>
      </c>
    </row>
    <row r="451" spans="1:2" x14ac:dyDescent="0.2">
      <c r="A451" t="s">
        <v>7588</v>
      </c>
      <c r="B451">
        <f>COUNTIFS(all_data!$H$4:$H$2585,small_source!A412)</f>
        <v>1</v>
      </c>
    </row>
    <row r="452" spans="1:2" x14ac:dyDescent="0.2">
      <c r="A452" t="s">
        <v>7592</v>
      </c>
      <c r="B452">
        <f>COUNTIFS(all_data!$H$4:$H$2585,small_source!A413)</f>
        <v>1</v>
      </c>
    </row>
    <row r="453" spans="1:2" x14ac:dyDescent="0.2">
      <c r="A453" t="s">
        <v>8849</v>
      </c>
      <c r="B453">
        <f>COUNTIFS(all_data!$H$4:$H$2585,small_source!A414)</f>
        <v>1</v>
      </c>
    </row>
    <row r="454" spans="1:2" x14ac:dyDescent="0.2">
      <c r="A454" t="s">
        <v>6742</v>
      </c>
      <c r="B454">
        <f>COUNTIFS(all_data!$H$4:$H$2585,small_source!A415)</f>
        <v>1</v>
      </c>
    </row>
    <row r="455" spans="1:2" x14ac:dyDescent="0.2">
      <c r="A455" t="s">
        <v>6230</v>
      </c>
      <c r="B455">
        <f>COUNTIFS(all_data!$H$4:$H$2585,small_source!A416)</f>
        <v>1</v>
      </c>
    </row>
    <row r="456" spans="1:2" x14ac:dyDescent="0.2">
      <c r="A456" t="s">
        <v>8845</v>
      </c>
      <c r="B456">
        <f>COUNTIFS(all_data!$H$4:$H$2585,small_source!A417)</f>
        <v>1</v>
      </c>
    </row>
    <row r="457" spans="1:2" x14ac:dyDescent="0.2">
      <c r="A457" t="s">
        <v>8919</v>
      </c>
      <c r="B457">
        <f>COUNTIFS(all_data!$H$4:$H$2585,small_source!A418)</f>
        <v>1</v>
      </c>
    </row>
    <row r="458" spans="1:2" x14ac:dyDescent="0.2">
      <c r="A458" t="s">
        <v>3040</v>
      </c>
      <c r="B458">
        <f>COUNTIFS(all_data!$H$4:$H$2585,small_source!A419)</f>
        <v>1</v>
      </c>
    </row>
    <row r="459" spans="1:2" x14ac:dyDescent="0.2">
      <c r="A459" t="s">
        <v>7436</v>
      </c>
      <c r="B459">
        <f>COUNTIFS(all_data!$H$4:$H$2585,small_source!A420)</f>
        <v>1</v>
      </c>
    </row>
    <row r="460" spans="1:2" x14ac:dyDescent="0.2">
      <c r="A460" t="s">
        <v>7596</v>
      </c>
      <c r="B460">
        <f>COUNTIFS(all_data!$H$4:$H$2585,small_source!A441)</f>
        <v>1</v>
      </c>
    </row>
    <row r="461" spans="1:2" x14ac:dyDescent="0.2">
      <c r="A461" t="s">
        <v>7600</v>
      </c>
      <c r="B461">
        <f>COUNTIFS(all_data!$H$4:$H$2585,small_source!A442)</f>
        <v>1</v>
      </c>
    </row>
    <row r="462" spans="1:2" x14ac:dyDescent="0.2">
      <c r="A462" t="s">
        <v>8264</v>
      </c>
      <c r="B462">
        <f>COUNTIFS(all_data!$H$4:$H$2585,small_source!A443)</f>
        <v>1</v>
      </c>
    </row>
    <row r="463" spans="1:2" x14ac:dyDescent="0.2">
      <c r="A463" t="s">
        <v>8280</v>
      </c>
      <c r="B463">
        <f>COUNTIFS(all_data!$H$4:$H$2585,small_source!A444)</f>
        <v>1</v>
      </c>
    </row>
    <row r="464" spans="1:2" x14ac:dyDescent="0.2">
      <c r="A464" t="s">
        <v>7328</v>
      </c>
      <c r="B464">
        <f>COUNTIFS(all_data!$H$4:$H$2585,small_source!A445)</f>
        <v>1</v>
      </c>
    </row>
    <row r="465" spans="1:2" x14ac:dyDescent="0.2">
      <c r="A465" t="s">
        <v>7290</v>
      </c>
      <c r="B465">
        <f>COUNTIFS(all_data!$H$4:$H$2585,small_source!A446)</f>
        <v>1</v>
      </c>
    </row>
    <row r="466" spans="1:2" x14ac:dyDescent="0.2">
      <c r="A466" t="s">
        <v>4639</v>
      </c>
      <c r="B466">
        <f>COUNTIFS(all_data!$H$4:$H$2585,small_source!A447)</f>
        <v>1</v>
      </c>
    </row>
    <row r="467" spans="1:2" x14ac:dyDescent="0.2">
      <c r="A467" t="s">
        <v>7428</v>
      </c>
      <c r="B467">
        <f>COUNTIFS(all_data!$H$4:$H$2585,small_source!A449)</f>
        <v>1</v>
      </c>
    </row>
    <row r="468" spans="1:2" x14ac:dyDescent="0.2">
      <c r="A468" t="s">
        <v>4961</v>
      </c>
      <c r="B468">
        <f>COUNTIFS(all_data!$H$4:$H$2585,small_source!A450)</f>
        <v>1</v>
      </c>
    </row>
    <row r="469" spans="1:2" x14ac:dyDescent="0.2">
      <c r="A469" t="s">
        <v>7630</v>
      </c>
      <c r="B469">
        <f>COUNTIFS(all_data!$H$4:$H$2585,small_source!A451)</f>
        <v>1</v>
      </c>
    </row>
    <row r="470" spans="1:2" x14ac:dyDescent="0.2">
      <c r="A470" t="s">
        <v>8490</v>
      </c>
      <c r="B470">
        <f>COUNTIFS(all_data!$H$4:$H$2585,small_source!A452)</f>
        <v>1</v>
      </c>
    </row>
    <row r="471" spans="1:2" x14ac:dyDescent="0.2">
      <c r="A471" t="s">
        <v>2546</v>
      </c>
      <c r="B471">
        <f>COUNTIFS(all_data!$H$4:$H$2585,small_source!A453)</f>
        <v>1</v>
      </c>
    </row>
    <row r="472" spans="1:2" x14ac:dyDescent="0.2">
      <c r="A472" t="s">
        <v>2988</v>
      </c>
      <c r="B472">
        <f>COUNTIFS(all_data!$H$4:$H$2585,small_source!A454)</f>
        <v>1</v>
      </c>
    </row>
    <row r="473" spans="1:2" x14ac:dyDescent="0.2">
      <c r="A473" t="s">
        <v>6451</v>
      </c>
      <c r="B473">
        <f>COUNTIFS(all_data!$H$4:$H$2585,small_source!A455)</f>
        <v>1</v>
      </c>
    </row>
    <row r="474" spans="1:2" x14ac:dyDescent="0.2">
      <c r="A474" t="s">
        <v>8922</v>
      </c>
      <c r="B474">
        <f>COUNTIFS(all_data!$H$4:$H$2585,small_source!A456)</f>
        <v>1</v>
      </c>
    </row>
    <row r="475" spans="1:2" x14ac:dyDescent="0.2">
      <c r="A475" t="s">
        <v>3920</v>
      </c>
      <c r="B475">
        <f>COUNTIFS(all_data!$H$4:$H$2585,small_source!A457)</f>
        <v>1</v>
      </c>
    </row>
    <row r="476" spans="1:2" x14ac:dyDescent="0.2">
      <c r="A476" t="s">
        <v>7185</v>
      </c>
      <c r="B476">
        <f>COUNTIFS(all_data!$H$4:$H$2585,small_source!A459)</f>
        <v>1</v>
      </c>
    </row>
    <row r="477" spans="1:2" x14ac:dyDescent="0.2">
      <c r="A477" t="s">
        <v>7356</v>
      </c>
      <c r="B477">
        <f>COUNTIFS(all_data!$H$4:$H$2585,small_source!A460)</f>
        <v>1</v>
      </c>
    </row>
    <row r="478" spans="1:2" x14ac:dyDescent="0.2">
      <c r="A478" t="s">
        <v>7177</v>
      </c>
      <c r="B478">
        <f>COUNTIFS(all_data!$H$4:$H$2585,small_source!A461)</f>
        <v>1</v>
      </c>
    </row>
    <row r="479" spans="1:2" x14ac:dyDescent="0.2">
      <c r="A479" t="s">
        <v>7949</v>
      </c>
      <c r="B479">
        <f>COUNTIFS(all_data!$H$4:$H$2585,small_source!A462)</f>
        <v>1</v>
      </c>
    </row>
    <row r="480" spans="1:2" x14ac:dyDescent="0.2">
      <c r="A480" t="s">
        <v>4745</v>
      </c>
      <c r="B480">
        <f>COUNTIFS(all_data!$H$4:$H$2585,small_source!A463)</f>
        <v>1</v>
      </c>
    </row>
    <row r="481" spans="1:2" x14ac:dyDescent="0.2">
      <c r="A481" t="s">
        <v>7231</v>
      </c>
      <c r="B481">
        <f>COUNTIFS(all_data!$H$4:$H$2585,small_source!A464)</f>
        <v>1</v>
      </c>
    </row>
    <row r="482" spans="1:2" x14ac:dyDescent="0.2">
      <c r="A482" t="s">
        <v>7604</v>
      </c>
      <c r="B482">
        <f>COUNTIFS(all_data!$H$4:$H$2585,small_source!A465)</f>
        <v>1</v>
      </c>
    </row>
    <row r="483" spans="1:2" x14ac:dyDescent="0.2">
      <c r="A483" t="s">
        <v>7622</v>
      </c>
      <c r="B483">
        <f>COUNTIFS(all_data!$H$4:$H$2585,small_source!A467)</f>
        <v>1</v>
      </c>
    </row>
    <row r="484" spans="1:2" x14ac:dyDescent="0.2">
      <c r="A484" t="s">
        <v>8901</v>
      </c>
      <c r="B484">
        <f>COUNTIFS(all_data!$H$4:$H$2585,small_source!A469)</f>
        <v>1</v>
      </c>
    </row>
    <row r="485" spans="1:2" x14ac:dyDescent="0.2">
      <c r="A485" t="s">
        <v>2688</v>
      </c>
      <c r="B485">
        <f>COUNTIFS(all_data!$H$4:$H$2585,small_source!A470)</f>
        <v>1</v>
      </c>
    </row>
    <row r="486" spans="1:2" x14ac:dyDescent="0.2">
      <c r="A486" t="s">
        <v>2699</v>
      </c>
      <c r="B486">
        <f>COUNTIFS(all_data!$H$4:$H$2585,small_source!A473)</f>
        <v>1</v>
      </c>
    </row>
    <row r="487" spans="1:2" x14ac:dyDescent="0.2">
      <c r="A487" t="s">
        <v>8276</v>
      </c>
      <c r="B487">
        <f>COUNTIFS(all_data!$H$4:$H$2585,small_source!A474)</f>
        <v>1</v>
      </c>
    </row>
    <row r="488" spans="1:2" x14ac:dyDescent="0.2">
      <c r="A488" t="s">
        <v>7420</v>
      </c>
      <c r="B488">
        <f>COUNTIFS(all_data!$H$4:$H$2585,small_source!A476)</f>
        <v>1</v>
      </c>
    </row>
    <row r="489" spans="1:2" x14ac:dyDescent="0.2">
      <c r="A489" t="s">
        <v>7872</v>
      </c>
      <c r="B489">
        <f>COUNTIFS(all_data!$H$4:$H$2585,small_source!A477)</f>
        <v>1</v>
      </c>
    </row>
    <row r="490" spans="1:2" x14ac:dyDescent="0.2">
      <c r="A490" t="s">
        <v>8010</v>
      </c>
      <c r="B490">
        <f>COUNTIFS(all_data!$H$4:$H$2585,small_source!A478)</f>
        <v>1</v>
      </c>
    </row>
    <row r="491" spans="1:2" x14ac:dyDescent="0.2">
      <c r="A491" t="s">
        <v>8841</v>
      </c>
      <c r="B491">
        <f>COUNTIFS(all_data!$H$4:$H$2585,small_source!A479)</f>
        <v>1</v>
      </c>
    </row>
    <row r="492" spans="1:2" x14ac:dyDescent="0.2">
      <c r="A492" t="s">
        <v>8652</v>
      </c>
      <c r="B492">
        <f>COUNTIFS(all_data!$H$4:$H$2585,small_source!A481)</f>
        <v>1</v>
      </c>
    </row>
    <row r="493" spans="1:2" x14ac:dyDescent="0.2">
      <c r="A493" t="s">
        <v>8292</v>
      </c>
      <c r="B493">
        <f>COUNTIFS(all_data!$H$4:$H$2585,small_source!A482)</f>
        <v>1</v>
      </c>
    </row>
    <row r="494" spans="1:2" x14ac:dyDescent="0.2">
      <c r="A494" t="s">
        <v>7634</v>
      </c>
      <c r="B494">
        <f>COUNTIFS(all_data!$H$4:$H$2585,small_source!A483)</f>
        <v>1</v>
      </c>
    </row>
    <row r="495" spans="1:2" x14ac:dyDescent="0.2">
      <c r="A495" t="s">
        <v>7626</v>
      </c>
      <c r="B495">
        <f>COUNTIFS(all_data!$H$4:$H$2585,small_source!A484)</f>
        <v>1</v>
      </c>
    </row>
    <row r="496" spans="1:2" x14ac:dyDescent="0.2">
      <c r="A496" t="s">
        <v>8288</v>
      </c>
      <c r="B496">
        <f>COUNTIFS(all_data!$H$4:$H$2585,small_source!A487)</f>
        <v>1</v>
      </c>
    </row>
    <row r="497" spans="1:2" x14ac:dyDescent="0.2">
      <c r="A497" t="s">
        <v>6444</v>
      </c>
      <c r="B497">
        <f>COUNTIFS(all_data!$H$4:$H$2585,small_source!A488)</f>
        <v>1</v>
      </c>
    </row>
    <row r="498" spans="1:2" x14ac:dyDescent="0.2">
      <c r="A498" t="s">
        <v>8868</v>
      </c>
      <c r="B498">
        <f>COUNTIFS(all_data!$H$4:$H$2585,small_source!A489)</f>
        <v>1</v>
      </c>
    </row>
    <row r="499" spans="1:2" x14ac:dyDescent="0.2">
      <c r="A499" t="s">
        <v>2706</v>
      </c>
      <c r="B499">
        <f>COUNTIFS(all_data!$H$4:$H$2585,small_source!A490)</f>
        <v>1</v>
      </c>
    </row>
    <row r="500" spans="1:2" x14ac:dyDescent="0.2">
      <c r="A500" t="s">
        <v>4223</v>
      </c>
      <c r="B500">
        <f>COUNTIFS(all_data!$H$4:$H$2585,small_source!A491)</f>
        <v>1</v>
      </c>
    </row>
    <row r="501" spans="1:2" x14ac:dyDescent="0.2">
      <c r="A501" t="s">
        <v>3469</v>
      </c>
      <c r="B501">
        <f>COUNTIFS(all_data!$H$4:$H$2585,small_source!A492)</f>
        <v>1</v>
      </c>
    </row>
    <row r="502" spans="1:2" x14ac:dyDescent="0.2">
      <c r="A502" t="s">
        <v>7665</v>
      </c>
      <c r="B502">
        <f>COUNTIFS(all_data!$H$4:$H$2585,small_source!A493)</f>
        <v>1</v>
      </c>
    </row>
    <row r="503" spans="1:2" x14ac:dyDescent="0.2">
      <c r="A503" t="s">
        <v>8695</v>
      </c>
      <c r="B503">
        <f>COUNTIFS(all_data!$H$4:$H$2585,small_source!A494)</f>
        <v>1</v>
      </c>
    </row>
    <row r="504" spans="1:2" x14ac:dyDescent="0.2">
      <c r="A504" t="s">
        <v>8136</v>
      </c>
      <c r="B504">
        <f>COUNTIFS(all_data!$H$4:$H$2585,small_source!A495)</f>
        <v>1</v>
      </c>
    </row>
    <row r="505" spans="1:2" x14ac:dyDescent="0.2">
      <c r="A505" t="s">
        <v>6934</v>
      </c>
      <c r="B505">
        <f>COUNTIFS(all_data!$H$4:$H$2585,small_source!A496)</f>
        <v>1</v>
      </c>
    </row>
    <row r="506" spans="1:2" x14ac:dyDescent="0.2">
      <c r="A506" t="s">
        <v>6472</v>
      </c>
      <c r="B506">
        <f>COUNTIFS(all_data!$H$4:$H$2585,small_source!A498)</f>
        <v>1</v>
      </c>
    </row>
    <row r="507" spans="1:2" x14ac:dyDescent="0.2">
      <c r="A507" t="s">
        <v>1536</v>
      </c>
      <c r="B507">
        <f>COUNTIFS(all_data!$H$4:$H$2585,small_source!A502)</f>
        <v>1</v>
      </c>
    </row>
    <row r="508" spans="1:2" x14ac:dyDescent="0.2">
      <c r="A508" t="s">
        <v>842</v>
      </c>
      <c r="B508">
        <f>COUNTIFS(all_data!$H$4:$H$2585,small_source!A503)</f>
        <v>1</v>
      </c>
    </row>
    <row r="509" spans="1:2" x14ac:dyDescent="0.2">
      <c r="A509" t="s">
        <v>8880</v>
      </c>
      <c r="B509">
        <f>COUNTIFS(all_data!$H$4:$H$2585,small_source!A504)</f>
        <v>1</v>
      </c>
    </row>
    <row r="510" spans="1:2" x14ac:dyDescent="0.2">
      <c r="A510" t="s">
        <v>3656</v>
      </c>
      <c r="B510">
        <f>COUNTIFS(all_data!$H$4:$H$2585,small_source!A509)</f>
        <v>1</v>
      </c>
    </row>
    <row r="511" spans="1:2" x14ac:dyDescent="0.2">
      <c r="A511" t="s">
        <v>8667</v>
      </c>
      <c r="B511">
        <f>COUNTIFS(all_data!$H$4:$H$2585,small_source!A511)</f>
        <v>1</v>
      </c>
    </row>
    <row r="512" spans="1:2" x14ac:dyDescent="0.2">
      <c r="A512" t="s">
        <v>8853</v>
      </c>
      <c r="B512">
        <f>COUNTIFS(all_data!$H$4:$H$2585,small_source!A512)</f>
        <v>1</v>
      </c>
    </row>
    <row r="513" spans="1:2" x14ac:dyDescent="0.2">
      <c r="A513" t="s">
        <v>8942</v>
      </c>
      <c r="B513">
        <f>COUNTIFS(all_data!$H$4:$H$2585,small_source!A513)</f>
        <v>1</v>
      </c>
    </row>
    <row r="514" spans="1:2" x14ac:dyDescent="0.2">
      <c r="A514" t="s">
        <v>514</v>
      </c>
      <c r="B514">
        <f>COUNTIFS(all_data!$H$4:$H$2585,small_source!A514)</f>
        <v>1</v>
      </c>
    </row>
    <row r="515" spans="1:2" x14ac:dyDescent="0.2">
      <c r="A515" t="s">
        <v>1567</v>
      </c>
      <c r="B515">
        <f>COUNTIFS(all_data!$H$4:$H$2585,small_source!A515)</f>
        <v>1</v>
      </c>
    </row>
    <row r="516" spans="1:2" x14ac:dyDescent="0.2">
      <c r="A516" t="s">
        <v>1229</v>
      </c>
      <c r="B516">
        <f>COUNTIFS(all_data!$H$4:$H$2585,small_source!A516)</f>
        <v>1</v>
      </c>
    </row>
    <row r="517" spans="1:2" x14ac:dyDescent="0.2">
      <c r="A517" t="s">
        <v>2420</v>
      </c>
      <c r="B517">
        <f>COUNTIFS(all_data!$H$4:$H$2585,small_source!A517)</f>
        <v>1</v>
      </c>
    </row>
    <row r="518" spans="1:2" x14ac:dyDescent="0.2">
      <c r="A518" t="s">
        <v>777</v>
      </c>
      <c r="B518">
        <f>COUNTIFS(all_data!$H$4:$H$2585,small_source!A518)</f>
        <v>1</v>
      </c>
    </row>
    <row r="519" spans="1:2" x14ac:dyDescent="0.2">
      <c r="A519" t="s">
        <v>2597</v>
      </c>
      <c r="B519">
        <f>COUNTIFS(all_data!$H$4:$H$2585,small_source!A519)</f>
        <v>1</v>
      </c>
    </row>
    <row r="520" spans="1:2" x14ac:dyDescent="0.2">
      <c r="A520" t="s">
        <v>1423</v>
      </c>
      <c r="B520">
        <f>COUNTIFS(all_data!$H$4:$H$2585,small_source!A520)</f>
        <v>1</v>
      </c>
    </row>
    <row r="521" spans="1:2" x14ac:dyDescent="0.2">
      <c r="A521" t="s">
        <v>3078</v>
      </c>
      <c r="B521">
        <f>COUNTIFS(all_data!$H$4:$H$2585,small_source!A521)</f>
        <v>1</v>
      </c>
    </row>
    <row r="522" spans="1:2" x14ac:dyDescent="0.2">
      <c r="A522" t="s">
        <v>3149</v>
      </c>
      <c r="B522">
        <f>COUNTIFS(all_data!$H$4:$H$2585,small_source!A522)</f>
        <v>1</v>
      </c>
    </row>
    <row r="523" spans="1:2" x14ac:dyDescent="0.2">
      <c r="A523" t="s">
        <v>1684</v>
      </c>
      <c r="B523">
        <f>COUNTIFS(all_data!$H$4:$H$2585,small_source!A523)</f>
        <v>1</v>
      </c>
    </row>
    <row r="524" spans="1:2" x14ac:dyDescent="0.2">
      <c r="A524" t="s">
        <v>3195</v>
      </c>
      <c r="B524">
        <f>COUNTIFS(all_data!$H$4:$H$2585,small_source!A524)</f>
        <v>1</v>
      </c>
    </row>
    <row r="525" spans="1:2" x14ac:dyDescent="0.2">
      <c r="A525" t="s">
        <v>644</v>
      </c>
      <c r="B525">
        <f>COUNTIFS(all_data!$H$4:$H$2585,small_source!A525)</f>
        <v>1</v>
      </c>
    </row>
    <row r="526" spans="1:2" x14ac:dyDescent="0.2">
      <c r="A526" t="s">
        <v>647</v>
      </c>
      <c r="B526">
        <f>COUNTIFS(all_data!$H$4:$H$2585,small_source!A526)</f>
        <v>1</v>
      </c>
    </row>
    <row r="527" spans="1:2" x14ac:dyDescent="0.2">
      <c r="A527" t="s">
        <v>3788</v>
      </c>
      <c r="B527">
        <f>COUNTIFS(all_data!$H$4:$H$2585,small_source!A527)</f>
        <v>1</v>
      </c>
    </row>
    <row r="528" spans="1:2" x14ac:dyDescent="0.2">
      <c r="A528" t="s">
        <v>2670</v>
      </c>
      <c r="B528">
        <f>COUNTIFS(all_data!$H$4:$H$2585,small_source!A528)</f>
        <v>1</v>
      </c>
    </row>
    <row r="529" spans="1:2" x14ac:dyDescent="0.2">
      <c r="A529" t="s">
        <v>2274</v>
      </c>
      <c r="B529">
        <f>COUNTIFS(all_data!$H$4:$H$2585,small_source!A529)</f>
        <v>1</v>
      </c>
    </row>
    <row r="530" spans="1:2" x14ac:dyDescent="0.2">
      <c r="A530" t="s">
        <v>5140</v>
      </c>
      <c r="B530">
        <f>COUNTIFS(all_data!$H$4:$H$2585,small_source!A530)</f>
        <v>1</v>
      </c>
    </row>
    <row r="531" spans="1:2" x14ac:dyDescent="0.2">
      <c r="A531" t="s">
        <v>2170</v>
      </c>
      <c r="B531">
        <f>COUNTIFS(all_data!$H$4:$H$2585,small_source!A531)</f>
        <v>1</v>
      </c>
    </row>
    <row r="532" spans="1:2" x14ac:dyDescent="0.2">
      <c r="A532" t="s">
        <v>2891</v>
      </c>
      <c r="B532">
        <f>COUNTIFS(all_data!$H$4:$H$2585,small_source!A532)</f>
        <v>1</v>
      </c>
    </row>
    <row r="533" spans="1:2" x14ac:dyDescent="0.2">
      <c r="A533" t="s">
        <v>2907</v>
      </c>
      <c r="B533">
        <f>COUNTIFS(all_data!$H$4:$H$2585,small_source!A533)</f>
        <v>1</v>
      </c>
    </row>
    <row r="534" spans="1:2" x14ac:dyDescent="0.2">
      <c r="A534" t="s">
        <v>3403</v>
      </c>
      <c r="B534">
        <f>COUNTIFS(all_data!$H$4:$H$2585,small_source!A534)</f>
        <v>1</v>
      </c>
    </row>
    <row r="535" spans="1:2" x14ac:dyDescent="0.2">
      <c r="A535" t="s">
        <v>5058</v>
      </c>
      <c r="B535">
        <f>COUNTIFS(all_data!$H$4:$H$2585,small_source!A535)</f>
        <v>1</v>
      </c>
    </row>
    <row r="536" spans="1:2" x14ac:dyDescent="0.2">
      <c r="A536" t="s">
        <v>175</v>
      </c>
      <c r="B536">
        <f>COUNTIFS(all_data!$H$4:$H$2585,small_source!A536)</f>
        <v>1</v>
      </c>
    </row>
    <row r="537" spans="1:2" x14ac:dyDescent="0.2">
      <c r="A537" t="s">
        <v>2265</v>
      </c>
      <c r="B537">
        <f>COUNTIFS(all_data!$H$4:$H$2585,small_source!A537)</f>
        <v>1</v>
      </c>
    </row>
    <row r="538" spans="1:2" x14ac:dyDescent="0.2">
      <c r="A538" t="s">
        <v>3947</v>
      </c>
      <c r="B538">
        <f>COUNTIFS(all_data!$H$4:$H$2585,small_source!A538)</f>
        <v>1</v>
      </c>
    </row>
    <row r="539" spans="1:2" x14ac:dyDescent="0.2">
      <c r="A539" t="s">
        <v>3141</v>
      </c>
      <c r="B539">
        <f>COUNTIFS(all_data!$H$4:$H$2585,small_source!A539)</f>
        <v>1</v>
      </c>
    </row>
    <row r="540" spans="1:2" x14ac:dyDescent="0.2">
      <c r="A540" t="s">
        <v>3407</v>
      </c>
      <c r="B540">
        <f>COUNTIFS(all_data!$H$4:$H$2585,small_source!A540)</f>
        <v>1</v>
      </c>
    </row>
    <row r="541" spans="1:2" x14ac:dyDescent="0.2">
      <c r="A541" t="s">
        <v>3792</v>
      </c>
      <c r="B541">
        <f>COUNTIFS(all_data!$H$4:$H$2585,small_source!A541)</f>
        <v>1</v>
      </c>
    </row>
    <row r="542" spans="1:2" x14ac:dyDescent="0.2">
      <c r="A542" t="s">
        <v>3034</v>
      </c>
      <c r="B542">
        <f>COUNTIFS(all_data!$H$4:$H$2585,small_source!A542)</f>
        <v>1</v>
      </c>
    </row>
    <row r="543" spans="1:2" x14ac:dyDescent="0.2">
      <c r="A543" t="s">
        <v>3800</v>
      </c>
      <c r="B543">
        <f>COUNTIFS(all_data!$H$4:$H$2585,small_source!A543)</f>
        <v>1</v>
      </c>
    </row>
    <row r="544" spans="1:2" x14ac:dyDescent="0.2">
      <c r="A544" t="s">
        <v>949</v>
      </c>
      <c r="B544">
        <f>COUNTIFS(all_data!$H$4:$H$2585,small_source!A544)</f>
        <v>1</v>
      </c>
    </row>
    <row r="545" spans="1:2" x14ac:dyDescent="0.2">
      <c r="A545" t="s">
        <v>1678</v>
      </c>
      <c r="B545">
        <f>COUNTIFS(all_data!$H$4:$H$2585,small_source!A545)</f>
        <v>1</v>
      </c>
    </row>
    <row r="546" spans="1:2" x14ac:dyDescent="0.2">
      <c r="A546" t="s">
        <v>2048</v>
      </c>
      <c r="B546">
        <f>COUNTIFS(all_data!$H$4:$H$2585,small_source!A546)</f>
        <v>1</v>
      </c>
    </row>
    <row r="547" spans="1:2" x14ac:dyDescent="0.2">
      <c r="A547" t="s">
        <v>6067</v>
      </c>
      <c r="B547">
        <f>COUNTIFS(all_data!$H$4:$H$2585,small_source!A547)</f>
        <v>1</v>
      </c>
    </row>
    <row r="548" spans="1:2" x14ac:dyDescent="0.2">
      <c r="A548" t="s">
        <v>2887</v>
      </c>
      <c r="B548">
        <f>COUNTIFS(all_data!$H$4:$H$2585,small_source!A548)</f>
        <v>1</v>
      </c>
    </row>
    <row r="549" spans="1:2" x14ac:dyDescent="0.2">
      <c r="A549" t="s">
        <v>2656</v>
      </c>
      <c r="B549">
        <f>COUNTIFS(all_data!$H$4:$H$2585,small_source!A549)</f>
        <v>1</v>
      </c>
    </row>
    <row r="550" spans="1:2" x14ac:dyDescent="0.2">
      <c r="A550" t="s">
        <v>2674</v>
      </c>
      <c r="B550">
        <f>COUNTIFS(all_data!$H$4:$H$2585,small_source!A550)</f>
        <v>1</v>
      </c>
    </row>
    <row r="551" spans="1:2" x14ac:dyDescent="0.2">
      <c r="A551" t="s">
        <v>3904</v>
      </c>
      <c r="B551">
        <f>COUNTIFS(all_data!$H$4:$H$2585,small_source!A551)</f>
        <v>1</v>
      </c>
    </row>
    <row r="552" spans="1:2" x14ac:dyDescent="0.2">
      <c r="A552" t="s">
        <v>5040</v>
      </c>
      <c r="B552">
        <f>COUNTIFS(all_data!$H$4:$H$2585,small_source!A552)</f>
        <v>1</v>
      </c>
    </row>
    <row r="553" spans="1:2" x14ac:dyDescent="0.2">
      <c r="A553" t="s">
        <v>248</v>
      </c>
      <c r="B553">
        <f>COUNTIFS(all_data!$H$4:$H$2585,small_source!A553)</f>
        <v>1</v>
      </c>
    </row>
    <row r="554" spans="1:2" x14ac:dyDescent="0.2">
      <c r="A554" t="s">
        <v>853</v>
      </c>
      <c r="B554">
        <f>COUNTIFS(all_data!$H$4:$H$2585,small_source!A554)</f>
        <v>1</v>
      </c>
    </row>
    <row r="555" spans="1:2" x14ac:dyDescent="0.2">
      <c r="A555" t="s">
        <v>2092</v>
      </c>
      <c r="B555">
        <f>COUNTIFS(all_data!$H$4:$H$2585,small_source!A555)</f>
        <v>1</v>
      </c>
    </row>
    <row r="556" spans="1:2" x14ac:dyDescent="0.2">
      <c r="A556" t="s">
        <v>5170</v>
      </c>
      <c r="B556">
        <f>COUNTIFS(all_data!$H$4:$H$2585,small_source!A556)</f>
        <v>1</v>
      </c>
    </row>
    <row r="557" spans="1:2" x14ac:dyDescent="0.2">
      <c r="A557" t="s">
        <v>4786</v>
      </c>
      <c r="B557">
        <f>COUNTIFS(all_data!$H$4:$H$2585,small_source!A557)</f>
        <v>1</v>
      </c>
    </row>
    <row r="558" spans="1:2" x14ac:dyDescent="0.2">
      <c r="A558" t="s">
        <v>2443</v>
      </c>
      <c r="B558">
        <f>COUNTIFS(all_data!$H$4:$H$2585,small_source!A558)</f>
        <v>1</v>
      </c>
    </row>
    <row r="559" spans="1:2" x14ac:dyDescent="0.2">
      <c r="A559" t="s">
        <v>2931</v>
      </c>
      <c r="B559">
        <f>COUNTIFS(all_data!$H$4:$H$2585,small_source!A559)</f>
        <v>1</v>
      </c>
    </row>
    <row r="560" spans="1:2" x14ac:dyDescent="0.2">
      <c r="A560" t="s">
        <v>1214</v>
      </c>
      <c r="B560">
        <f>COUNTIFS(all_data!$H$4:$H$2585,small_source!A560)</f>
        <v>1</v>
      </c>
    </row>
    <row r="561" spans="1:2" x14ac:dyDescent="0.2">
      <c r="A561" t="s">
        <v>3082</v>
      </c>
      <c r="B561">
        <f>COUNTIFS(all_data!$H$4:$H$2585,small_source!A561)</f>
        <v>1</v>
      </c>
    </row>
    <row r="562" spans="1:2" x14ac:dyDescent="0.2">
      <c r="A562" t="s">
        <v>1716</v>
      </c>
      <c r="B562">
        <f>COUNTIFS(all_data!$H$4:$H$2585,small_source!A562)</f>
        <v>1</v>
      </c>
    </row>
    <row r="563" spans="1:2" x14ac:dyDescent="0.2">
      <c r="A563" t="s">
        <v>3025</v>
      </c>
      <c r="B563">
        <f>COUNTIFS(all_data!$H$4:$H$2585,small_source!A563)</f>
        <v>1</v>
      </c>
    </row>
    <row r="564" spans="1:2" x14ac:dyDescent="0.2">
      <c r="A564" t="s">
        <v>3145</v>
      </c>
      <c r="B564">
        <f>COUNTIFS(all_data!$H$4:$H$2585,small_source!A564)</f>
        <v>1</v>
      </c>
    </row>
    <row r="565" spans="1:2" x14ac:dyDescent="0.2">
      <c r="A565" t="s">
        <v>4816</v>
      </c>
      <c r="B565">
        <f>COUNTIFS(all_data!$H$4:$H$2585,small_source!A565)</f>
        <v>1</v>
      </c>
    </row>
    <row r="566" spans="1:2" x14ac:dyDescent="0.2">
      <c r="A566" t="s">
        <v>3074</v>
      </c>
      <c r="B566">
        <f>COUNTIFS(all_data!$H$4:$H$2585,small_source!A566)</f>
        <v>1</v>
      </c>
    </row>
    <row r="567" spans="1:2" x14ac:dyDescent="0.2">
      <c r="A567" t="s">
        <v>4947</v>
      </c>
      <c r="B567">
        <f>COUNTIFS(all_data!$H$4:$H$2585,small_source!A567)</f>
        <v>1</v>
      </c>
    </row>
    <row r="568" spans="1:2" x14ac:dyDescent="0.2">
      <c r="A568" t="s">
        <v>3323</v>
      </c>
      <c r="B568">
        <f>COUNTIFS(all_data!$H$4:$H$2585,small_source!A568)</f>
        <v>1</v>
      </c>
    </row>
    <row r="569" spans="1:2" x14ac:dyDescent="0.2">
      <c r="A569" t="s">
        <v>4088</v>
      </c>
      <c r="B569">
        <f>COUNTIFS(all_data!$H$4:$H$2585,small_source!A569)</f>
        <v>1</v>
      </c>
    </row>
    <row r="570" spans="1:2" x14ac:dyDescent="0.2">
      <c r="A570" t="s">
        <v>1704</v>
      </c>
      <c r="B570">
        <f>COUNTIFS(all_data!$H$4:$H$2585,small_source!A570)</f>
        <v>1</v>
      </c>
    </row>
    <row r="571" spans="1:2" x14ac:dyDescent="0.2">
      <c r="A571" t="s">
        <v>527</v>
      </c>
      <c r="B571">
        <f>COUNTIFS(all_data!$H$4:$H$2585,small_source!A571)</f>
        <v>1</v>
      </c>
    </row>
    <row r="572" spans="1:2" x14ac:dyDescent="0.2">
      <c r="A572" t="s">
        <v>1839</v>
      </c>
      <c r="B572">
        <f>COUNTIFS(all_data!$H$4:$H$2585,small_source!A572)</f>
        <v>1</v>
      </c>
    </row>
    <row r="573" spans="1:2" x14ac:dyDescent="0.2">
      <c r="A573" t="s">
        <v>3808</v>
      </c>
      <c r="B573">
        <f>COUNTIFS(all_data!$H$4:$H$2585,small_source!A573)</f>
        <v>1</v>
      </c>
    </row>
    <row r="574" spans="1:2" x14ac:dyDescent="0.2">
      <c r="A574" t="s">
        <v>1692</v>
      </c>
      <c r="B574">
        <f>COUNTIFS(all_data!$H$4:$H$2585,small_source!A574)</f>
        <v>1</v>
      </c>
    </row>
    <row r="575" spans="1:2" x14ac:dyDescent="0.2">
      <c r="A575" t="s">
        <v>2146</v>
      </c>
      <c r="B575">
        <f>COUNTIFS(all_data!$H$4:$H$2585,small_source!A575)</f>
        <v>1</v>
      </c>
    </row>
    <row r="576" spans="1:2" x14ac:dyDescent="0.2">
      <c r="A576" t="s">
        <v>2261</v>
      </c>
      <c r="B576">
        <f>COUNTIFS(all_data!$H$4:$H$2585,small_source!A576)</f>
        <v>1</v>
      </c>
    </row>
    <row r="577" spans="1:2" x14ac:dyDescent="0.2">
      <c r="A577" t="s">
        <v>2767</v>
      </c>
      <c r="B577">
        <f>COUNTIFS(all_data!$H$4:$H$2585,small_source!A577)</f>
        <v>1</v>
      </c>
    </row>
    <row r="578" spans="1:2" x14ac:dyDescent="0.2">
      <c r="A578" t="s">
        <v>2980</v>
      </c>
      <c r="B578">
        <f>COUNTIFS(all_data!$H$4:$H$2585,small_source!A578)</f>
        <v>1</v>
      </c>
    </row>
    <row r="579" spans="1:2" x14ac:dyDescent="0.2">
      <c r="A579" t="s">
        <v>3107</v>
      </c>
      <c r="B579">
        <f>COUNTIFS(all_data!$H$4:$H$2585,small_source!A579)</f>
        <v>1</v>
      </c>
    </row>
    <row r="580" spans="1:2" x14ac:dyDescent="0.2">
      <c r="A580" t="s">
        <v>6671</v>
      </c>
      <c r="B580">
        <f>COUNTIFS(all_data!$H$4:$H$2585,small_source!A580)</f>
        <v>1</v>
      </c>
    </row>
    <row r="581" spans="1:2" x14ac:dyDescent="0.2">
      <c r="A581" t="s">
        <v>1600</v>
      </c>
      <c r="B581">
        <f>COUNTIFS(all_data!$H$4:$H$2585,small_source!A581)</f>
        <v>1</v>
      </c>
    </row>
    <row r="582" spans="1:2" x14ac:dyDescent="0.2">
      <c r="A582" t="s">
        <v>4773</v>
      </c>
      <c r="B582">
        <f>COUNTIFS(all_data!$H$4:$H$2585,small_source!A582)</f>
        <v>1</v>
      </c>
    </row>
    <row r="583" spans="1:2" x14ac:dyDescent="0.2">
      <c r="A583" t="s">
        <v>5173</v>
      </c>
      <c r="B583">
        <f>COUNTIFS(all_data!$H$4:$H$2585,small_source!A583)</f>
        <v>1</v>
      </c>
    </row>
    <row r="584" spans="1:2" x14ac:dyDescent="0.2">
      <c r="A584" t="s">
        <v>6103</v>
      </c>
      <c r="B584">
        <f>COUNTIFS(all_data!$H$4:$H$2585,small_source!A584)</f>
        <v>1</v>
      </c>
    </row>
    <row r="585" spans="1:2" x14ac:dyDescent="0.2">
      <c r="A585" t="s">
        <v>5090</v>
      </c>
      <c r="B585">
        <f>COUNTIFS(all_data!$H$4:$H$2585,small_source!A585)</f>
        <v>1</v>
      </c>
    </row>
    <row r="586" spans="1:2" x14ac:dyDescent="0.2">
      <c r="A586" t="s">
        <v>4076</v>
      </c>
      <c r="B586">
        <f>COUNTIFS(all_data!$H$4:$H$2585,small_source!A586)</f>
        <v>1</v>
      </c>
    </row>
    <row r="587" spans="1:2" x14ac:dyDescent="0.2">
      <c r="A587" t="s">
        <v>6731</v>
      </c>
      <c r="B587">
        <f>COUNTIFS(all_data!$H$4:$H$2585,small_source!A587)</f>
        <v>1</v>
      </c>
    </row>
    <row r="588" spans="1:2" x14ac:dyDescent="0.2">
      <c r="A588" t="s">
        <v>1441</v>
      </c>
      <c r="B588">
        <f>COUNTIFS(all_data!$H$4:$H$2585,small_source!A588)</f>
        <v>1</v>
      </c>
    </row>
    <row r="589" spans="1:2" x14ac:dyDescent="0.2">
      <c r="A589" t="s">
        <v>3916</v>
      </c>
      <c r="B589">
        <f>COUNTIFS(all_data!$H$4:$H$2585,small_source!A589)</f>
        <v>1</v>
      </c>
    </row>
    <row r="590" spans="1:2" x14ac:dyDescent="0.2">
      <c r="A590" t="s">
        <v>6816</v>
      </c>
      <c r="B590">
        <f>COUNTIFS(all_data!$H$4:$H$2585,small_source!A590)</f>
        <v>1</v>
      </c>
    </row>
    <row r="591" spans="1:2" x14ac:dyDescent="0.2">
      <c r="A591" t="s">
        <v>2646</v>
      </c>
      <c r="B591">
        <f>COUNTIFS(all_data!$H$4:$H$2585,small_source!A591)</f>
        <v>1</v>
      </c>
    </row>
    <row r="592" spans="1:2" x14ac:dyDescent="0.2">
      <c r="A592" t="s">
        <v>1169</v>
      </c>
      <c r="B592">
        <f>COUNTIFS(all_data!$H$4:$H$2585,small_source!A592)</f>
        <v>1</v>
      </c>
    </row>
    <row r="593" spans="1:2" x14ac:dyDescent="0.2">
      <c r="A593" t="s">
        <v>1688</v>
      </c>
      <c r="B593">
        <f>COUNTIFS(all_data!$H$4:$H$2585,small_source!A593)</f>
        <v>1</v>
      </c>
    </row>
    <row r="594" spans="1:2" x14ac:dyDescent="0.2">
      <c r="A594" t="s">
        <v>2553</v>
      </c>
      <c r="B594">
        <f>COUNTIFS(all_data!$H$4:$H$2585,small_source!A594)</f>
        <v>1</v>
      </c>
    </row>
    <row r="595" spans="1:2" x14ac:dyDescent="0.2">
      <c r="A595" t="s">
        <v>4230</v>
      </c>
      <c r="B595">
        <f>COUNTIFS(all_data!$H$4:$H$2585,small_source!A595)</f>
        <v>1</v>
      </c>
    </row>
    <row r="596" spans="1:2" x14ac:dyDescent="0.2">
      <c r="A596" t="s">
        <v>1502</v>
      </c>
      <c r="B596">
        <f>COUNTIFS(all_data!$H$4:$H$2585,small_source!A596)</f>
        <v>1</v>
      </c>
    </row>
    <row r="597" spans="1:2" x14ac:dyDescent="0.2">
      <c r="A597" t="s">
        <v>2481</v>
      </c>
      <c r="B597">
        <f>COUNTIFS(all_data!$H$4:$H$2585,small_source!A597)</f>
        <v>1</v>
      </c>
    </row>
    <row r="598" spans="1:2" x14ac:dyDescent="0.2">
      <c r="A598" t="s">
        <v>3111</v>
      </c>
      <c r="B598">
        <f>COUNTIFS(all_data!$H$4:$H$2585,small_source!A598)</f>
        <v>1</v>
      </c>
    </row>
    <row r="599" spans="1:2" x14ac:dyDescent="0.2">
      <c r="A599" t="s">
        <v>1654</v>
      </c>
      <c r="B599">
        <f>COUNTIFS(all_data!$H$4:$H$2585,small_source!A599)</f>
        <v>1</v>
      </c>
    </row>
    <row r="600" spans="1:2" x14ac:dyDescent="0.2">
      <c r="A600" t="s">
        <v>3103</v>
      </c>
      <c r="B600">
        <f>COUNTIFS(all_data!$H$4:$H$2585,small_source!A600)</f>
        <v>1</v>
      </c>
    </row>
    <row r="601" spans="1:2" x14ac:dyDescent="0.2">
      <c r="A601" t="s">
        <v>6926</v>
      </c>
      <c r="B601">
        <f>COUNTIFS(all_data!$H$4:$H$2585,small_source!A601)</f>
        <v>1</v>
      </c>
    </row>
    <row r="602" spans="1:2" x14ac:dyDescent="0.2">
      <c r="A602" t="s">
        <v>7017</v>
      </c>
      <c r="B602">
        <f>COUNTIFS(all_data!$H$4:$H$2585,small_source!A602)</f>
        <v>1</v>
      </c>
    </row>
    <row r="603" spans="1:2" x14ac:dyDescent="0.2">
      <c r="A603" t="s">
        <v>7268</v>
      </c>
      <c r="B603">
        <f>COUNTIFS(all_data!$H$4:$H$2585,small_source!A603)</f>
        <v>1</v>
      </c>
    </row>
    <row r="604" spans="1:2" x14ac:dyDescent="0.2">
      <c r="A604" t="s">
        <v>1532</v>
      </c>
      <c r="B604">
        <f>COUNTIFS(all_data!$H$4:$H$2585,small_source!A604)</f>
        <v>1</v>
      </c>
    </row>
    <row r="605" spans="1:2" x14ac:dyDescent="0.2">
      <c r="A605" t="s">
        <v>2073</v>
      </c>
      <c r="B605">
        <f>COUNTIFS(all_data!$H$4:$H$2585,small_source!A605)</f>
        <v>1</v>
      </c>
    </row>
    <row r="606" spans="1:2" x14ac:dyDescent="0.2">
      <c r="A606" t="s">
        <v>7181</v>
      </c>
      <c r="B606">
        <f>COUNTIFS(all_data!$H$4:$H$2585,small_source!A606)</f>
        <v>1</v>
      </c>
    </row>
    <row r="607" spans="1:2" x14ac:dyDescent="0.2">
      <c r="A607" t="s">
        <v>23</v>
      </c>
      <c r="B607">
        <f>COUNTIFS(all_data!$H$4:$H$2585,small_source!A608)</f>
        <v>1</v>
      </c>
    </row>
    <row r="608" spans="1:2" x14ac:dyDescent="0.2">
      <c r="A608" t="s">
        <v>821</v>
      </c>
      <c r="B608">
        <f>COUNTIFS(all_data!$H$4:$H$2585,small_source!A609)</f>
        <v>1</v>
      </c>
    </row>
    <row r="609" spans="1:2" x14ac:dyDescent="0.2">
      <c r="A609" t="s">
        <v>3242</v>
      </c>
      <c r="B609">
        <f>COUNTIFS(all_data!$H$4:$H$2585,small_source!A610)</f>
        <v>1</v>
      </c>
    </row>
    <row r="610" spans="1:2" x14ac:dyDescent="0.2">
      <c r="A610" t="s">
        <v>7344</v>
      </c>
      <c r="B610">
        <f>COUNTIFS(all_data!$H$4:$H$2585,small_source!A611)</f>
        <v>1</v>
      </c>
    </row>
    <row r="611" spans="1:2" x14ac:dyDescent="0.2">
      <c r="A611" t="s">
        <v>2542</v>
      </c>
      <c r="B611">
        <f>COUNTIFS(all_data!$H$4:$H$2585,small_source!A612)</f>
        <v>1</v>
      </c>
    </row>
    <row r="612" spans="1:2" x14ac:dyDescent="0.2">
      <c r="A612" t="s">
        <v>624</v>
      </c>
      <c r="B612">
        <f>COUNTIFS(all_data!$H$4:$H$2585,small_source!A613)</f>
        <v>1</v>
      </c>
    </row>
    <row r="613" spans="1:2" x14ac:dyDescent="0.2">
      <c r="A613" t="s">
        <v>6746</v>
      </c>
      <c r="B613">
        <f>COUNTIFS(all_data!$H$4:$H$2585,small_source!A614)</f>
        <v>1</v>
      </c>
    </row>
    <row r="614" spans="1:2" x14ac:dyDescent="0.2">
      <c r="A614" t="s">
        <v>1490</v>
      </c>
      <c r="B614">
        <f>COUNTIFS(all_data!$H$4:$H$2585,small_source!A615)</f>
        <v>1</v>
      </c>
    </row>
    <row r="615" spans="1:2" x14ac:dyDescent="0.2">
      <c r="A615" t="s">
        <v>5072</v>
      </c>
      <c r="B615">
        <f>COUNTIFS(all_data!$H$4:$H$2585,small_source!A616)</f>
        <v>1</v>
      </c>
    </row>
    <row r="616" spans="1:2" x14ac:dyDescent="0.2">
      <c r="A616" t="s">
        <v>1179</v>
      </c>
      <c r="B616">
        <f>COUNTIFS(all_data!$H$4:$H$2585,small_source!A617)</f>
        <v>1</v>
      </c>
    </row>
    <row r="617" spans="1:2" x14ac:dyDescent="0.2">
      <c r="A617" t="s">
        <v>1477</v>
      </c>
      <c r="B617">
        <f>COUNTIFS(all_data!$H$4:$H$2585,small_source!A618)</f>
        <v>1</v>
      </c>
    </row>
    <row r="618" spans="1:2" x14ac:dyDescent="0.2">
      <c r="A618" t="s">
        <v>5116</v>
      </c>
      <c r="B618">
        <f>COUNTIFS(all_data!$H$4:$H$2585,small_source!A619)</f>
        <v>1</v>
      </c>
    </row>
    <row r="619" spans="1:2" x14ac:dyDescent="0.2">
      <c r="A619" t="s">
        <v>2150</v>
      </c>
      <c r="B619">
        <f>COUNTIFS(all_data!$H$4:$H$2585,small_source!A620)</f>
        <v>1</v>
      </c>
    </row>
    <row r="620" spans="1:2" x14ac:dyDescent="0.2">
      <c r="A620" t="s">
        <v>3411</v>
      </c>
      <c r="B620">
        <f>COUNTIFS(all_data!$H$4:$H$2585,small_source!A621)</f>
        <v>1</v>
      </c>
    </row>
    <row r="621" spans="1:2" x14ac:dyDescent="0.2">
      <c r="A621" t="s">
        <v>6212</v>
      </c>
      <c r="B621">
        <f>COUNTIFS(all_data!$H$4:$H$2585,small_source!A622)</f>
        <v>1</v>
      </c>
    </row>
    <row r="622" spans="1:2" x14ac:dyDescent="0.2">
      <c r="A622" t="s">
        <v>6827</v>
      </c>
      <c r="B622">
        <f>COUNTIFS(all_data!$H$4:$H$2585,small_source!A623)</f>
        <v>1</v>
      </c>
    </row>
    <row r="623" spans="1:2" x14ac:dyDescent="0.2">
      <c r="A623" t="s">
        <v>4804</v>
      </c>
      <c r="B623">
        <f>COUNTIFS(all_data!$H$4:$H$2585,small_source!A624)</f>
        <v>1</v>
      </c>
    </row>
    <row r="624" spans="1:2" x14ac:dyDescent="0.2">
      <c r="A624" t="s">
        <v>2935</v>
      </c>
      <c r="B624">
        <f>COUNTIFS(all_data!$H$4:$H$2585,small_source!A625)</f>
        <v>1</v>
      </c>
    </row>
    <row r="625" spans="1:2" x14ac:dyDescent="0.2">
      <c r="A625" t="s">
        <v>1014</v>
      </c>
      <c r="B625">
        <f>COUNTIFS(all_data!$H$4:$H$2585,small_source!A626)</f>
        <v>1</v>
      </c>
    </row>
    <row r="626" spans="1:2" x14ac:dyDescent="0.2">
      <c r="A626" t="s">
        <v>2166</v>
      </c>
      <c r="B626">
        <f>COUNTIFS(all_data!$H$4:$H$2585,small_source!A627)</f>
        <v>1</v>
      </c>
    </row>
    <row r="627" spans="1:2" x14ac:dyDescent="0.2">
      <c r="A627" t="s">
        <v>5648</v>
      </c>
      <c r="B627">
        <f>COUNTIFS(all_data!$H$4:$H$2585,small_source!A628)</f>
        <v>1</v>
      </c>
    </row>
    <row r="628" spans="1:2" x14ac:dyDescent="0.2">
      <c r="A628" t="s">
        <v>2570</v>
      </c>
      <c r="B628">
        <f>COUNTIFS(all_data!$H$4:$H$2585,small_source!A629)</f>
        <v>1</v>
      </c>
    </row>
    <row r="629" spans="1:2" x14ac:dyDescent="0.2">
      <c r="A629" t="s">
        <v>674</v>
      </c>
      <c r="B629">
        <f>COUNTIFS(all_data!$H$4:$H$2585,small_source!A630)</f>
        <v>1</v>
      </c>
    </row>
    <row r="630" spans="1:2" x14ac:dyDescent="0.2">
      <c r="A630" t="s">
        <v>2650</v>
      </c>
      <c r="B630">
        <f>COUNTIFS(all_data!$H$4:$H$2585,small_source!A631)</f>
        <v>1</v>
      </c>
    </row>
    <row r="631" spans="1:2" x14ac:dyDescent="0.2">
      <c r="A631" t="s">
        <v>2081</v>
      </c>
      <c r="B631">
        <f>COUNTIFS(all_data!$H$4:$H$2585,small_source!A632)</f>
        <v>1</v>
      </c>
    </row>
    <row r="632" spans="1:2" x14ac:dyDescent="0.2">
      <c r="A632" t="s">
        <v>1152</v>
      </c>
      <c r="B632">
        <f>COUNTIFS(all_data!$H$4:$H$2585,small_source!A633)</f>
        <v>1</v>
      </c>
    </row>
    <row r="633" spans="1:2" x14ac:dyDescent="0.2">
      <c r="A633" t="s">
        <v>3028</v>
      </c>
      <c r="B633">
        <f>COUNTIFS(all_data!$H$4:$H$2585,small_source!A634)</f>
        <v>1</v>
      </c>
    </row>
    <row r="634" spans="1:2" x14ac:dyDescent="0.2">
      <c r="A634" t="s">
        <v>1831</v>
      </c>
      <c r="B634">
        <f>COUNTIFS(all_data!$H$4:$H$2585,small_source!A635)</f>
        <v>1</v>
      </c>
    </row>
    <row r="635" spans="1:2" x14ac:dyDescent="0.2">
      <c r="A635" t="s">
        <v>2786</v>
      </c>
      <c r="B635">
        <f>COUNTIFS(all_data!$H$4:$H$2585,small_source!A636)</f>
        <v>1</v>
      </c>
    </row>
    <row r="636" spans="1:2" x14ac:dyDescent="0.2">
      <c r="A636" t="s">
        <v>6129</v>
      </c>
      <c r="B636">
        <f>COUNTIFS(all_data!$H$4:$H$2585,small_source!A637)</f>
        <v>1</v>
      </c>
    </row>
    <row r="637" spans="1:2" x14ac:dyDescent="0.2">
      <c r="A637" t="s">
        <v>7412</v>
      </c>
      <c r="B637">
        <f>COUNTIFS(all_data!$H$4:$H$2585,small_source!A638)</f>
        <v>1</v>
      </c>
    </row>
    <row r="638" spans="1:2" x14ac:dyDescent="0.2">
      <c r="A638" t="s">
        <v>3480</v>
      </c>
      <c r="B638">
        <f>COUNTIFS(all_data!$H$4:$H$2585,small_source!A639)</f>
        <v>1</v>
      </c>
    </row>
    <row r="639" spans="1:2" x14ac:dyDescent="0.2">
      <c r="A639" t="s">
        <v>6727</v>
      </c>
      <c r="B639">
        <f>COUNTIFS(all_data!$H$4:$H$2585,small_source!A640)</f>
        <v>1</v>
      </c>
    </row>
    <row r="640" spans="1:2" x14ac:dyDescent="0.2">
      <c r="A640" t="s">
        <v>6957</v>
      </c>
      <c r="B640">
        <f>COUNTIFS(all_data!$H$4:$H$2585,small_source!A641)</f>
        <v>1</v>
      </c>
    </row>
    <row r="641" spans="1:2" x14ac:dyDescent="0.2">
      <c r="A641" t="s">
        <v>260</v>
      </c>
      <c r="B641">
        <f>COUNTIFS(all_data!$H$4:$H$2585,small_source!A642)</f>
        <v>1</v>
      </c>
    </row>
    <row r="642" spans="1:2" x14ac:dyDescent="0.2">
      <c r="A642" t="s">
        <v>989</v>
      </c>
      <c r="B642">
        <f>COUNTIFS(all_data!$H$4:$H$2585,small_source!A643)</f>
        <v>1</v>
      </c>
    </row>
    <row r="643" spans="1:2" x14ac:dyDescent="0.2">
      <c r="A643" t="s">
        <v>1038</v>
      </c>
      <c r="B643">
        <f>COUNTIFS(all_data!$H$4:$H$2585,small_source!A644)</f>
        <v>1</v>
      </c>
    </row>
    <row r="644" spans="1:2" x14ac:dyDescent="0.2">
      <c r="A644" t="s">
        <v>2052</v>
      </c>
      <c r="B644">
        <f>COUNTIFS(all_data!$H$4:$H$2585,small_source!A645)</f>
        <v>1</v>
      </c>
    </row>
    <row r="645" spans="1:2" x14ac:dyDescent="0.2">
      <c r="A645" t="s">
        <v>3419</v>
      </c>
      <c r="B645">
        <f>COUNTIFS(all_data!$H$4:$H$2585,small_source!A646)</f>
        <v>1</v>
      </c>
    </row>
    <row r="646" spans="1:2" x14ac:dyDescent="0.2">
      <c r="A646" t="s">
        <v>4808</v>
      </c>
      <c r="B646">
        <f>COUNTIFS(all_data!$H$4:$H$2585,small_source!A647)</f>
        <v>1</v>
      </c>
    </row>
    <row r="647" spans="1:2" x14ac:dyDescent="0.2">
      <c r="A647" t="s">
        <v>5677</v>
      </c>
      <c r="B647">
        <f>COUNTIFS(all_data!$H$4:$H$2585,small_source!A648)</f>
        <v>1</v>
      </c>
    </row>
    <row r="648" spans="1:2" x14ac:dyDescent="0.2">
      <c r="A648" t="s">
        <v>5845</v>
      </c>
      <c r="B648">
        <f>COUNTIFS(all_data!$H$4:$H$2585,small_source!A649)</f>
        <v>1</v>
      </c>
    </row>
    <row r="649" spans="1:2" x14ac:dyDescent="0.2">
      <c r="A649" t="s">
        <v>2763</v>
      </c>
      <c r="B649">
        <f>COUNTIFS(all_data!$H$4:$H$2585,small_source!A650)</f>
        <v>1</v>
      </c>
    </row>
    <row r="650" spans="1:2" x14ac:dyDescent="0.2">
      <c r="A650" t="s">
        <v>264</v>
      </c>
      <c r="B650">
        <f>COUNTIFS(all_data!$H$4:$H$2585,small_source!A651)</f>
        <v>1</v>
      </c>
    </row>
    <row r="651" spans="1:2" x14ac:dyDescent="0.2">
      <c r="A651" t="s">
        <v>702</v>
      </c>
      <c r="B651">
        <f>COUNTIFS(all_data!$H$4:$H$2585,small_source!A652)</f>
        <v>1</v>
      </c>
    </row>
    <row r="652" spans="1:2" x14ac:dyDescent="0.2">
      <c r="A652" t="s">
        <v>857</v>
      </c>
      <c r="B652">
        <f>COUNTIFS(all_data!$H$4:$H$2585,small_source!A653)</f>
        <v>1</v>
      </c>
    </row>
    <row r="653" spans="1:2" x14ac:dyDescent="0.2">
      <c r="A653" t="s">
        <v>4705</v>
      </c>
      <c r="B653">
        <f>COUNTIFS(all_data!$H$4:$H$2585,small_source!A654)</f>
        <v>1</v>
      </c>
    </row>
    <row r="654" spans="1:2" x14ac:dyDescent="0.2">
      <c r="A654" t="s">
        <v>1185</v>
      </c>
      <c r="B654">
        <f>COUNTIFS(all_data!$H$4:$H$2585,small_source!A655)</f>
        <v>1</v>
      </c>
    </row>
    <row r="655" spans="1:2" x14ac:dyDescent="0.2">
      <c r="A655" t="s">
        <v>1658</v>
      </c>
      <c r="B655">
        <f>COUNTIFS(all_data!$H$4:$H$2585,small_source!A656)</f>
        <v>1</v>
      </c>
    </row>
    <row r="656" spans="1:2" x14ac:dyDescent="0.2">
      <c r="A656" t="s">
        <v>7294</v>
      </c>
      <c r="B656">
        <f>COUNTIFS(all_data!$H$4:$H$2585,small_source!A657)</f>
        <v>1</v>
      </c>
    </row>
    <row r="657" spans="1:2" x14ac:dyDescent="0.2">
      <c r="A657" t="s">
        <v>6675</v>
      </c>
      <c r="B657">
        <f>COUNTIFS(all_data!$H$4:$H$2585,small_source!A658)</f>
        <v>1</v>
      </c>
    </row>
    <row r="658" spans="1:2" x14ac:dyDescent="0.2">
      <c r="A658" t="s">
        <v>6975</v>
      </c>
      <c r="B658">
        <f>COUNTIFS(all_data!$H$4:$H$2585,small_source!A659)</f>
        <v>1</v>
      </c>
    </row>
    <row r="659" spans="1:2" x14ac:dyDescent="0.2">
      <c r="A659" t="s">
        <v>2680</v>
      </c>
      <c r="B659">
        <f>COUNTIFS(all_data!$H$4:$H$2585,small_source!A660)</f>
        <v>1</v>
      </c>
    </row>
    <row r="660" spans="1:2" x14ac:dyDescent="0.2">
      <c r="A660" t="s">
        <v>6002</v>
      </c>
      <c r="B660">
        <f>COUNTIFS(all_data!$H$4:$H$2585,small_source!A661)</f>
        <v>1</v>
      </c>
    </row>
    <row r="661" spans="1:2" x14ac:dyDescent="0.2">
      <c r="A661" t="s">
        <v>6918</v>
      </c>
      <c r="B661">
        <f>COUNTIFS(all_data!$H$4:$H$2585,small_source!A662)</f>
        <v>1</v>
      </c>
    </row>
    <row r="662" spans="1:2" x14ac:dyDescent="0.2">
      <c r="A662" t="s">
        <v>4844</v>
      </c>
      <c r="B662">
        <f>COUNTIFS(all_data!$H$4:$H$2585,small_source!A663)</f>
        <v>1</v>
      </c>
    </row>
    <row r="663" spans="1:2" x14ac:dyDescent="0.2">
      <c r="A663" t="s">
        <v>1175</v>
      </c>
      <c r="B663">
        <f>COUNTIFS(all_data!$H$4:$H$2585,small_source!A664)</f>
        <v>1</v>
      </c>
    </row>
    <row r="664" spans="1:2" x14ac:dyDescent="0.2">
      <c r="A664" t="s">
        <v>6095</v>
      </c>
      <c r="B664">
        <f>COUNTIFS(all_data!$H$4:$H$2585,small_source!A665)</f>
        <v>1</v>
      </c>
    </row>
    <row r="665" spans="1:2" x14ac:dyDescent="0.2">
      <c r="A665" t="s">
        <v>6107</v>
      </c>
      <c r="B665">
        <f>COUNTIFS(all_data!$H$4:$H$2585,small_source!A666)</f>
        <v>1</v>
      </c>
    </row>
    <row r="666" spans="1:2" x14ac:dyDescent="0.2">
      <c r="A666" t="s">
        <v>6125</v>
      </c>
      <c r="B666">
        <f>COUNTIFS(all_data!$H$4:$H$2585,small_source!A667)</f>
        <v>1</v>
      </c>
    </row>
    <row r="667" spans="1:2" x14ac:dyDescent="0.2">
      <c r="A667" t="s">
        <v>6141</v>
      </c>
      <c r="B667">
        <f>COUNTIFS(all_data!$H$4:$H$2585,small_source!A668)</f>
        <v>1</v>
      </c>
    </row>
    <row r="668" spans="1:2" x14ac:dyDescent="0.2">
      <c r="A668" t="s">
        <v>6152</v>
      </c>
      <c r="B668">
        <f>COUNTIFS(all_data!$H$4:$H$2585,small_source!A669)</f>
        <v>1</v>
      </c>
    </row>
    <row r="669" spans="1:2" x14ac:dyDescent="0.2">
      <c r="A669" t="s">
        <v>2098</v>
      </c>
      <c r="B669">
        <f>COUNTIFS(all_data!$H$4:$H$2585,small_source!A670)</f>
        <v>1</v>
      </c>
    </row>
    <row r="670" spans="1:2" x14ac:dyDescent="0.2">
      <c r="A670" t="s">
        <v>4812</v>
      </c>
      <c r="B670">
        <f>COUNTIFS(all_data!$H$4:$H$2585,small_source!A671)</f>
        <v>1</v>
      </c>
    </row>
    <row r="671" spans="1:2" x14ac:dyDescent="0.2">
      <c r="A671" t="s">
        <v>7957</v>
      </c>
      <c r="B671">
        <f>COUNTIFS(all_data!$H$4:$H$2585,small_source!A672)</f>
        <v>1</v>
      </c>
    </row>
    <row r="672" spans="1:2" x14ac:dyDescent="0.2">
      <c r="A672" t="s">
        <v>6222</v>
      </c>
      <c r="B672">
        <f>COUNTIFS(all_data!$H$4:$H$2585,small_source!A673)</f>
        <v>1</v>
      </c>
    </row>
    <row r="673" spans="1:2" x14ac:dyDescent="0.2">
      <c r="A673" t="s">
        <v>6760</v>
      </c>
      <c r="B673">
        <f>COUNTIFS(all_data!$H$4:$H$2585,small_source!A674)</f>
        <v>1</v>
      </c>
    </row>
    <row r="674" spans="1:2" x14ac:dyDescent="0.2">
      <c r="A674" t="s">
        <v>6963</v>
      </c>
      <c r="B674">
        <f>COUNTIFS(all_data!$H$4:$H$2585,small_source!A676)</f>
        <v>1</v>
      </c>
    </row>
    <row r="675" spans="1:2" x14ac:dyDescent="0.2">
      <c r="A675" t="s">
        <v>17</v>
      </c>
      <c r="B675">
        <f>COUNTIFS(all_data!$H$4:$H$2585,small_source!A677)</f>
        <v>1</v>
      </c>
    </row>
    <row r="676" spans="1:2" x14ac:dyDescent="0.2">
      <c r="A676" t="s">
        <v>2939</v>
      </c>
      <c r="B676">
        <f>COUNTIFS(all_data!$H$4:$H$2585,small_source!A678)</f>
        <v>1</v>
      </c>
    </row>
    <row r="677" spans="1:2" x14ac:dyDescent="0.2">
      <c r="A677" t="s">
        <v>974</v>
      </c>
      <c r="B677">
        <f>COUNTIFS(all_data!$H$4:$H$2585,small_source!A679)</f>
        <v>1</v>
      </c>
    </row>
    <row r="678" spans="1:2" x14ac:dyDescent="0.2">
      <c r="A678" t="s">
        <v>2608</v>
      </c>
      <c r="B678">
        <f>COUNTIFS(all_data!$H$4:$H$2585,small_source!A680)</f>
        <v>1</v>
      </c>
    </row>
    <row r="679" spans="1:2" x14ac:dyDescent="0.2">
      <c r="A679" t="s">
        <v>4848</v>
      </c>
      <c r="B679">
        <f>COUNTIFS(all_data!$H$4:$H$2585,small_source!A681)</f>
        <v>1</v>
      </c>
    </row>
    <row r="680" spans="1:2" x14ac:dyDescent="0.2">
      <c r="A680" t="s">
        <v>708</v>
      </c>
      <c r="B680">
        <f>COUNTIFS(all_data!$H$4:$H$2585,small_source!A682)</f>
        <v>1</v>
      </c>
    </row>
    <row r="681" spans="1:2" x14ac:dyDescent="0.2">
      <c r="A681" t="s">
        <v>6055</v>
      </c>
      <c r="B681">
        <f>COUNTIFS(all_data!$H$4:$H$2585,small_source!A683)</f>
        <v>1</v>
      </c>
    </row>
    <row r="682" spans="1:2" x14ac:dyDescent="0.2">
      <c r="A682" t="s">
        <v>8284</v>
      </c>
      <c r="B682">
        <f>COUNTIFS(all_data!$H$4:$H$2585,small_source!A684)</f>
        <v>1</v>
      </c>
    </row>
    <row r="683" spans="1:2" x14ac:dyDescent="0.2">
      <c r="A683" t="s">
        <v>838</v>
      </c>
      <c r="B683">
        <f>COUNTIFS(all_data!$H$4:$H$2585,small_source!A685)</f>
        <v>1</v>
      </c>
    </row>
    <row r="684" spans="1:2" x14ac:dyDescent="0.2">
      <c r="A684" t="s">
        <v>1034</v>
      </c>
      <c r="B684">
        <f>COUNTIFS(all_data!$H$4:$H$2585,small_source!A686)</f>
        <v>1</v>
      </c>
    </row>
    <row r="685" spans="1:2" x14ac:dyDescent="0.2">
      <c r="A685" t="s">
        <v>2695</v>
      </c>
      <c r="B685">
        <f>COUNTIFS(all_data!$H$4:$H$2585,small_source!A687)</f>
        <v>1</v>
      </c>
    </row>
    <row r="686" spans="1:2" x14ac:dyDescent="0.2">
      <c r="A686" t="s">
        <v>3866</v>
      </c>
      <c r="B686">
        <f>COUNTIFS(all_data!$H$4:$H$2585,small_source!A688)</f>
        <v>1</v>
      </c>
    </row>
    <row r="687" spans="1:2" x14ac:dyDescent="0.2">
      <c r="A687" t="s">
        <v>2634</v>
      </c>
      <c r="B687">
        <f>COUNTIFS(all_data!$H$4:$H$2585,small_source!A689)</f>
        <v>1</v>
      </c>
    </row>
    <row r="688" spans="1:2" x14ac:dyDescent="0.2">
      <c r="A688" t="s">
        <v>3191</v>
      </c>
      <c r="B688">
        <f>COUNTIFS(all_data!$H$4:$H$2585,small_source!A690)</f>
        <v>1</v>
      </c>
    </row>
    <row r="689" spans="1:2" x14ac:dyDescent="0.2">
      <c r="A689" t="s">
        <v>6197</v>
      </c>
      <c r="B689">
        <f>COUNTIFS(all_data!$H$4:$H$2585,small_source!A691)</f>
        <v>1</v>
      </c>
    </row>
    <row r="690" spans="1:2" x14ac:dyDescent="0.2">
      <c r="A690" t="s">
        <v>7424</v>
      </c>
      <c r="B690">
        <f>COUNTIFS(all_data!$H$4:$H$2585,small_source!A692)</f>
        <v>1</v>
      </c>
    </row>
    <row r="691" spans="1:2" x14ac:dyDescent="0.2">
      <c r="A691" t="s">
        <v>5431</v>
      </c>
      <c r="B691">
        <f>COUNTIFS(all_data!$H$4:$H$2585,small_source!A693)</f>
        <v>1</v>
      </c>
    </row>
    <row r="692" spans="1:2" x14ac:dyDescent="0.2">
      <c r="A692" t="s">
        <v>6479</v>
      </c>
      <c r="B692">
        <f>COUNTIFS(all_data!$H$4:$H$2585,small_source!A694)</f>
        <v>1</v>
      </c>
    </row>
    <row r="693" spans="1:2" x14ac:dyDescent="0.2">
      <c r="A693" t="s">
        <v>6971</v>
      </c>
      <c r="B693">
        <f>COUNTIFS(all_data!$H$4:$H$2585,small_source!A695)</f>
        <v>1</v>
      </c>
    </row>
    <row r="694" spans="1:2" x14ac:dyDescent="0.2">
      <c r="A694" t="s">
        <v>2755</v>
      </c>
      <c r="B694">
        <f>COUNTIFS(all_data!$H$4:$H$2585,small_source!A696)</f>
        <v>1</v>
      </c>
    </row>
    <row r="695" spans="1:2" x14ac:dyDescent="0.2">
      <c r="A695" t="s">
        <v>6357</v>
      </c>
      <c r="B695">
        <f>COUNTIFS(all_data!$H$4:$H$2585,small_source!A697)</f>
        <v>1</v>
      </c>
    </row>
    <row r="696" spans="1:2" x14ac:dyDescent="0.2">
      <c r="A696" t="s">
        <v>817</v>
      </c>
      <c r="B696">
        <f>COUNTIFS(all_data!$H$4:$H$2585,small_source!A698)</f>
        <v>1</v>
      </c>
    </row>
    <row r="697" spans="1:2" x14ac:dyDescent="0.2">
      <c r="A697" t="s">
        <v>1522</v>
      </c>
      <c r="B697">
        <f>COUNTIFS(all_data!$H$4:$H$2585,small_source!A699)</f>
        <v>1</v>
      </c>
    </row>
    <row r="698" spans="1:2" x14ac:dyDescent="0.2">
      <c r="A698" t="s">
        <v>1542</v>
      </c>
      <c r="B698">
        <f>COUNTIFS(all_data!$H$4:$H$2585,small_source!A700)</f>
        <v>1</v>
      </c>
    </row>
    <row r="699" spans="1:2" x14ac:dyDescent="0.2">
      <c r="A699" t="s">
        <v>8246</v>
      </c>
      <c r="B699">
        <f>COUNTIFS(all_data!$H$4:$H$2585,small_source!A701)</f>
        <v>1</v>
      </c>
    </row>
    <row r="700" spans="1:2" x14ac:dyDescent="0.2">
      <c r="A700" t="s">
        <v>6145</v>
      </c>
      <c r="B700">
        <f>COUNTIFS(all_data!$H$4:$H$2585,small_source!A702)</f>
        <v>1</v>
      </c>
    </row>
    <row r="701" spans="1:2" x14ac:dyDescent="0.2">
      <c r="A701" t="s">
        <v>7352</v>
      </c>
      <c r="B701">
        <f>COUNTIFS(all_data!$H$4:$H$2585,small_source!A703)</f>
        <v>1</v>
      </c>
    </row>
    <row r="702" spans="1:2" x14ac:dyDescent="0.2">
      <c r="A702" t="s">
        <v>2114</v>
      </c>
      <c r="B702">
        <f>COUNTIFS(all_data!$H$4:$H$2585,small_source!A704)</f>
        <v>1</v>
      </c>
    </row>
    <row r="703" spans="1:2" x14ac:dyDescent="0.2">
      <c r="A703" t="s">
        <v>798</v>
      </c>
      <c r="B703">
        <f>COUNTIFS(all_data!$H$4:$H$2585,small_source!A705)</f>
        <v>1</v>
      </c>
    </row>
    <row r="704" spans="1:2" x14ac:dyDescent="0.2">
      <c r="A704" t="s">
        <v>6121</v>
      </c>
      <c r="B704">
        <f>COUNTIFS(all_data!$H$4:$H$2585,small_source!A706)</f>
        <v>1</v>
      </c>
    </row>
    <row r="705" spans="1:2" x14ac:dyDescent="0.2">
      <c r="A705" t="s">
        <v>8458</v>
      </c>
      <c r="B705">
        <f>COUNTIFS(all_data!$H$4:$H$2585,small_source!A707)</f>
        <v>1</v>
      </c>
    </row>
    <row r="706" spans="1:2" x14ac:dyDescent="0.2">
      <c r="A706" t="s">
        <v>913</v>
      </c>
      <c r="B706">
        <f>COUNTIFS(all_data!$H$4:$H$2585,small_source!A708)</f>
        <v>1</v>
      </c>
    </row>
    <row r="707" spans="1:2" x14ac:dyDescent="0.2">
      <c r="A707" t="s">
        <v>8072</v>
      </c>
      <c r="B707">
        <f>COUNTIFS(all_data!$H$4:$H$2585,small_source!A709)</f>
        <v>1</v>
      </c>
    </row>
    <row r="708" spans="1:2" x14ac:dyDescent="0.2">
      <c r="A708" t="s">
        <v>6679</v>
      </c>
      <c r="B708">
        <f>COUNTIFS(all_data!$H$4:$H$2585,small_source!A710)</f>
        <v>1</v>
      </c>
    </row>
    <row r="709" spans="1:2" x14ac:dyDescent="0.2">
      <c r="A709" t="s">
        <v>3199</v>
      </c>
      <c r="B709">
        <f>COUNTIFS(all_data!$H$4:$H$2585,small_source!A711)</f>
        <v>1</v>
      </c>
    </row>
    <row r="710" spans="1:2" x14ac:dyDescent="0.2">
      <c r="A710" t="s">
        <v>5177</v>
      </c>
      <c r="B710">
        <f>COUNTIFS(all_data!$H$4:$H$2585,small_source!A712)</f>
        <v>1</v>
      </c>
    </row>
    <row r="711" spans="1:2" x14ac:dyDescent="0.2">
      <c r="A711" t="s">
        <v>254</v>
      </c>
      <c r="B711">
        <f>COUNTIFS(all_data!$H$4:$H$2585,small_source!A713)</f>
        <v>1</v>
      </c>
    </row>
    <row r="712" spans="1:2" x14ac:dyDescent="0.2">
      <c r="A712" t="s">
        <v>7223</v>
      </c>
      <c r="B712">
        <f>COUNTIFS(all_data!$H$4:$H$2585,small_source!A714)</f>
        <v>1</v>
      </c>
    </row>
    <row r="713" spans="1:2" x14ac:dyDescent="0.2">
      <c r="A713" t="s">
        <v>7868</v>
      </c>
      <c r="B713">
        <f>COUNTIFS(all_data!$H$4:$H$2585,small_source!A715)</f>
        <v>1</v>
      </c>
    </row>
    <row r="714" spans="1:2" x14ac:dyDescent="0.2">
      <c r="A714" t="s">
        <v>2034</v>
      </c>
      <c r="B714">
        <f>COUNTIFS(all_data!$H$4:$H$2585,small_source!A716)</f>
        <v>1</v>
      </c>
    </row>
    <row r="715" spans="1:2" x14ac:dyDescent="0.2">
      <c r="A715" t="s">
        <v>2069</v>
      </c>
      <c r="B715">
        <f>COUNTIFS(all_data!$H$4:$H$2585,small_source!A717)</f>
        <v>1</v>
      </c>
    </row>
    <row r="716" spans="1:2" x14ac:dyDescent="0.2">
      <c r="A716" t="s">
        <v>2684</v>
      </c>
      <c r="B716">
        <f>COUNTIFS(all_data!$H$4:$H$2585,small_source!A718)</f>
        <v>1</v>
      </c>
    </row>
    <row r="717" spans="1:2" x14ac:dyDescent="0.2">
      <c r="A717" t="s">
        <v>3804</v>
      </c>
      <c r="B717">
        <f>COUNTIFS(all_data!$H$4:$H$2585,small_source!A719)</f>
        <v>1</v>
      </c>
    </row>
    <row r="718" spans="1:2" x14ac:dyDescent="0.2">
      <c r="A718" t="s">
        <v>6353</v>
      </c>
      <c r="B718">
        <f>COUNTIFS(all_data!$H$4:$H$2585,small_source!A720)</f>
        <v>1</v>
      </c>
    </row>
    <row r="719" spans="1:2" x14ac:dyDescent="0.2">
      <c r="A719" t="s">
        <v>7618</v>
      </c>
      <c r="B719">
        <f>COUNTIFS(all_data!$H$4:$H$2585,small_source!A721)</f>
        <v>1</v>
      </c>
    </row>
    <row r="720" spans="1:2" x14ac:dyDescent="0.2">
      <c r="A720" t="s">
        <v>1708</v>
      </c>
      <c r="B720">
        <f>COUNTIFS(all_data!$H$4:$H$2585,small_source!A722)</f>
        <v>1</v>
      </c>
    </row>
    <row r="721" spans="1:2" x14ac:dyDescent="0.2">
      <c r="A721" t="s">
        <v>7332</v>
      </c>
      <c r="B721">
        <f>COUNTIFS(all_data!$H$4:$H$2585,small_source!A723)</f>
        <v>1</v>
      </c>
    </row>
    <row r="722" spans="1:2" x14ac:dyDescent="0.2">
      <c r="A722" t="s">
        <v>1139</v>
      </c>
      <c r="B722">
        <f>COUNTIFS(all_data!$H$4:$H$2585,small_source!A724)</f>
        <v>1</v>
      </c>
    </row>
    <row r="723" spans="1:2" x14ac:dyDescent="0.2">
      <c r="A723" t="s">
        <v>2759</v>
      </c>
      <c r="B723">
        <f>COUNTIFS(all_data!$H$4:$H$2585,small_source!A607)</f>
        <v>0</v>
      </c>
    </row>
    <row r="724" spans="1:2" x14ac:dyDescent="0.2">
      <c r="A724" t="s">
        <v>968</v>
      </c>
      <c r="B724">
        <f>COUNTIFS(all_data!$H$4:$H$2585,small_source!A675)</f>
        <v>0</v>
      </c>
    </row>
    <row r="725" spans="1:2" x14ac:dyDescent="0.2">
      <c r="A725" t="s">
        <v>8992</v>
      </c>
      <c r="B725" s="2"/>
    </row>
  </sheetData>
  <sortState ref="B2:B724">
    <sortCondition descending="1" ref="B2"/>
  </sortState>
  <hyperlinks>
    <hyperlink ref="A5" r:id="rId1" xr:uid="{00000000-0004-0000-0200-000000000000}"/>
    <hyperlink ref="A7" r:id="rId2" xr:uid="{00000000-0004-0000-0200-000001000000}"/>
  </hyperlink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
  <sheetViews>
    <sheetView workbookViewId="0">
      <selection activeCell="D12" sqref="D12"/>
    </sheetView>
  </sheetViews>
  <sheetFormatPr baseColWidth="10" defaultRowHeight="16" x14ac:dyDescent="0.2"/>
  <cols>
    <col min="1" max="1" width="2.1640625" customWidth="1"/>
    <col min="4" max="4" width="26.5" customWidth="1"/>
    <col min="5" max="5" width="4.1640625" customWidth="1"/>
  </cols>
  <sheetData>
    <row r="1" spans="1:6" x14ac:dyDescent="0.2">
      <c r="A1" t="s">
        <v>8980</v>
      </c>
    </row>
    <row r="3" spans="1:6" x14ac:dyDescent="0.2">
      <c r="A3" s="2" t="s">
        <v>8981</v>
      </c>
      <c r="E3" s="2" t="s">
        <v>8982</v>
      </c>
      <c r="F3" s="2"/>
    </row>
    <row r="4" spans="1:6" x14ac:dyDescent="0.2">
      <c r="A4" t="s">
        <v>8987</v>
      </c>
      <c r="E4" t="s">
        <v>8983</v>
      </c>
    </row>
    <row r="5" spans="1:6" x14ac:dyDescent="0.2">
      <c r="A5" t="s">
        <v>8988</v>
      </c>
      <c r="E5" t="s">
        <v>8984</v>
      </c>
    </row>
    <row r="6" spans="1:6" x14ac:dyDescent="0.2">
      <c r="B6" t="s">
        <v>8990</v>
      </c>
      <c r="F6" t="s">
        <v>8985</v>
      </c>
    </row>
    <row r="7" spans="1:6" x14ac:dyDescent="0.2">
      <c r="B7" t="s">
        <v>8989</v>
      </c>
      <c r="F7" t="s">
        <v>8986</v>
      </c>
    </row>
    <row r="8" spans="1:6" x14ac:dyDescent="0.2">
      <c r="B8" t="s">
        <v>8991</v>
      </c>
    </row>
    <row r="9" spans="1:6" x14ac:dyDescent="0.2">
      <c r="B9" t="s">
        <v>8993</v>
      </c>
    </row>
    <row r="12" spans="1:6" x14ac:dyDescent="0.2">
      <c r="E12" t="s">
        <v>8996</v>
      </c>
    </row>
    <row r="21" spans="2:2" x14ac:dyDescent="0.2">
      <c r="B21" t="s">
        <v>8994</v>
      </c>
    </row>
    <row r="22" spans="2:2" x14ac:dyDescent="0.2">
      <c r="B22" t="s">
        <v>8995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18AAC-3049-8042-BF8E-924A7881DC9F}">
  <dimension ref="A1:A122"/>
  <sheetViews>
    <sheetView tabSelected="1" workbookViewId="0">
      <selection activeCell="D117" sqref="D117"/>
    </sheetView>
  </sheetViews>
  <sheetFormatPr baseColWidth="10" defaultRowHeight="16" x14ac:dyDescent="0.2"/>
  <cols>
    <col min="1" max="1" width="40.1640625" customWidth="1"/>
  </cols>
  <sheetData>
    <row r="1" spans="1:1" x14ac:dyDescent="0.2">
      <c r="A1" s="2" t="s">
        <v>9118</v>
      </c>
    </row>
    <row r="2" spans="1:1" x14ac:dyDescent="0.2">
      <c r="A2" t="s">
        <v>9004</v>
      </c>
    </row>
    <row r="3" spans="1:1" x14ac:dyDescent="0.2">
      <c r="A3" t="s">
        <v>9005</v>
      </c>
    </row>
    <row r="4" spans="1:1" x14ac:dyDescent="0.2">
      <c r="A4" t="s">
        <v>9006</v>
      </c>
    </row>
    <row r="5" spans="1:1" x14ac:dyDescent="0.2">
      <c r="A5" t="s">
        <v>9007</v>
      </c>
    </row>
    <row r="6" spans="1:1" x14ac:dyDescent="0.2">
      <c r="A6" t="s">
        <v>9008</v>
      </c>
    </row>
    <row r="7" spans="1:1" x14ac:dyDescent="0.2">
      <c r="A7" t="s">
        <v>9009</v>
      </c>
    </row>
    <row r="8" spans="1:1" x14ac:dyDescent="0.2">
      <c r="A8" t="s">
        <v>9010</v>
      </c>
    </row>
    <row r="9" spans="1:1" x14ac:dyDescent="0.2">
      <c r="A9" t="s">
        <v>9011</v>
      </c>
    </row>
    <row r="10" spans="1:1" x14ac:dyDescent="0.2">
      <c r="A10" t="s">
        <v>9012</v>
      </c>
    </row>
    <row r="11" spans="1:1" x14ac:dyDescent="0.2">
      <c r="A11" t="s">
        <v>9013</v>
      </c>
    </row>
    <row r="12" spans="1:1" x14ac:dyDescent="0.2">
      <c r="A12" t="s">
        <v>9014</v>
      </c>
    </row>
    <row r="13" spans="1:1" x14ac:dyDescent="0.2">
      <c r="A13" t="s">
        <v>9015</v>
      </c>
    </row>
    <row r="14" spans="1:1" x14ac:dyDescent="0.2">
      <c r="A14" t="s">
        <v>9016</v>
      </c>
    </row>
    <row r="15" spans="1:1" x14ac:dyDescent="0.2">
      <c r="A15" t="s">
        <v>9017</v>
      </c>
    </row>
    <row r="16" spans="1:1" x14ac:dyDescent="0.2">
      <c r="A16" t="s">
        <v>9018</v>
      </c>
    </row>
    <row r="17" spans="1:1" x14ac:dyDescent="0.2">
      <c r="A17" t="s">
        <v>9019</v>
      </c>
    </row>
    <row r="18" spans="1:1" x14ac:dyDescent="0.2">
      <c r="A18" t="s">
        <v>9020</v>
      </c>
    </row>
    <row r="19" spans="1:1" x14ac:dyDescent="0.2">
      <c r="A19" t="s">
        <v>9021</v>
      </c>
    </row>
    <row r="20" spans="1:1" x14ac:dyDescent="0.2">
      <c r="A20" t="s">
        <v>9022</v>
      </c>
    </row>
    <row r="21" spans="1:1" x14ac:dyDescent="0.2">
      <c r="A21" t="s">
        <v>9023</v>
      </c>
    </row>
    <row r="22" spans="1:1" x14ac:dyDescent="0.2">
      <c r="A22" t="s">
        <v>9024</v>
      </c>
    </row>
    <row r="23" spans="1:1" x14ac:dyDescent="0.2">
      <c r="A23" t="s">
        <v>9025</v>
      </c>
    </row>
    <row r="24" spans="1:1" x14ac:dyDescent="0.2">
      <c r="A24" t="s">
        <v>9026</v>
      </c>
    </row>
    <row r="25" spans="1:1" x14ac:dyDescent="0.2">
      <c r="A25" t="s">
        <v>9027</v>
      </c>
    </row>
    <row r="26" spans="1:1" x14ac:dyDescent="0.2">
      <c r="A26" t="s">
        <v>9028</v>
      </c>
    </row>
    <row r="27" spans="1:1" x14ac:dyDescent="0.2">
      <c r="A27" t="s">
        <v>9029</v>
      </c>
    </row>
    <row r="28" spans="1:1" x14ac:dyDescent="0.2">
      <c r="A28" t="s">
        <v>9030</v>
      </c>
    </row>
    <row r="29" spans="1:1" x14ac:dyDescent="0.2">
      <c r="A29" t="s">
        <v>9031</v>
      </c>
    </row>
    <row r="30" spans="1:1" x14ac:dyDescent="0.2">
      <c r="A30" t="s">
        <v>9032</v>
      </c>
    </row>
    <row r="31" spans="1:1" x14ac:dyDescent="0.2">
      <c r="A31" t="s">
        <v>9033</v>
      </c>
    </row>
    <row r="32" spans="1:1" x14ac:dyDescent="0.2">
      <c r="A32" t="s">
        <v>9034</v>
      </c>
    </row>
    <row r="33" spans="1:1" x14ac:dyDescent="0.2">
      <c r="A33" t="s">
        <v>9035</v>
      </c>
    </row>
    <row r="34" spans="1:1" x14ac:dyDescent="0.2">
      <c r="A34" t="s">
        <v>9036</v>
      </c>
    </row>
    <row r="35" spans="1:1" x14ac:dyDescent="0.2">
      <c r="A35" t="s">
        <v>9037</v>
      </c>
    </row>
    <row r="36" spans="1:1" x14ac:dyDescent="0.2">
      <c r="A36" t="s">
        <v>9038</v>
      </c>
    </row>
    <row r="37" spans="1:1" x14ac:dyDescent="0.2">
      <c r="A37" t="s">
        <v>9039</v>
      </c>
    </row>
    <row r="38" spans="1:1" x14ac:dyDescent="0.2">
      <c r="A38" t="s">
        <v>9040</v>
      </c>
    </row>
    <row r="39" spans="1:1" x14ac:dyDescent="0.2">
      <c r="A39" t="s">
        <v>9041</v>
      </c>
    </row>
    <row r="40" spans="1:1" x14ac:dyDescent="0.2">
      <c r="A40" t="s">
        <v>9042</v>
      </c>
    </row>
    <row r="41" spans="1:1" x14ac:dyDescent="0.2">
      <c r="A41" t="s">
        <v>9043</v>
      </c>
    </row>
    <row r="42" spans="1:1" x14ac:dyDescent="0.2">
      <c r="A42" t="s">
        <v>9044</v>
      </c>
    </row>
    <row r="43" spans="1:1" x14ac:dyDescent="0.2">
      <c r="A43" t="s">
        <v>9045</v>
      </c>
    </row>
    <row r="44" spans="1:1" x14ac:dyDescent="0.2">
      <c r="A44" t="s">
        <v>9046</v>
      </c>
    </row>
    <row r="45" spans="1:1" x14ac:dyDescent="0.2">
      <c r="A45" t="s">
        <v>9047</v>
      </c>
    </row>
    <row r="46" spans="1:1" x14ac:dyDescent="0.2">
      <c r="A46" t="s">
        <v>9048</v>
      </c>
    </row>
    <row r="47" spans="1:1" x14ac:dyDescent="0.2">
      <c r="A47" t="s">
        <v>9049</v>
      </c>
    </row>
    <row r="48" spans="1:1" x14ac:dyDescent="0.2">
      <c r="A48" t="s">
        <v>9050</v>
      </c>
    </row>
    <row r="49" spans="1:1" x14ac:dyDescent="0.2">
      <c r="A49" t="s">
        <v>9051</v>
      </c>
    </row>
    <row r="50" spans="1:1" x14ac:dyDescent="0.2">
      <c r="A50" t="s">
        <v>9052</v>
      </c>
    </row>
    <row r="51" spans="1:1" x14ac:dyDescent="0.2">
      <c r="A51" t="s">
        <v>9053</v>
      </c>
    </row>
    <row r="52" spans="1:1" x14ac:dyDescent="0.2">
      <c r="A52" t="s">
        <v>9054</v>
      </c>
    </row>
    <row r="53" spans="1:1" x14ac:dyDescent="0.2">
      <c r="A53" t="s">
        <v>9055</v>
      </c>
    </row>
    <row r="54" spans="1:1" x14ac:dyDescent="0.2">
      <c r="A54" t="s">
        <v>9056</v>
      </c>
    </row>
    <row r="55" spans="1:1" x14ac:dyDescent="0.2">
      <c r="A55" t="s">
        <v>9057</v>
      </c>
    </row>
    <row r="56" spans="1:1" x14ac:dyDescent="0.2">
      <c r="A56" t="s">
        <v>9058</v>
      </c>
    </row>
    <row r="57" spans="1:1" x14ac:dyDescent="0.2">
      <c r="A57" t="s">
        <v>9059</v>
      </c>
    </row>
    <row r="58" spans="1:1" x14ac:dyDescent="0.2">
      <c r="A58" t="s">
        <v>9060</v>
      </c>
    </row>
    <row r="59" spans="1:1" x14ac:dyDescent="0.2">
      <c r="A59" t="s">
        <v>9061</v>
      </c>
    </row>
    <row r="60" spans="1:1" x14ac:dyDescent="0.2">
      <c r="A60" t="s">
        <v>9062</v>
      </c>
    </row>
    <row r="61" spans="1:1" x14ac:dyDescent="0.2">
      <c r="A61" t="s">
        <v>9063</v>
      </c>
    </row>
    <row r="62" spans="1:1" x14ac:dyDescent="0.2">
      <c r="A62" t="s">
        <v>9064</v>
      </c>
    </row>
    <row r="63" spans="1:1" x14ac:dyDescent="0.2">
      <c r="A63" t="s">
        <v>9065</v>
      </c>
    </row>
    <row r="64" spans="1:1" x14ac:dyDescent="0.2">
      <c r="A64" t="s">
        <v>9066</v>
      </c>
    </row>
    <row r="65" spans="1:1" x14ac:dyDescent="0.2">
      <c r="A65" t="s">
        <v>9067</v>
      </c>
    </row>
    <row r="66" spans="1:1" x14ac:dyDescent="0.2">
      <c r="A66" t="s">
        <v>9068</v>
      </c>
    </row>
    <row r="67" spans="1:1" x14ac:dyDescent="0.2">
      <c r="A67" t="s">
        <v>9069</v>
      </c>
    </row>
    <row r="68" spans="1:1" x14ac:dyDescent="0.2">
      <c r="A68" t="s">
        <v>9070</v>
      </c>
    </row>
    <row r="69" spans="1:1" x14ac:dyDescent="0.2">
      <c r="A69" t="s">
        <v>9071</v>
      </c>
    </row>
    <row r="70" spans="1:1" x14ac:dyDescent="0.2">
      <c r="A70" t="s">
        <v>9072</v>
      </c>
    </row>
    <row r="71" spans="1:1" x14ac:dyDescent="0.2">
      <c r="A71" t="s">
        <v>9073</v>
      </c>
    </row>
    <row r="72" spans="1:1" x14ac:dyDescent="0.2">
      <c r="A72" t="s">
        <v>9074</v>
      </c>
    </row>
    <row r="73" spans="1:1" x14ac:dyDescent="0.2">
      <c r="A73" t="s">
        <v>9075</v>
      </c>
    </row>
    <row r="74" spans="1:1" x14ac:dyDescent="0.2">
      <c r="A74" t="s">
        <v>9076</v>
      </c>
    </row>
    <row r="75" spans="1:1" x14ac:dyDescent="0.2">
      <c r="A75" t="s">
        <v>9077</v>
      </c>
    </row>
    <row r="76" spans="1:1" x14ac:dyDescent="0.2">
      <c r="A76" t="s">
        <v>9078</v>
      </c>
    </row>
    <row r="77" spans="1:1" x14ac:dyDescent="0.2">
      <c r="A77" t="s">
        <v>9079</v>
      </c>
    </row>
    <row r="78" spans="1:1" x14ac:dyDescent="0.2">
      <c r="A78" t="s">
        <v>9080</v>
      </c>
    </row>
    <row r="79" spans="1:1" x14ac:dyDescent="0.2">
      <c r="A79" t="s">
        <v>9081</v>
      </c>
    </row>
    <row r="80" spans="1:1" x14ac:dyDescent="0.2">
      <c r="A80" t="s">
        <v>9082</v>
      </c>
    </row>
    <row r="81" spans="1:1" x14ac:dyDescent="0.2">
      <c r="A81" t="s">
        <v>9083</v>
      </c>
    </row>
    <row r="82" spans="1:1" x14ac:dyDescent="0.2">
      <c r="A82" t="s">
        <v>9084</v>
      </c>
    </row>
    <row r="83" spans="1:1" x14ac:dyDescent="0.2">
      <c r="A83" t="s">
        <v>9085</v>
      </c>
    </row>
    <row r="84" spans="1:1" x14ac:dyDescent="0.2">
      <c r="A84" t="s">
        <v>9086</v>
      </c>
    </row>
    <row r="85" spans="1:1" x14ac:dyDescent="0.2">
      <c r="A85" t="s">
        <v>9087</v>
      </c>
    </row>
    <row r="86" spans="1:1" x14ac:dyDescent="0.2">
      <c r="A86" t="s">
        <v>9088</v>
      </c>
    </row>
    <row r="87" spans="1:1" x14ac:dyDescent="0.2">
      <c r="A87" t="s">
        <v>9089</v>
      </c>
    </row>
    <row r="88" spans="1:1" x14ac:dyDescent="0.2">
      <c r="A88" t="s">
        <v>9090</v>
      </c>
    </row>
    <row r="89" spans="1:1" x14ac:dyDescent="0.2">
      <c r="A89" t="s">
        <v>9091</v>
      </c>
    </row>
    <row r="90" spans="1:1" x14ac:dyDescent="0.2">
      <c r="A90" t="s">
        <v>9092</v>
      </c>
    </row>
    <row r="91" spans="1:1" x14ac:dyDescent="0.2">
      <c r="A91" t="s">
        <v>9093</v>
      </c>
    </row>
    <row r="92" spans="1:1" x14ac:dyDescent="0.2">
      <c r="A92" t="s">
        <v>9094</v>
      </c>
    </row>
    <row r="93" spans="1:1" x14ac:dyDescent="0.2">
      <c r="A93" t="s">
        <v>9095</v>
      </c>
    </row>
    <row r="94" spans="1:1" x14ac:dyDescent="0.2">
      <c r="A94" t="s">
        <v>9096</v>
      </c>
    </row>
    <row r="95" spans="1:1" x14ac:dyDescent="0.2">
      <c r="A95" t="s">
        <v>9097</v>
      </c>
    </row>
    <row r="96" spans="1:1" x14ac:dyDescent="0.2">
      <c r="A96" t="s">
        <v>9098</v>
      </c>
    </row>
    <row r="97" spans="1:1" x14ac:dyDescent="0.2">
      <c r="A97" t="s">
        <v>9099</v>
      </c>
    </row>
    <row r="98" spans="1:1" x14ac:dyDescent="0.2">
      <c r="A98" t="s">
        <v>9100</v>
      </c>
    </row>
    <row r="99" spans="1:1" x14ac:dyDescent="0.2">
      <c r="A99" t="s">
        <v>9101</v>
      </c>
    </row>
    <row r="100" spans="1:1" x14ac:dyDescent="0.2">
      <c r="A100" t="s">
        <v>9102</v>
      </c>
    </row>
    <row r="101" spans="1:1" x14ac:dyDescent="0.2">
      <c r="A101" t="s">
        <v>9103</v>
      </c>
    </row>
    <row r="102" spans="1:1" x14ac:dyDescent="0.2">
      <c r="A102" t="s">
        <v>9104</v>
      </c>
    </row>
    <row r="103" spans="1:1" x14ac:dyDescent="0.2">
      <c r="A103" t="s">
        <v>9105</v>
      </c>
    </row>
    <row r="104" spans="1:1" x14ac:dyDescent="0.2">
      <c r="A104" t="s">
        <v>9106</v>
      </c>
    </row>
    <row r="105" spans="1:1" x14ac:dyDescent="0.2">
      <c r="A105" t="s">
        <v>9107</v>
      </c>
    </row>
    <row r="106" spans="1:1" x14ac:dyDescent="0.2">
      <c r="A106" t="s">
        <v>9108</v>
      </c>
    </row>
    <row r="107" spans="1:1" x14ac:dyDescent="0.2">
      <c r="A107" t="s">
        <v>9109</v>
      </c>
    </row>
    <row r="108" spans="1:1" x14ac:dyDescent="0.2">
      <c r="A108" t="s">
        <v>9110</v>
      </c>
    </row>
    <row r="109" spans="1:1" x14ac:dyDescent="0.2">
      <c r="A109" t="s">
        <v>9111</v>
      </c>
    </row>
    <row r="110" spans="1:1" x14ac:dyDescent="0.2">
      <c r="A110" t="s">
        <v>9112</v>
      </c>
    </row>
    <row r="111" spans="1:1" x14ac:dyDescent="0.2">
      <c r="A111" t="s">
        <v>9113</v>
      </c>
    </row>
    <row r="112" spans="1:1" x14ac:dyDescent="0.2">
      <c r="A112" t="s">
        <v>9114</v>
      </c>
    </row>
    <row r="113" spans="1:1" x14ac:dyDescent="0.2">
      <c r="A113" t="s">
        <v>9115</v>
      </c>
    </row>
    <row r="114" spans="1:1" x14ac:dyDescent="0.2">
      <c r="A114" t="s">
        <v>9116</v>
      </c>
    </row>
    <row r="115" spans="1:1" x14ac:dyDescent="0.2">
      <c r="A115" t="s">
        <v>9117</v>
      </c>
    </row>
    <row r="116" spans="1:1" x14ac:dyDescent="0.2">
      <c r="A116" t="s">
        <v>9119</v>
      </c>
    </row>
    <row r="117" spans="1:1" x14ac:dyDescent="0.2">
      <c r="A117" t="s">
        <v>9120</v>
      </c>
    </row>
    <row r="118" spans="1:1" x14ac:dyDescent="0.2">
      <c r="A118" t="s">
        <v>9121</v>
      </c>
    </row>
    <row r="119" spans="1:1" x14ac:dyDescent="0.2">
      <c r="A119" t="s">
        <v>9122</v>
      </c>
    </row>
    <row r="120" spans="1:1" x14ac:dyDescent="0.2">
      <c r="A120" t="s">
        <v>9123</v>
      </c>
    </row>
    <row r="121" spans="1:1" x14ac:dyDescent="0.2">
      <c r="A121" t="s">
        <v>9124</v>
      </c>
    </row>
    <row r="122" spans="1:1" x14ac:dyDescent="0.2">
      <c r="A122" t="s">
        <v>9125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all_data</vt:lpstr>
      <vt:lpstr>unique_sourcec_all_datal</vt:lpstr>
      <vt:lpstr>top_occuances</vt:lpstr>
      <vt:lpstr>small_source</vt:lpstr>
      <vt:lpstr>plan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2018-10-10T03:46:34Z</dcterms:created>
  <dcterms:modified xsi:type="dcterms:W3CDTF">2018-10-30T17:27:11Z</dcterms:modified>
</cp:coreProperties>
</file>